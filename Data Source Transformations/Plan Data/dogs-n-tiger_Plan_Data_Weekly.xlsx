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oidsai.sharepoint.com/Freigegebene Dokumente/VOIDS_shared/dogs-n-tiger/"/>
    </mc:Choice>
  </mc:AlternateContent>
  <xr:revisionPtr revIDLastSave="703" documentId="13_ncr:1_{C922C6EB-3223-E048-ACCD-67AEF8EBA37E}" xr6:coauthVersionLast="47" xr6:coauthVersionMax="47" xr10:uidLastSave="{6EDAB315-09C5-FB4E-BC24-9C190E42B946}"/>
  <bookViews>
    <workbookView xWindow="3420" yWindow="760" windowWidth="25800" windowHeight="18880" xr2:uid="{1CF967DE-D1C8-2647-80DB-6B18019211D0}"/>
  </bookViews>
  <sheets>
    <sheet name="Marketing Campaigns 22.11.22" sheetId="4" r:id="rId1"/>
    <sheet name="planning dogs-n-tiger" sheetId="5" r:id="rId2"/>
    <sheet name="transformed" sheetId="6" r:id="rId3"/>
    <sheet name="weekly" sheetId="7" r:id="rId4"/>
    <sheet name="Sheet1" sheetId="8" r:id="rId5"/>
    <sheet name="Pricing" sheetId="2" state="hidden" r:id="rId6"/>
  </sheets>
  <definedNames>
    <definedName name="_xlnm._FilterDatabase" localSheetId="0" hidden="1">'Marketing Campaigns 22.11.22'!$A$2:$K$1967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81" i="4" l="1"/>
  <c r="C1981" i="4" s="1"/>
  <c r="D1981" i="4" s="1"/>
  <c r="M1981" i="4"/>
  <c r="L1981" i="4" s="1"/>
  <c r="A1982" i="4"/>
  <c r="C1982" i="4" s="1"/>
  <c r="M1966" i="4"/>
  <c r="L1966" i="4" s="1"/>
  <c r="M1967" i="4"/>
  <c r="L1967" i="4" s="1"/>
  <c r="M1951" i="4"/>
  <c r="L1951" i="4" s="1"/>
  <c r="G1951" i="4" s="1"/>
  <c r="M1952" i="4"/>
  <c r="L1952" i="4" s="1"/>
  <c r="M1936" i="4"/>
  <c r="L1936" i="4" s="1"/>
  <c r="M1937" i="4"/>
  <c r="L1937" i="4" s="1"/>
  <c r="L1921" i="4"/>
  <c r="G1921" i="4" s="1"/>
  <c r="M1921" i="4"/>
  <c r="M1922" i="4"/>
  <c r="L1922" i="4" s="1"/>
  <c r="L1906" i="4"/>
  <c r="I1906" i="4" s="1"/>
  <c r="M1906" i="4"/>
  <c r="M1907" i="4"/>
  <c r="L1907" i="4" s="1"/>
  <c r="L1891" i="4"/>
  <c r="G1891" i="4" s="1"/>
  <c r="M1891" i="4"/>
  <c r="M1892" i="4"/>
  <c r="L1892" i="4" s="1"/>
  <c r="L1876" i="4"/>
  <c r="G1876" i="4" s="1"/>
  <c r="M1876" i="4"/>
  <c r="M1877" i="4"/>
  <c r="L1877" i="4" s="1"/>
  <c r="L1861" i="4"/>
  <c r="H1861" i="4" s="1"/>
  <c r="M1861" i="4"/>
  <c r="M1862" i="4"/>
  <c r="L1862" i="4" s="1"/>
  <c r="I1862" i="4" s="1"/>
  <c r="I1846" i="4"/>
  <c r="L1846" i="4"/>
  <c r="G1846" i="4" s="1"/>
  <c r="M1846" i="4"/>
  <c r="M1847" i="4"/>
  <c r="L1847" i="4" s="1"/>
  <c r="L1831" i="4"/>
  <c r="I1831" i="4" s="1"/>
  <c r="M1831" i="4"/>
  <c r="M1832" i="4"/>
  <c r="L1832" i="4" s="1"/>
  <c r="L1816" i="4"/>
  <c r="G1816" i="4" s="1"/>
  <c r="M1816" i="4"/>
  <c r="M1817" i="4"/>
  <c r="L1817" i="4" s="1"/>
  <c r="L1801" i="4"/>
  <c r="G1801" i="4" s="1"/>
  <c r="M1801" i="4"/>
  <c r="M1802" i="4"/>
  <c r="L1802" i="4" s="1"/>
  <c r="L1786" i="4"/>
  <c r="M1786" i="4"/>
  <c r="L1787" i="4"/>
  <c r="M1787" i="4"/>
  <c r="L1771" i="4"/>
  <c r="M1771" i="4"/>
  <c r="M1772" i="4"/>
  <c r="L1772" i="4" s="1"/>
  <c r="L1756" i="4"/>
  <c r="I1756" i="4" s="1"/>
  <c r="M1756" i="4"/>
  <c r="M1757" i="4"/>
  <c r="L1757" i="4" s="1"/>
  <c r="G1741" i="4"/>
  <c r="I1741" i="4"/>
  <c r="L1741" i="4"/>
  <c r="H1741" i="4" s="1"/>
  <c r="M1741" i="4"/>
  <c r="L1742" i="4"/>
  <c r="M1742" i="4"/>
  <c r="L1726" i="4"/>
  <c r="G1726" i="4" s="1"/>
  <c r="M1726" i="4"/>
  <c r="M1727" i="4"/>
  <c r="L1727" i="4" s="1"/>
  <c r="I1727" i="4" s="1"/>
  <c r="L1711" i="4"/>
  <c r="G1711" i="4" s="1"/>
  <c r="M1711" i="4"/>
  <c r="M1712" i="4"/>
  <c r="L1712" i="4" s="1"/>
  <c r="I1696" i="4"/>
  <c r="L1696" i="4"/>
  <c r="M1696" i="4"/>
  <c r="M1697" i="4"/>
  <c r="L1697" i="4" s="1"/>
  <c r="I1697" i="4" s="1"/>
  <c r="L1681" i="4"/>
  <c r="I1681" i="4" s="1"/>
  <c r="M1681" i="4"/>
  <c r="M1682" i="4"/>
  <c r="L1682" i="4" s="1"/>
  <c r="L1666" i="4"/>
  <c r="H1666" i="4" s="1"/>
  <c r="M1666" i="4"/>
  <c r="M1667" i="4"/>
  <c r="L1667" i="4" s="1"/>
  <c r="G1651" i="4"/>
  <c r="L1651" i="4"/>
  <c r="H1651" i="4" s="1"/>
  <c r="M1651" i="4"/>
  <c r="M1652" i="4"/>
  <c r="L1652" i="4" s="1"/>
  <c r="L1636" i="4"/>
  <c r="M1636" i="4"/>
  <c r="M1637" i="4"/>
  <c r="L1637" i="4" s="1"/>
  <c r="M1621" i="4"/>
  <c r="L1621" i="4" s="1"/>
  <c r="M1622" i="4"/>
  <c r="L1622" i="4" s="1"/>
  <c r="L1606" i="4"/>
  <c r="I1606" i="4" s="1"/>
  <c r="M1606" i="4"/>
  <c r="M1607" i="4"/>
  <c r="L1607" i="4" s="1"/>
  <c r="L1591" i="4"/>
  <c r="I1591" i="4" s="1"/>
  <c r="M1591" i="4"/>
  <c r="M1592" i="4"/>
  <c r="L1592" i="4" s="1"/>
  <c r="L1576" i="4"/>
  <c r="M1576" i="4"/>
  <c r="M1577" i="4"/>
  <c r="L1577" i="4" s="1"/>
  <c r="M1561" i="4"/>
  <c r="L1561" i="4" s="1"/>
  <c r="L1562" i="4"/>
  <c r="M1562" i="4"/>
  <c r="I1546" i="4"/>
  <c r="L1546" i="4"/>
  <c r="G1546" i="4" s="1"/>
  <c r="M1546" i="4"/>
  <c r="M1547" i="4"/>
  <c r="L1547" i="4" s="1"/>
  <c r="G1531" i="4"/>
  <c r="H1531" i="4"/>
  <c r="M1531" i="4"/>
  <c r="L1531" i="4" s="1"/>
  <c r="I1531" i="4" s="1"/>
  <c r="M1532" i="4"/>
  <c r="L1532" i="4" s="1"/>
  <c r="I1532" i="4" s="1"/>
  <c r="L1516" i="4"/>
  <c r="M1516" i="4"/>
  <c r="M1517" i="4"/>
  <c r="L1517" i="4" s="1"/>
  <c r="M1501" i="4"/>
  <c r="L1501" i="4" s="1"/>
  <c r="M1502" i="4"/>
  <c r="L1502" i="4" s="1"/>
  <c r="L1486" i="4"/>
  <c r="G1486" i="4" s="1"/>
  <c r="M1486" i="4"/>
  <c r="M1487" i="4"/>
  <c r="L1487" i="4" s="1"/>
  <c r="M1471" i="4"/>
  <c r="L1471" i="4" s="1"/>
  <c r="G1471" i="4" s="1"/>
  <c r="M1472" i="4"/>
  <c r="L1472" i="4" s="1"/>
  <c r="I1472" i="4" s="1"/>
  <c r="M1456" i="4"/>
  <c r="L1456" i="4" s="1"/>
  <c r="M1457" i="4"/>
  <c r="L1457" i="4" s="1"/>
  <c r="L1441" i="4"/>
  <c r="I1441" i="4" s="1"/>
  <c r="M1441" i="4"/>
  <c r="M1442" i="4"/>
  <c r="L1442" i="4" s="1"/>
  <c r="L1426" i="4"/>
  <c r="G1426" i="4" s="1"/>
  <c r="M1426" i="4"/>
  <c r="M1427" i="4"/>
  <c r="L1427" i="4" s="1"/>
  <c r="M1411" i="4"/>
  <c r="L1411" i="4" s="1"/>
  <c r="G1411" i="4" s="1"/>
  <c r="M1412" i="4"/>
  <c r="L1412" i="4" s="1"/>
  <c r="I1412" i="4" s="1"/>
  <c r="M1396" i="4"/>
  <c r="L1396" i="4" s="1"/>
  <c r="M1397" i="4"/>
  <c r="L1397" i="4" s="1"/>
  <c r="H1397" i="4" s="1"/>
  <c r="M1381" i="4"/>
  <c r="L1381" i="4" s="1"/>
  <c r="M1382" i="4"/>
  <c r="L1382" i="4" s="1"/>
  <c r="I1382" i="4" s="1"/>
  <c r="M1366" i="4"/>
  <c r="L1366" i="4" s="1"/>
  <c r="M1367" i="4"/>
  <c r="L1367" i="4" s="1"/>
  <c r="G1367" i="4" s="1"/>
  <c r="M1351" i="4"/>
  <c r="L1351" i="4" s="1"/>
  <c r="M1352" i="4"/>
  <c r="L1352" i="4" s="1"/>
  <c r="I1352" i="4" s="1"/>
  <c r="H1336" i="4"/>
  <c r="L1336" i="4"/>
  <c r="G1336" i="4" s="1"/>
  <c r="M1336" i="4"/>
  <c r="M1337" i="4"/>
  <c r="L1337" i="4" s="1"/>
  <c r="L1321" i="4"/>
  <c r="G1321" i="4" s="1"/>
  <c r="M1321" i="4"/>
  <c r="M1322" i="4"/>
  <c r="L1322" i="4" s="1"/>
  <c r="M1306" i="4"/>
  <c r="L1306" i="4" s="1"/>
  <c r="M1307" i="4"/>
  <c r="L1307" i="4" s="1"/>
  <c r="M1291" i="4"/>
  <c r="L1291" i="4" s="1"/>
  <c r="G1291" i="4" s="1"/>
  <c r="M1292" i="4"/>
  <c r="L1292" i="4" s="1"/>
  <c r="L1276" i="4"/>
  <c r="I1276" i="4" s="1"/>
  <c r="M1276" i="4"/>
  <c r="M1277" i="4"/>
  <c r="L1277" i="4" s="1"/>
  <c r="H1277" i="4" s="1"/>
  <c r="L1261" i="4"/>
  <c r="M1261" i="4"/>
  <c r="M1262" i="4"/>
  <c r="L1262" i="4" s="1"/>
  <c r="M1246" i="4"/>
  <c r="L1246" i="4" s="1"/>
  <c r="M1247" i="4"/>
  <c r="L1247" i="4" s="1"/>
  <c r="M1231" i="4"/>
  <c r="L1231" i="4" s="1"/>
  <c r="M1232" i="4"/>
  <c r="L1232" i="4" s="1"/>
  <c r="I1232" i="4" s="1"/>
  <c r="M1216" i="4"/>
  <c r="L1216" i="4" s="1"/>
  <c r="H1217" i="4"/>
  <c r="I1217" i="4"/>
  <c r="M1217" i="4"/>
  <c r="L1217" i="4" s="1"/>
  <c r="G1217" i="4" s="1"/>
  <c r="M1201" i="4"/>
  <c r="L1201" i="4" s="1"/>
  <c r="M1202" i="4"/>
  <c r="L1202" i="4" s="1"/>
  <c r="L1186" i="4"/>
  <c r="G1186" i="4" s="1"/>
  <c r="M1186" i="4"/>
  <c r="M1187" i="4"/>
  <c r="L1187" i="4" s="1"/>
  <c r="L1171" i="4"/>
  <c r="M1171" i="4"/>
  <c r="M1172" i="4"/>
  <c r="L1172" i="4" s="1"/>
  <c r="M1156" i="4"/>
  <c r="L1156" i="4" s="1"/>
  <c r="H1156" i="4" s="1"/>
  <c r="M1157" i="4"/>
  <c r="L1157" i="4" s="1"/>
  <c r="I1141" i="4"/>
  <c r="M1141" i="4"/>
  <c r="L1141" i="4" s="1"/>
  <c r="G1141" i="4" s="1"/>
  <c r="M1142" i="4"/>
  <c r="L1142" i="4" s="1"/>
  <c r="L1126" i="4"/>
  <c r="I1126" i="4" s="1"/>
  <c r="M1126" i="4"/>
  <c r="M1127" i="4"/>
  <c r="L1127" i="4" s="1"/>
  <c r="M1111" i="4"/>
  <c r="L1111" i="4" s="1"/>
  <c r="L1112" i="4"/>
  <c r="G1112" i="4" s="1"/>
  <c r="M1112" i="4"/>
  <c r="M1096" i="4"/>
  <c r="L1096" i="4" s="1"/>
  <c r="M1097" i="4"/>
  <c r="L1097" i="4" s="1"/>
  <c r="M1081" i="4"/>
  <c r="L1081" i="4" s="1"/>
  <c r="M1082" i="4"/>
  <c r="L1082" i="4" s="1"/>
  <c r="I1082" i="4" s="1"/>
  <c r="M1066" i="4"/>
  <c r="L1066" i="4" s="1"/>
  <c r="M1067" i="4"/>
  <c r="L1067" i="4" s="1"/>
  <c r="G1067" i="4" s="1"/>
  <c r="H1051" i="4"/>
  <c r="M1051" i="4"/>
  <c r="L1051" i="4" s="1"/>
  <c r="M1052" i="4"/>
  <c r="L1052" i="4" s="1"/>
  <c r="I1052" i="4" s="1"/>
  <c r="L1036" i="4"/>
  <c r="G1036" i="4" s="1"/>
  <c r="M1036" i="4"/>
  <c r="M1037" i="4"/>
  <c r="L1037" i="4" s="1"/>
  <c r="L1021" i="4"/>
  <c r="M1021" i="4"/>
  <c r="M1022" i="4"/>
  <c r="L1022" i="4" s="1"/>
  <c r="M1006" i="4"/>
  <c r="L1006" i="4" s="1"/>
  <c r="M1007" i="4"/>
  <c r="L1007" i="4" s="1"/>
  <c r="G1007" i="4" s="1"/>
  <c r="I991" i="4"/>
  <c r="M991" i="4"/>
  <c r="L991" i="4" s="1"/>
  <c r="G991" i="4" s="1"/>
  <c r="M992" i="4"/>
  <c r="L992" i="4" s="1"/>
  <c r="I992" i="4" s="1"/>
  <c r="L976" i="4"/>
  <c r="M976" i="4"/>
  <c r="M977" i="4"/>
  <c r="L977" i="4" s="1"/>
  <c r="G977" i="4" s="1"/>
  <c r="M961" i="4"/>
  <c r="L961" i="4" s="1"/>
  <c r="M962" i="4"/>
  <c r="L962" i="4" s="1"/>
  <c r="M946" i="4"/>
  <c r="L946" i="4" s="1"/>
  <c r="M947" i="4"/>
  <c r="L947" i="4" s="1"/>
  <c r="M931" i="4"/>
  <c r="L931" i="4" s="1"/>
  <c r="M932" i="4"/>
  <c r="L932" i="4" s="1"/>
  <c r="I932" i="4" s="1"/>
  <c r="M916" i="4"/>
  <c r="L916" i="4" s="1"/>
  <c r="H916" i="4" s="1"/>
  <c r="M917" i="4"/>
  <c r="L917" i="4" s="1"/>
  <c r="G917" i="4" s="1"/>
  <c r="I901" i="4"/>
  <c r="M901" i="4"/>
  <c r="L901" i="4" s="1"/>
  <c r="G901" i="4" s="1"/>
  <c r="M902" i="4"/>
  <c r="L902" i="4" s="1"/>
  <c r="I902" i="4" s="1"/>
  <c r="L886" i="4"/>
  <c r="G886" i="4" s="1"/>
  <c r="M886" i="4"/>
  <c r="M887" i="4"/>
  <c r="L887" i="4" s="1"/>
  <c r="L871" i="4"/>
  <c r="G871" i="4" s="1"/>
  <c r="M871" i="4"/>
  <c r="M872" i="4"/>
  <c r="L872" i="4" s="1"/>
  <c r="L856" i="4"/>
  <c r="G856" i="4" s="1"/>
  <c r="M856" i="4"/>
  <c r="M857" i="4"/>
  <c r="L857" i="4" s="1"/>
  <c r="L841" i="4"/>
  <c r="G841" i="4" s="1"/>
  <c r="M841" i="4"/>
  <c r="M842" i="4"/>
  <c r="L842" i="4" s="1"/>
  <c r="L826" i="4"/>
  <c r="G826" i="4" s="1"/>
  <c r="M826" i="4"/>
  <c r="M827" i="4"/>
  <c r="L827" i="4" s="1"/>
  <c r="L811" i="4"/>
  <c r="G811" i="4" s="1"/>
  <c r="M811" i="4"/>
  <c r="M812" i="4"/>
  <c r="L812" i="4" s="1"/>
  <c r="H796" i="4"/>
  <c r="I796" i="4"/>
  <c r="L796" i="4"/>
  <c r="G796" i="4" s="1"/>
  <c r="M796" i="4"/>
  <c r="M797" i="4"/>
  <c r="L797" i="4" s="1"/>
  <c r="L781" i="4"/>
  <c r="G781" i="4" s="1"/>
  <c r="M781" i="4"/>
  <c r="M782" i="4"/>
  <c r="L782" i="4" s="1"/>
  <c r="L766" i="4"/>
  <c r="G766" i="4" s="1"/>
  <c r="M766" i="4"/>
  <c r="M767" i="4"/>
  <c r="L767" i="4" s="1"/>
  <c r="L751" i="4"/>
  <c r="G751" i="4" s="1"/>
  <c r="M751" i="4"/>
  <c r="M752" i="4"/>
  <c r="L752" i="4" s="1"/>
  <c r="L736" i="4"/>
  <c r="G736" i="4" s="1"/>
  <c r="M736" i="4"/>
  <c r="M737" i="4"/>
  <c r="L737" i="4" s="1"/>
  <c r="H721" i="4"/>
  <c r="I721" i="4"/>
  <c r="L721" i="4"/>
  <c r="G721" i="4" s="1"/>
  <c r="M721" i="4"/>
  <c r="M722" i="4"/>
  <c r="L722" i="4" s="1"/>
  <c r="L706" i="4"/>
  <c r="G706" i="4" s="1"/>
  <c r="M706" i="4"/>
  <c r="M707" i="4"/>
  <c r="L707" i="4" s="1"/>
  <c r="L691" i="4"/>
  <c r="G691" i="4" s="1"/>
  <c r="M691" i="4"/>
  <c r="M692" i="4"/>
  <c r="L692" i="4" s="1"/>
  <c r="L676" i="4"/>
  <c r="G676" i="4" s="1"/>
  <c r="M676" i="4"/>
  <c r="M677" i="4"/>
  <c r="L677" i="4" s="1"/>
  <c r="L661" i="4"/>
  <c r="G661" i="4" s="1"/>
  <c r="M661" i="4"/>
  <c r="M662" i="4"/>
  <c r="L662" i="4" s="1"/>
  <c r="L646" i="4"/>
  <c r="G646" i="4" s="1"/>
  <c r="M646" i="4"/>
  <c r="M647" i="4"/>
  <c r="L647" i="4" s="1"/>
  <c r="L631" i="4"/>
  <c r="G631" i="4" s="1"/>
  <c r="M631" i="4"/>
  <c r="M632" i="4"/>
  <c r="L632" i="4" s="1"/>
  <c r="L616" i="4"/>
  <c r="G616" i="4" s="1"/>
  <c r="M616" i="4"/>
  <c r="L617" i="4"/>
  <c r="M617" i="4"/>
  <c r="L601" i="4"/>
  <c r="G601" i="4" s="1"/>
  <c r="M601" i="4"/>
  <c r="M602" i="4"/>
  <c r="L602" i="4" s="1"/>
  <c r="L586" i="4"/>
  <c r="G586" i="4" s="1"/>
  <c r="M586" i="4"/>
  <c r="M587" i="4"/>
  <c r="L587" i="4" s="1"/>
  <c r="L571" i="4"/>
  <c r="G571" i="4" s="1"/>
  <c r="M571" i="4"/>
  <c r="L572" i="4"/>
  <c r="M572" i="4"/>
  <c r="L556" i="4"/>
  <c r="G556" i="4" s="1"/>
  <c r="M556" i="4"/>
  <c r="M557" i="4"/>
  <c r="L557" i="4" s="1"/>
  <c r="L541" i="4"/>
  <c r="G541" i="4" s="1"/>
  <c r="M541" i="4"/>
  <c r="M542" i="4"/>
  <c r="L542" i="4" s="1"/>
  <c r="L526" i="4"/>
  <c r="G526" i="4" s="1"/>
  <c r="M526" i="4"/>
  <c r="M527" i="4"/>
  <c r="L527" i="4" s="1"/>
  <c r="L511" i="4"/>
  <c r="G511" i="4" s="1"/>
  <c r="M511" i="4"/>
  <c r="M512" i="4"/>
  <c r="L512" i="4" s="1"/>
  <c r="H496" i="4"/>
  <c r="L496" i="4"/>
  <c r="G496" i="4" s="1"/>
  <c r="M496" i="4"/>
  <c r="M497" i="4"/>
  <c r="L497" i="4" s="1"/>
  <c r="L481" i="4"/>
  <c r="G481" i="4" s="1"/>
  <c r="M481" i="4"/>
  <c r="M482" i="4"/>
  <c r="L482" i="4" s="1"/>
  <c r="H466" i="4"/>
  <c r="L466" i="4"/>
  <c r="G466" i="4" s="1"/>
  <c r="M466" i="4"/>
  <c r="M467" i="4"/>
  <c r="L467" i="4" s="1"/>
  <c r="L451" i="4"/>
  <c r="G451" i="4" s="1"/>
  <c r="M451" i="4"/>
  <c r="M452" i="4"/>
  <c r="L452" i="4" s="1"/>
  <c r="L436" i="4"/>
  <c r="G436" i="4" s="1"/>
  <c r="M436" i="4"/>
  <c r="M437" i="4"/>
  <c r="L437" i="4" s="1"/>
  <c r="L421" i="4"/>
  <c r="G421" i="4" s="1"/>
  <c r="M421" i="4"/>
  <c r="M422" i="4"/>
  <c r="L422" i="4" s="1"/>
  <c r="M406" i="4"/>
  <c r="L406" i="4" s="1"/>
  <c r="M407" i="4"/>
  <c r="L407" i="4" s="1"/>
  <c r="L391" i="4"/>
  <c r="G391" i="4" s="1"/>
  <c r="M391" i="4"/>
  <c r="L392" i="4"/>
  <c r="H392" i="4" s="1"/>
  <c r="M392" i="4"/>
  <c r="M376" i="4"/>
  <c r="L376" i="4" s="1"/>
  <c r="M377" i="4"/>
  <c r="L377" i="4" s="1"/>
  <c r="M361" i="4"/>
  <c r="L361" i="4" s="1"/>
  <c r="M362" i="4"/>
  <c r="L362" i="4" s="1"/>
  <c r="M346" i="4"/>
  <c r="L346" i="4" s="1"/>
  <c r="M347" i="4"/>
  <c r="L347" i="4" s="1"/>
  <c r="G347" i="4" s="1"/>
  <c r="M331" i="4"/>
  <c r="L331" i="4" s="1"/>
  <c r="M332" i="4"/>
  <c r="L332" i="4" s="1"/>
  <c r="L316" i="4"/>
  <c r="G316" i="4" s="1"/>
  <c r="M316" i="4"/>
  <c r="M317" i="4"/>
  <c r="L317" i="4" s="1"/>
  <c r="G317" i="4" s="1"/>
  <c r="M301" i="4"/>
  <c r="L301" i="4" s="1"/>
  <c r="M302" i="4"/>
  <c r="L302" i="4" s="1"/>
  <c r="L286" i="4"/>
  <c r="G286" i="4" s="1"/>
  <c r="M286" i="4"/>
  <c r="M287" i="4"/>
  <c r="L287" i="4" s="1"/>
  <c r="L271" i="4"/>
  <c r="G271" i="4" s="1"/>
  <c r="M271" i="4"/>
  <c r="M272" i="4"/>
  <c r="L272" i="4" s="1"/>
  <c r="M256" i="4"/>
  <c r="L256" i="4" s="1"/>
  <c r="M257" i="4"/>
  <c r="L257" i="4" s="1"/>
  <c r="L241" i="4"/>
  <c r="G241" i="4" s="1"/>
  <c r="M241" i="4"/>
  <c r="M242" i="4"/>
  <c r="L242" i="4" s="1"/>
  <c r="M226" i="4"/>
  <c r="L226" i="4" s="1"/>
  <c r="M227" i="4"/>
  <c r="L227" i="4" s="1"/>
  <c r="M211" i="4"/>
  <c r="L211" i="4" s="1"/>
  <c r="L212" i="4"/>
  <c r="G212" i="4" s="1"/>
  <c r="M212" i="4"/>
  <c r="M196" i="4"/>
  <c r="L196" i="4" s="1"/>
  <c r="L197" i="4"/>
  <c r="G197" i="4" s="1"/>
  <c r="M197" i="4"/>
  <c r="M181" i="4"/>
  <c r="L181" i="4" s="1"/>
  <c r="M182" i="4"/>
  <c r="L182" i="4" s="1"/>
  <c r="L166" i="4"/>
  <c r="G166" i="4" s="1"/>
  <c r="M166" i="4"/>
  <c r="M167" i="4"/>
  <c r="L167" i="4" s="1"/>
  <c r="G167" i="4" s="1"/>
  <c r="M151" i="4"/>
  <c r="L151" i="4" s="1"/>
  <c r="M152" i="4"/>
  <c r="L152" i="4" s="1"/>
  <c r="H136" i="4"/>
  <c r="I136" i="4"/>
  <c r="L136" i="4"/>
  <c r="G136" i="4" s="1"/>
  <c r="M136" i="4"/>
  <c r="M137" i="4"/>
  <c r="L137" i="4" s="1"/>
  <c r="L121" i="4"/>
  <c r="G121" i="4" s="1"/>
  <c r="M121" i="4"/>
  <c r="M122" i="4"/>
  <c r="L122" i="4" s="1"/>
  <c r="M106" i="4"/>
  <c r="L106" i="4" s="1"/>
  <c r="M107" i="4"/>
  <c r="L107" i="4" s="1"/>
  <c r="L91" i="4"/>
  <c r="G91" i="4" s="1"/>
  <c r="M91" i="4"/>
  <c r="M92" i="4"/>
  <c r="L92" i="4" s="1"/>
  <c r="M76" i="4"/>
  <c r="L76" i="4" s="1"/>
  <c r="M77" i="4"/>
  <c r="L77" i="4" s="1"/>
  <c r="M61" i="4"/>
  <c r="L61" i="4" s="1"/>
  <c r="L62" i="4"/>
  <c r="G62" i="4" s="1"/>
  <c r="M62" i="4"/>
  <c r="M46" i="4"/>
  <c r="L46" i="4" s="1"/>
  <c r="M47" i="4"/>
  <c r="L47" i="4" s="1"/>
  <c r="G47" i="4" s="1"/>
  <c r="M31" i="4"/>
  <c r="L31" i="4" s="1"/>
  <c r="M32" i="4"/>
  <c r="L32" i="4" s="1"/>
  <c r="L16" i="4"/>
  <c r="G16" i="4" s="1"/>
  <c r="M16" i="4"/>
  <c r="M17" i="4"/>
  <c r="L17" i="4" s="1"/>
  <c r="G17" i="4" s="1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N1080" i="6"/>
  <c r="N1081" i="6"/>
  <c r="N1082" i="6"/>
  <c r="N1083" i="6"/>
  <c r="N1084" i="6"/>
  <c r="N1085" i="6"/>
  <c r="N1086" i="6"/>
  <c r="N1087" i="6"/>
  <c r="N1088" i="6"/>
  <c r="N1089" i="6"/>
  <c r="N1090" i="6"/>
  <c r="N1091" i="6"/>
  <c r="N1092" i="6"/>
  <c r="N1093" i="6"/>
  <c r="N1094" i="6"/>
  <c r="N1095" i="6"/>
  <c r="N1096" i="6"/>
  <c r="N2" i="6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2" i="7"/>
  <c r="M4" i="4"/>
  <c r="L4" i="4" s="1"/>
  <c r="M5" i="4"/>
  <c r="L5" i="4" s="1"/>
  <c r="M6" i="4"/>
  <c r="L6" i="4" s="1"/>
  <c r="M7" i="4"/>
  <c r="L7" i="4" s="1"/>
  <c r="M8" i="4"/>
  <c r="L8" i="4" s="1"/>
  <c r="M9" i="4"/>
  <c r="L9" i="4" s="1"/>
  <c r="M10" i="4"/>
  <c r="L10" i="4" s="1"/>
  <c r="M11" i="4"/>
  <c r="L11" i="4" s="1"/>
  <c r="M12" i="4"/>
  <c r="L12" i="4" s="1"/>
  <c r="M13" i="4"/>
  <c r="L13" i="4" s="1"/>
  <c r="M14" i="4"/>
  <c r="L14" i="4" s="1"/>
  <c r="M15" i="4"/>
  <c r="L15" i="4" s="1"/>
  <c r="M18" i="4"/>
  <c r="L18" i="4" s="1"/>
  <c r="M19" i="4"/>
  <c r="L19" i="4" s="1"/>
  <c r="M20" i="4"/>
  <c r="L20" i="4" s="1"/>
  <c r="M21" i="4"/>
  <c r="L21" i="4" s="1"/>
  <c r="M22" i="4"/>
  <c r="L22" i="4" s="1"/>
  <c r="M23" i="4"/>
  <c r="L23" i="4" s="1"/>
  <c r="M24" i="4"/>
  <c r="L24" i="4" s="1"/>
  <c r="M25" i="4"/>
  <c r="L25" i="4" s="1"/>
  <c r="M26" i="4"/>
  <c r="L26" i="4" s="1"/>
  <c r="M27" i="4"/>
  <c r="L27" i="4" s="1"/>
  <c r="M28" i="4"/>
  <c r="L28" i="4" s="1"/>
  <c r="M29" i="4"/>
  <c r="L29" i="4" s="1"/>
  <c r="M30" i="4"/>
  <c r="L30" i="4" s="1"/>
  <c r="M33" i="4"/>
  <c r="L33" i="4" s="1"/>
  <c r="M34" i="4"/>
  <c r="L34" i="4" s="1"/>
  <c r="M35" i="4"/>
  <c r="L35" i="4" s="1"/>
  <c r="M36" i="4"/>
  <c r="L36" i="4" s="1"/>
  <c r="M37" i="4"/>
  <c r="L37" i="4" s="1"/>
  <c r="M38" i="4"/>
  <c r="L38" i="4" s="1"/>
  <c r="M39" i="4"/>
  <c r="L39" i="4" s="1"/>
  <c r="M40" i="4"/>
  <c r="L40" i="4" s="1"/>
  <c r="M41" i="4"/>
  <c r="L41" i="4" s="1"/>
  <c r="M42" i="4"/>
  <c r="L42" i="4" s="1"/>
  <c r="M43" i="4"/>
  <c r="L43" i="4" s="1"/>
  <c r="M44" i="4"/>
  <c r="L44" i="4" s="1"/>
  <c r="M45" i="4"/>
  <c r="L45" i="4" s="1"/>
  <c r="M48" i="4"/>
  <c r="L48" i="4" s="1"/>
  <c r="M49" i="4"/>
  <c r="L49" i="4" s="1"/>
  <c r="M50" i="4"/>
  <c r="L50" i="4" s="1"/>
  <c r="M51" i="4"/>
  <c r="L51" i="4" s="1"/>
  <c r="M52" i="4"/>
  <c r="L52" i="4" s="1"/>
  <c r="M53" i="4"/>
  <c r="L53" i="4" s="1"/>
  <c r="M54" i="4"/>
  <c r="L54" i="4" s="1"/>
  <c r="M55" i="4"/>
  <c r="L55" i="4" s="1"/>
  <c r="M56" i="4"/>
  <c r="L56" i="4" s="1"/>
  <c r="M57" i="4"/>
  <c r="L57" i="4" s="1"/>
  <c r="M58" i="4"/>
  <c r="L58" i="4" s="1"/>
  <c r="M59" i="4"/>
  <c r="L59" i="4" s="1"/>
  <c r="M60" i="4"/>
  <c r="L60" i="4" s="1"/>
  <c r="M63" i="4"/>
  <c r="L63" i="4" s="1"/>
  <c r="M64" i="4"/>
  <c r="L64" i="4" s="1"/>
  <c r="M65" i="4"/>
  <c r="L65" i="4" s="1"/>
  <c r="M66" i="4"/>
  <c r="L66" i="4" s="1"/>
  <c r="M67" i="4"/>
  <c r="L67" i="4" s="1"/>
  <c r="M68" i="4"/>
  <c r="L68" i="4" s="1"/>
  <c r="M69" i="4"/>
  <c r="L69" i="4" s="1"/>
  <c r="M70" i="4"/>
  <c r="L70" i="4" s="1"/>
  <c r="M71" i="4"/>
  <c r="L71" i="4" s="1"/>
  <c r="M72" i="4"/>
  <c r="L72" i="4" s="1"/>
  <c r="M73" i="4"/>
  <c r="L73" i="4" s="1"/>
  <c r="M74" i="4"/>
  <c r="L74" i="4" s="1"/>
  <c r="M75" i="4"/>
  <c r="L75" i="4" s="1"/>
  <c r="M78" i="4"/>
  <c r="L78" i="4" s="1"/>
  <c r="M79" i="4"/>
  <c r="L79" i="4" s="1"/>
  <c r="M80" i="4"/>
  <c r="L80" i="4" s="1"/>
  <c r="M81" i="4"/>
  <c r="L81" i="4" s="1"/>
  <c r="M82" i="4"/>
  <c r="L82" i="4" s="1"/>
  <c r="M83" i="4"/>
  <c r="L83" i="4" s="1"/>
  <c r="M84" i="4"/>
  <c r="L84" i="4" s="1"/>
  <c r="M85" i="4"/>
  <c r="L85" i="4" s="1"/>
  <c r="M86" i="4"/>
  <c r="L86" i="4" s="1"/>
  <c r="M87" i="4"/>
  <c r="L87" i="4" s="1"/>
  <c r="M88" i="4"/>
  <c r="L88" i="4" s="1"/>
  <c r="M89" i="4"/>
  <c r="L89" i="4" s="1"/>
  <c r="M90" i="4"/>
  <c r="L90" i="4" s="1"/>
  <c r="M93" i="4"/>
  <c r="L93" i="4" s="1"/>
  <c r="M94" i="4"/>
  <c r="L94" i="4" s="1"/>
  <c r="M95" i="4"/>
  <c r="L95" i="4" s="1"/>
  <c r="M96" i="4"/>
  <c r="L96" i="4" s="1"/>
  <c r="M97" i="4"/>
  <c r="L97" i="4" s="1"/>
  <c r="M98" i="4"/>
  <c r="L98" i="4" s="1"/>
  <c r="M99" i="4"/>
  <c r="L99" i="4" s="1"/>
  <c r="M100" i="4"/>
  <c r="L100" i="4" s="1"/>
  <c r="M101" i="4"/>
  <c r="L101" i="4" s="1"/>
  <c r="M102" i="4"/>
  <c r="L102" i="4" s="1"/>
  <c r="M103" i="4"/>
  <c r="L103" i="4" s="1"/>
  <c r="M104" i="4"/>
  <c r="L104" i="4" s="1"/>
  <c r="M105" i="4"/>
  <c r="L105" i="4" s="1"/>
  <c r="M108" i="4"/>
  <c r="L108" i="4" s="1"/>
  <c r="M109" i="4"/>
  <c r="L109" i="4" s="1"/>
  <c r="M110" i="4"/>
  <c r="L110" i="4" s="1"/>
  <c r="M111" i="4"/>
  <c r="L111" i="4" s="1"/>
  <c r="M112" i="4"/>
  <c r="L112" i="4" s="1"/>
  <c r="M113" i="4"/>
  <c r="L113" i="4" s="1"/>
  <c r="M114" i="4"/>
  <c r="L114" i="4" s="1"/>
  <c r="M115" i="4"/>
  <c r="L115" i="4" s="1"/>
  <c r="M116" i="4"/>
  <c r="L116" i="4" s="1"/>
  <c r="M117" i="4"/>
  <c r="L117" i="4" s="1"/>
  <c r="M118" i="4"/>
  <c r="L118" i="4" s="1"/>
  <c r="M119" i="4"/>
  <c r="L119" i="4" s="1"/>
  <c r="M120" i="4"/>
  <c r="L120" i="4" s="1"/>
  <c r="M123" i="4"/>
  <c r="L123" i="4" s="1"/>
  <c r="M124" i="4"/>
  <c r="L124" i="4" s="1"/>
  <c r="M125" i="4"/>
  <c r="L125" i="4" s="1"/>
  <c r="M126" i="4"/>
  <c r="L126" i="4" s="1"/>
  <c r="M127" i="4"/>
  <c r="L127" i="4" s="1"/>
  <c r="M128" i="4"/>
  <c r="L128" i="4" s="1"/>
  <c r="M129" i="4"/>
  <c r="L129" i="4" s="1"/>
  <c r="M130" i="4"/>
  <c r="L130" i="4" s="1"/>
  <c r="M131" i="4"/>
  <c r="L131" i="4" s="1"/>
  <c r="M132" i="4"/>
  <c r="L132" i="4" s="1"/>
  <c r="M133" i="4"/>
  <c r="L133" i="4" s="1"/>
  <c r="M134" i="4"/>
  <c r="L134" i="4" s="1"/>
  <c r="M135" i="4"/>
  <c r="L135" i="4" s="1"/>
  <c r="M138" i="4"/>
  <c r="L138" i="4" s="1"/>
  <c r="M139" i="4"/>
  <c r="L139" i="4" s="1"/>
  <c r="M140" i="4"/>
  <c r="L140" i="4" s="1"/>
  <c r="M141" i="4"/>
  <c r="L141" i="4" s="1"/>
  <c r="M142" i="4"/>
  <c r="L142" i="4" s="1"/>
  <c r="M143" i="4"/>
  <c r="L143" i="4" s="1"/>
  <c r="M144" i="4"/>
  <c r="L144" i="4" s="1"/>
  <c r="M145" i="4"/>
  <c r="L145" i="4" s="1"/>
  <c r="M146" i="4"/>
  <c r="L146" i="4" s="1"/>
  <c r="M147" i="4"/>
  <c r="L147" i="4" s="1"/>
  <c r="M148" i="4"/>
  <c r="L148" i="4" s="1"/>
  <c r="M149" i="4"/>
  <c r="L149" i="4" s="1"/>
  <c r="M150" i="4"/>
  <c r="L150" i="4" s="1"/>
  <c r="M153" i="4"/>
  <c r="L153" i="4" s="1"/>
  <c r="M154" i="4"/>
  <c r="L154" i="4" s="1"/>
  <c r="M155" i="4"/>
  <c r="L155" i="4" s="1"/>
  <c r="M156" i="4"/>
  <c r="L156" i="4" s="1"/>
  <c r="M157" i="4"/>
  <c r="L157" i="4" s="1"/>
  <c r="M158" i="4"/>
  <c r="L158" i="4" s="1"/>
  <c r="M159" i="4"/>
  <c r="L159" i="4" s="1"/>
  <c r="M160" i="4"/>
  <c r="L160" i="4" s="1"/>
  <c r="M161" i="4"/>
  <c r="L161" i="4" s="1"/>
  <c r="M162" i="4"/>
  <c r="L162" i="4" s="1"/>
  <c r="M163" i="4"/>
  <c r="L163" i="4" s="1"/>
  <c r="M164" i="4"/>
  <c r="L164" i="4" s="1"/>
  <c r="M165" i="4"/>
  <c r="L165" i="4" s="1"/>
  <c r="M168" i="4"/>
  <c r="L168" i="4" s="1"/>
  <c r="M169" i="4"/>
  <c r="L169" i="4" s="1"/>
  <c r="M170" i="4"/>
  <c r="L170" i="4" s="1"/>
  <c r="M171" i="4"/>
  <c r="L171" i="4" s="1"/>
  <c r="M172" i="4"/>
  <c r="L172" i="4" s="1"/>
  <c r="M173" i="4"/>
  <c r="L173" i="4" s="1"/>
  <c r="M174" i="4"/>
  <c r="L174" i="4" s="1"/>
  <c r="M175" i="4"/>
  <c r="L175" i="4" s="1"/>
  <c r="M176" i="4"/>
  <c r="L176" i="4" s="1"/>
  <c r="M177" i="4"/>
  <c r="L177" i="4" s="1"/>
  <c r="M178" i="4"/>
  <c r="L178" i="4" s="1"/>
  <c r="M179" i="4"/>
  <c r="L179" i="4" s="1"/>
  <c r="M180" i="4"/>
  <c r="L180" i="4" s="1"/>
  <c r="M183" i="4"/>
  <c r="L183" i="4" s="1"/>
  <c r="M184" i="4"/>
  <c r="L184" i="4" s="1"/>
  <c r="M185" i="4"/>
  <c r="L185" i="4" s="1"/>
  <c r="M186" i="4"/>
  <c r="L186" i="4" s="1"/>
  <c r="M187" i="4"/>
  <c r="L187" i="4" s="1"/>
  <c r="M188" i="4"/>
  <c r="L188" i="4" s="1"/>
  <c r="M189" i="4"/>
  <c r="L189" i="4" s="1"/>
  <c r="M190" i="4"/>
  <c r="L190" i="4" s="1"/>
  <c r="M191" i="4"/>
  <c r="L191" i="4" s="1"/>
  <c r="M192" i="4"/>
  <c r="L192" i="4" s="1"/>
  <c r="M193" i="4"/>
  <c r="L193" i="4" s="1"/>
  <c r="M194" i="4"/>
  <c r="L194" i="4" s="1"/>
  <c r="M195" i="4"/>
  <c r="L195" i="4" s="1"/>
  <c r="M198" i="4"/>
  <c r="L198" i="4" s="1"/>
  <c r="M199" i="4"/>
  <c r="L199" i="4" s="1"/>
  <c r="M200" i="4"/>
  <c r="L200" i="4" s="1"/>
  <c r="M201" i="4"/>
  <c r="L201" i="4" s="1"/>
  <c r="M202" i="4"/>
  <c r="L202" i="4" s="1"/>
  <c r="M203" i="4"/>
  <c r="L203" i="4" s="1"/>
  <c r="M204" i="4"/>
  <c r="L204" i="4" s="1"/>
  <c r="M205" i="4"/>
  <c r="L205" i="4" s="1"/>
  <c r="M206" i="4"/>
  <c r="L206" i="4" s="1"/>
  <c r="M207" i="4"/>
  <c r="L207" i="4" s="1"/>
  <c r="M208" i="4"/>
  <c r="L208" i="4" s="1"/>
  <c r="M209" i="4"/>
  <c r="L209" i="4" s="1"/>
  <c r="M210" i="4"/>
  <c r="L210" i="4" s="1"/>
  <c r="M213" i="4"/>
  <c r="L213" i="4" s="1"/>
  <c r="M214" i="4"/>
  <c r="L214" i="4" s="1"/>
  <c r="M215" i="4"/>
  <c r="L215" i="4" s="1"/>
  <c r="M216" i="4"/>
  <c r="L216" i="4" s="1"/>
  <c r="M217" i="4"/>
  <c r="L217" i="4" s="1"/>
  <c r="M218" i="4"/>
  <c r="L218" i="4" s="1"/>
  <c r="M219" i="4"/>
  <c r="L219" i="4" s="1"/>
  <c r="M220" i="4"/>
  <c r="L220" i="4" s="1"/>
  <c r="M221" i="4"/>
  <c r="L221" i="4" s="1"/>
  <c r="M222" i="4"/>
  <c r="L222" i="4" s="1"/>
  <c r="M223" i="4"/>
  <c r="L223" i="4" s="1"/>
  <c r="M224" i="4"/>
  <c r="L224" i="4" s="1"/>
  <c r="M225" i="4"/>
  <c r="L225" i="4" s="1"/>
  <c r="M228" i="4"/>
  <c r="L228" i="4" s="1"/>
  <c r="M229" i="4"/>
  <c r="L229" i="4" s="1"/>
  <c r="M230" i="4"/>
  <c r="L230" i="4" s="1"/>
  <c r="M231" i="4"/>
  <c r="L231" i="4" s="1"/>
  <c r="M232" i="4"/>
  <c r="L232" i="4" s="1"/>
  <c r="M233" i="4"/>
  <c r="L233" i="4" s="1"/>
  <c r="M234" i="4"/>
  <c r="L234" i="4" s="1"/>
  <c r="M235" i="4"/>
  <c r="L235" i="4" s="1"/>
  <c r="M236" i="4"/>
  <c r="L236" i="4" s="1"/>
  <c r="M237" i="4"/>
  <c r="L237" i="4" s="1"/>
  <c r="M238" i="4"/>
  <c r="L238" i="4" s="1"/>
  <c r="M239" i="4"/>
  <c r="L239" i="4" s="1"/>
  <c r="M240" i="4"/>
  <c r="L240" i="4" s="1"/>
  <c r="M243" i="4"/>
  <c r="L243" i="4" s="1"/>
  <c r="M244" i="4"/>
  <c r="L244" i="4" s="1"/>
  <c r="M245" i="4"/>
  <c r="L245" i="4" s="1"/>
  <c r="M246" i="4"/>
  <c r="L246" i="4" s="1"/>
  <c r="M247" i="4"/>
  <c r="L247" i="4" s="1"/>
  <c r="M248" i="4"/>
  <c r="L248" i="4" s="1"/>
  <c r="M249" i="4"/>
  <c r="L249" i="4" s="1"/>
  <c r="M250" i="4"/>
  <c r="L250" i="4" s="1"/>
  <c r="M251" i="4"/>
  <c r="L251" i="4" s="1"/>
  <c r="M252" i="4"/>
  <c r="L252" i="4" s="1"/>
  <c r="M253" i="4"/>
  <c r="L253" i="4" s="1"/>
  <c r="M254" i="4"/>
  <c r="L254" i="4" s="1"/>
  <c r="M255" i="4"/>
  <c r="L255" i="4" s="1"/>
  <c r="M258" i="4"/>
  <c r="L258" i="4" s="1"/>
  <c r="M259" i="4"/>
  <c r="L259" i="4" s="1"/>
  <c r="M260" i="4"/>
  <c r="L260" i="4" s="1"/>
  <c r="M261" i="4"/>
  <c r="L261" i="4" s="1"/>
  <c r="M262" i="4"/>
  <c r="L262" i="4" s="1"/>
  <c r="M263" i="4"/>
  <c r="L263" i="4" s="1"/>
  <c r="M264" i="4"/>
  <c r="L264" i="4" s="1"/>
  <c r="M265" i="4"/>
  <c r="L265" i="4" s="1"/>
  <c r="M266" i="4"/>
  <c r="L266" i="4" s="1"/>
  <c r="M267" i="4"/>
  <c r="L267" i="4" s="1"/>
  <c r="M268" i="4"/>
  <c r="L268" i="4" s="1"/>
  <c r="M269" i="4"/>
  <c r="L269" i="4" s="1"/>
  <c r="M270" i="4"/>
  <c r="L270" i="4" s="1"/>
  <c r="M273" i="4"/>
  <c r="L273" i="4" s="1"/>
  <c r="M274" i="4"/>
  <c r="L274" i="4" s="1"/>
  <c r="M275" i="4"/>
  <c r="L275" i="4" s="1"/>
  <c r="M276" i="4"/>
  <c r="L276" i="4" s="1"/>
  <c r="M277" i="4"/>
  <c r="L277" i="4" s="1"/>
  <c r="M278" i="4"/>
  <c r="L278" i="4" s="1"/>
  <c r="M279" i="4"/>
  <c r="L279" i="4" s="1"/>
  <c r="M280" i="4"/>
  <c r="L280" i="4" s="1"/>
  <c r="M281" i="4"/>
  <c r="L281" i="4" s="1"/>
  <c r="M282" i="4"/>
  <c r="L282" i="4" s="1"/>
  <c r="M283" i="4"/>
  <c r="L283" i="4" s="1"/>
  <c r="M284" i="4"/>
  <c r="L284" i="4" s="1"/>
  <c r="M285" i="4"/>
  <c r="L285" i="4" s="1"/>
  <c r="M288" i="4"/>
  <c r="L288" i="4" s="1"/>
  <c r="M289" i="4"/>
  <c r="L289" i="4" s="1"/>
  <c r="M290" i="4"/>
  <c r="L290" i="4" s="1"/>
  <c r="M291" i="4"/>
  <c r="L291" i="4" s="1"/>
  <c r="M292" i="4"/>
  <c r="L292" i="4" s="1"/>
  <c r="M293" i="4"/>
  <c r="L293" i="4" s="1"/>
  <c r="M294" i="4"/>
  <c r="L294" i="4" s="1"/>
  <c r="M295" i="4"/>
  <c r="L295" i="4" s="1"/>
  <c r="M296" i="4"/>
  <c r="L296" i="4" s="1"/>
  <c r="M297" i="4"/>
  <c r="L297" i="4" s="1"/>
  <c r="M298" i="4"/>
  <c r="L298" i="4" s="1"/>
  <c r="M299" i="4"/>
  <c r="L299" i="4" s="1"/>
  <c r="M300" i="4"/>
  <c r="L300" i="4" s="1"/>
  <c r="M303" i="4"/>
  <c r="L303" i="4" s="1"/>
  <c r="M304" i="4"/>
  <c r="L304" i="4" s="1"/>
  <c r="M305" i="4"/>
  <c r="L305" i="4" s="1"/>
  <c r="M306" i="4"/>
  <c r="L306" i="4" s="1"/>
  <c r="M307" i="4"/>
  <c r="L307" i="4" s="1"/>
  <c r="M308" i="4"/>
  <c r="L308" i="4" s="1"/>
  <c r="M309" i="4"/>
  <c r="L309" i="4" s="1"/>
  <c r="M310" i="4"/>
  <c r="L310" i="4" s="1"/>
  <c r="M311" i="4"/>
  <c r="L311" i="4" s="1"/>
  <c r="M312" i="4"/>
  <c r="L312" i="4" s="1"/>
  <c r="M313" i="4"/>
  <c r="L313" i="4" s="1"/>
  <c r="M314" i="4"/>
  <c r="L314" i="4" s="1"/>
  <c r="M315" i="4"/>
  <c r="L315" i="4" s="1"/>
  <c r="M318" i="4"/>
  <c r="L318" i="4" s="1"/>
  <c r="M319" i="4"/>
  <c r="L319" i="4" s="1"/>
  <c r="M320" i="4"/>
  <c r="L320" i="4" s="1"/>
  <c r="M321" i="4"/>
  <c r="L321" i="4" s="1"/>
  <c r="M322" i="4"/>
  <c r="L322" i="4" s="1"/>
  <c r="M323" i="4"/>
  <c r="L323" i="4" s="1"/>
  <c r="M324" i="4"/>
  <c r="L324" i="4" s="1"/>
  <c r="M325" i="4"/>
  <c r="L325" i="4" s="1"/>
  <c r="M326" i="4"/>
  <c r="L326" i="4" s="1"/>
  <c r="M327" i="4"/>
  <c r="L327" i="4" s="1"/>
  <c r="M328" i="4"/>
  <c r="L328" i="4" s="1"/>
  <c r="M329" i="4"/>
  <c r="L329" i="4" s="1"/>
  <c r="M330" i="4"/>
  <c r="L330" i="4" s="1"/>
  <c r="M333" i="4"/>
  <c r="L333" i="4" s="1"/>
  <c r="M334" i="4"/>
  <c r="L334" i="4" s="1"/>
  <c r="M335" i="4"/>
  <c r="L335" i="4" s="1"/>
  <c r="M336" i="4"/>
  <c r="L336" i="4" s="1"/>
  <c r="M337" i="4"/>
  <c r="L337" i="4" s="1"/>
  <c r="M338" i="4"/>
  <c r="L338" i="4" s="1"/>
  <c r="M339" i="4"/>
  <c r="L339" i="4" s="1"/>
  <c r="M340" i="4"/>
  <c r="L340" i="4" s="1"/>
  <c r="M341" i="4"/>
  <c r="L341" i="4" s="1"/>
  <c r="M342" i="4"/>
  <c r="L342" i="4" s="1"/>
  <c r="M343" i="4"/>
  <c r="L343" i="4" s="1"/>
  <c r="M344" i="4"/>
  <c r="L344" i="4" s="1"/>
  <c r="M345" i="4"/>
  <c r="L345" i="4" s="1"/>
  <c r="M348" i="4"/>
  <c r="L348" i="4" s="1"/>
  <c r="M349" i="4"/>
  <c r="L349" i="4" s="1"/>
  <c r="M350" i="4"/>
  <c r="L350" i="4" s="1"/>
  <c r="M351" i="4"/>
  <c r="L351" i="4" s="1"/>
  <c r="M352" i="4"/>
  <c r="L352" i="4" s="1"/>
  <c r="M353" i="4"/>
  <c r="L353" i="4" s="1"/>
  <c r="M354" i="4"/>
  <c r="L354" i="4" s="1"/>
  <c r="M355" i="4"/>
  <c r="L355" i="4" s="1"/>
  <c r="M356" i="4"/>
  <c r="L356" i="4" s="1"/>
  <c r="M357" i="4"/>
  <c r="L357" i="4" s="1"/>
  <c r="M358" i="4"/>
  <c r="L358" i="4" s="1"/>
  <c r="M359" i="4"/>
  <c r="L359" i="4" s="1"/>
  <c r="M360" i="4"/>
  <c r="L360" i="4" s="1"/>
  <c r="M363" i="4"/>
  <c r="L363" i="4" s="1"/>
  <c r="M364" i="4"/>
  <c r="L364" i="4" s="1"/>
  <c r="M365" i="4"/>
  <c r="L365" i="4" s="1"/>
  <c r="M366" i="4"/>
  <c r="L366" i="4" s="1"/>
  <c r="M367" i="4"/>
  <c r="L367" i="4" s="1"/>
  <c r="M368" i="4"/>
  <c r="L368" i="4" s="1"/>
  <c r="M369" i="4"/>
  <c r="L369" i="4" s="1"/>
  <c r="M370" i="4"/>
  <c r="L370" i="4" s="1"/>
  <c r="M371" i="4"/>
  <c r="L371" i="4" s="1"/>
  <c r="M372" i="4"/>
  <c r="L372" i="4" s="1"/>
  <c r="M373" i="4"/>
  <c r="L373" i="4" s="1"/>
  <c r="M374" i="4"/>
  <c r="L374" i="4" s="1"/>
  <c r="M375" i="4"/>
  <c r="L375" i="4" s="1"/>
  <c r="M378" i="4"/>
  <c r="L378" i="4" s="1"/>
  <c r="M379" i="4"/>
  <c r="L379" i="4" s="1"/>
  <c r="M380" i="4"/>
  <c r="L380" i="4" s="1"/>
  <c r="M381" i="4"/>
  <c r="L381" i="4" s="1"/>
  <c r="M382" i="4"/>
  <c r="L382" i="4" s="1"/>
  <c r="M383" i="4"/>
  <c r="L383" i="4" s="1"/>
  <c r="M384" i="4"/>
  <c r="L384" i="4" s="1"/>
  <c r="M385" i="4"/>
  <c r="L385" i="4" s="1"/>
  <c r="M386" i="4"/>
  <c r="L386" i="4" s="1"/>
  <c r="M387" i="4"/>
  <c r="L387" i="4" s="1"/>
  <c r="M388" i="4"/>
  <c r="L388" i="4" s="1"/>
  <c r="M389" i="4"/>
  <c r="L389" i="4" s="1"/>
  <c r="M390" i="4"/>
  <c r="L390" i="4" s="1"/>
  <c r="M393" i="4"/>
  <c r="L393" i="4" s="1"/>
  <c r="M394" i="4"/>
  <c r="L394" i="4" s="1"/>
  <c r="M395" i="4"/>
  <c r="L395" i="4" s="1"/>
  <c r="M396" i="4"/>
  <c r="L396" i="4" s="1"/>
  <c r="M397" i="4"/>
  <c r="L397" i="4" s="1"/>
  <c r="M398" i="4"/>
  <c r="L398" i="4" s="1"/>
  <c r="M399" i="4"/>
  <c r="L399" i="4" s="1"/>
  <c r="M400" i="4"/>
  <c r="L400" i="4" s="1"/>
  <c r="M401" i="4"/>
  <c r="L401" i="4" s="1"/>
  <c r="M402" i="4"/>
  <c r="L402" i="4" s="1"/>
  <c r="M403" i="4"/>
  <c r="L403" i="4" s="1"/>
  <c r="M404" i="4"/>
  <c r="L404" i="4" s="1"/>
  <c r="M405" i="4"/>
  <c r="L405" i="4" s="1"/>
  <c r="M408" i="4"/>
  <c r="L408" i="4" s="1"/>
  <c r="M409" i="4"/>
  <c r="L409" i="4" s="1"/>
  <c r="M410" i="4"/>
  <c r="L410" i="4" s="1"/>
  <c r="M411" i="4"/>
  <c r="L411" i="4" s="1"/>
  <c r="M412" i="4"/>
  <c r="L412" i="4" s="1"/>
  <c r="M413" i="4"/>
  <c r="L413" i="4" s="1"/>
  <c r="M414" i="4"/>
  <c r="L414" i="4" s="1"/>
  <c r="M415" i="4"/>
  <c r="L415" i="4" s="1"/>
  <c r="M416" i="4"/>
  <c r="L416" i="4" s="1"/>
  <c r="M417" i="4"/>
  <c r="L417" i="4" s="1"/>
  <c r="M418" i="4"/>
  <c r="L418" i="4" s="1"/>
  <c r="M419" i="4"/>
  <c r="L419" i="4" s="1"/>
  <c r="M420" i="4"/>
  <c r="L420" i="4" s="1"/>
  <c r="M423" i="4"/>
  <c r="L423" i="4" s="1"/>
  <c r="M424" i="4"/>
  <c r="L424" i="4" s="1"/>
  <c r="M425" i="4"/>
  <c r="L425" i="4" s="1"/>
  <c r="M426" i="4"/>
  <c r="L426" i="4" s="1"/>
  <c r="M427" i="4"/>
  <c r="L427" i="4" s="1"/>
  <c r="M428" i="4"/>
  <c r="L428" i="4" s="1"/>
  <c r="M429" i="4"/>
  <c r="L429" i="4" s="1"/>
  <c r="M430" i="4"/>
  <c r="L430" i="4" s="1"/>
  <c r="M431" i="4"/>
  <c r="L431" i="4" s="1"/>
  <c r="M432" i="4"/>
  <c r="L432" i="4" s="1"/>
  <c r="M433" i="4"/>
  <c r="L433" i="4" s="1"/>
  <c r="M434" i="4"/>
  <c r="L434" i="4" s="1"/>
  <c r="M435" i="4"/>
  <c r="L435" i="4" s="1"/>
  <c r="M438" i="4"/>
  <c r="L438" i="4" s="1"/>
  <c r="M439" i="4"/>
  <c r="L439" i="4" s="1"/>
  <c r="M440" i="4"/>
  <c r="L440" i="4" s="1"/>
  <c r="M441" i="4"/>
  <c r="L441" i="4" s="1"/>
  <c r="M442" i="4"/>
  <c r="L442" i="4" s="1"/>
  <c r="M443" i="4"/>
  <c r="L443" i="4" s="1"/>
  <c r="M444" i="4"/>
  <c r="L444" i="4" s="1"/>
  <c r="M445" i="4"/>
  <c r="L445" i="4" s="1"/>
  <c r="M446" i="4"/>
  <c r="L446" i="4" s="1"/>
  <c r="M447" i="4"/>
  <c r="L447" i="4" s="1"/>
  <c r="M448" i="4"/>
  <c r="L448" i="4" s="1"/>
  <c r="M449" i="4"/>
  <c r="L449" i="4" s="1"/>
  <c r="M450" i="4"/>
  <c r="L450" i="4" s="1"/>
  <c r="M453" i="4"/>
  <c r="L453" i="4" s="1"/>
  <c r="M454" i="4"/>
  <c r="L454" i="4" s="1"/>
  <c r="M455" i="4"/>
  <c r="L455" i="4" s="1"/>
  <c r="M456" i="4"/>
  <c r="L456" i="4" s="1"/>
  <c r="M457" i="4"/>
  <c r="L457" i="4" s="1"/>
  <c r="M458" i="4"/>
  <c r="L458" i="4" s="1"/>
  <c r="M459" i="4"/>
  <c r="L459" i="4" s="1"/>
  <c r="M460" i="4"/>
  <c r="L460" i="4" s="1"/>
  <c r="M461" i="4"/>
  <c r="L461" i="4" s="1"/>
  <c r="M462" i="4"/>
  <c r="L462" i="4" s="1"/>
  <c r="M463" i="4"/>
  <c r="L463" i="4" s="1"/>
  <c r="M464" i="4"/>
  <c r="L464" i="4" s="1"/>
  <c r="M465" i="4"/>
  <c r="L465" i="4" s="1"/>
  <c r="M468" i="4"/>
  <c r="L468" i="4" s="1"/>
  <c r="M469" i="4"/>
  <c r="L469" i="4" s="1"/>
  <c r="M470" i="4"/>
  <c r="L470" i="4" s="1"/>
  <c r="M471" i="4"/>
  <c r="L471" i="4" s="1"/>
  <c r="M472" i="4"/>
  <c r="L472" i="4" s="1"/>
  <c r="M473" i="4"/>
  <c r="L473" i="4" s="1"/>
  <c r="M474" i="4"/>
  <c r="L474" i="4" s="1"/>
  <c r="M475" i="4"/>
  <c r="L475" i="4" s="1"/>
  <c r="M476" i="4"/>
  <c r="L476" i="4" s="1"/>
  <c r="M477" i="4"/>
  <c r="L477" i="4" s="1"/>
  <c r="M478" i="4"/>
  <c r="L478" i="4" s="1"/>
  <c r="M479" i="4"/>
  <c r="L479" i="4" s="1"/>
  <c r="M480" i="4"/>
  <c r="L480" i="4" s="1"/>
  <c r="M483" i="4"/>
  <c r="L483" i="4" s="1"/>
  <c r="M484" i="4"/>
  <c r="L484" i="4" s="1"/>
  <c r="M485" i="4"/>
  <c r="L485" i="4" s="1"/>
  <c r="M486" i="4"/>
  <c r="L486" i="4" s="1"/>
  <c r="M487" i="4"/>
  <c r="L487" i="4" s="1"/>
  <c r="M488" i="4"/>
  <c r="L488" i="4" s="1"/>
  <c r="M489" i="4"/>
  <c r="L489" i="4" s="1"/>
  <c r="M490" i="4"/>
  <c r="L490" i="4" s="1"/>
  <c r="M491" i="4"/>
  <c r="L491" i="4" s="1"/>
  <c r="M492" i="4"/>
  <c r="L492" i="4" s="1"/>
  <c r="M493" i="4"/>
  <c r="L493" i="4" s="1"/>
  <c r="M494" i="4"/>
  <c r="L494" i="4" s="1"/>
  <c r="M495" i="4"/>
  <c r="L495" i="4" s="1"/>
  <c r="M498" i="4"/>
  <c r="L498" i="4" s="1"/>
  <c r="M499" i="4"/>
  <c r="L499" i="4" s="1"/>
  <c r="M500" i="4"/>
  <c r="L500" i="4" s="1"/>
  <c r="M501" i="4"/>
  <c r="L501" i="4" s="1"/>
  <c r="M502" i="4"/>
  <c r="L502" i="4" s="1"/>
  <c r="M503" i="4"/>
  <c r="L503" i="4" s="1"/>
  <c r="M504" i="4"/>
  <c r="L504" i="4" s="1"/>
  <c r="M505" i="4"/>
  <c r="L505" i="4" s="1"/>
  <c r="M506" i="4"/>
  <c r="L506" i="4" s="1"/>
  <c r="M507" i="4"/>
  <c r="L507" i="4" s="1"/>
  <c r="M508" i="4"/>
  <c r="L508" i="4" s="1"/>
  <c r="M509" i="4"/>
  <c r="L509" i="4" s="1"/>
  <c r="M510" i="4"/>
  <c r="L510" i="4" s="1"/>
  <c r="M513" i="4"/>
  <c r="L513" i="4" s="1"/>
  <c r="M514" i="4"/>
  <c r="L514" i="4" s="1"/>
  <c r="M515" i="4"/>
  <c r="L515" i="4" s="1"/>
  <c r="M516" i="4"/>
  <c r="L516" i="4" s="1"/>
  <c r="M517" i="4"/>
  <c r="L517" i="4" s="1"/>
  <c r="M518" i="4"/>
  <c r="L518" i="4" s="1"/>
  <c r="M519" i="4"/>
  <c r="L519" i="4" s="1"/>
  <c r="M520" i="4"/>
  <c r="L520" i="4" s="1"/>
  <c r="M521" i="4"/>
  <c r="L521" i="4" s="1"/>
  <c r="M522" i="4"/>
  <c r="L522" i="4" s="1"/>
  <c r="M523" i="4"/>
  <c r="L523" i="4" s="1"/>
  <c r="M524" i="4"/>
  <c r="L524" i="4" s="1"/>
  <c r="M525" i="4"/>
  <c r="L525" i="4" s="1"/>
  <c r="M528" i="4"/>
  <c r="L528" i="4" s="1"/>
  <c r="M529" i="4"/>
  <c r="L529" i="4" s="1"/>
  <c r="M530" i="4"/>
  <c r="L530" i="4" s="1"/>
  <c r="M531" i="4"/>
  <c r="L531" i="4" s="1"/>
  <c r="M532" i="4"/>
  <c r="L532" i="4" s="1"/>
  <c r="M533" i="4"/>
  <c r="L533" i="4" s="1"/>
  <c r="M534" i="4"/>
  <c r="L534" i="4" s="1"/>
  <c r="M535" i="4"/>
  <c r="L535" i="4" s="1"/>
  <c r="M536" i="4"/>
  <c r="L536" i="4" s="1"/>
  <c r="M537" i="4"/>
  <c r="L537" i="4" s="1"/>
  <c r="M538" i="4"/>
  <c r="L538" i="4" s="1"/>
  <c r="M539" i="4"/>
  <c r="L539" i="4" s="1"/>
  <c r="M540" i="4"/>
  <c r="L540" i="4" s="1"/>
  <c r="M543" i="4"/>
  <c r="L543" i="4" s="1"/>
  <c r="M544" i="4"/>
  <c r="L544" i="4" s="1"/>
  <c r="M545" i="4"/>
  <c r="L545" i="4" s="1"/>
  <c r="M546" i="4"/>
  <c r="L546" i="4" s="1"/>
  <c r="M547" i="4"/>
  <c r="L547" i="4" s="1"/>
  <c r="M548" i="4"/>
  <c r="L548" i="4" s="1"/>
  <c r="M549" i="4"/>
  <c r="L549" i="4" s="1"/>
  <c r="M550" i="4"/>
  <c r="L550" i="4" s="1"/>
  <c r="M551" i="4"/>
  <c r="L551" i="4" s="1"/>
  <c r="M552" i="4"/>
  <c r="L552" i="4" s="1"/>
  <c r="M553" i="4"/>
  <c r="L553" i="4" s="1"/>
  <c r="M554" i="4"/>
  <c r="L554" i="4" s="1"/>
  <c r="M555" i="4"/>
  <c r="L555" i="4" s="1"/>
  <c r="M558" i="4"/>
  <c r="L558" i="4" s="1"/>
  <c r="M559" i="4"/>
  <c r="L559" i="4" s="1"/>
  <c r="M560" i="4"/>
  <c r="L560" i="4" s="1"/>
  <c r="M561" i="4"/>
  <c r="L561" i="4" s="1"/>
  <c r="M562" i="4"/>
  <c r="L562" i="4" s="1"/>
  <c r="M563" i="4"/>
  <c r="L563" i="4" s="1"/>
  <c r="M564" i="4"/>
  <c r="L564" i="4" s="1"/>
  <c r="M565" i="4"/>
  <c r="L565" i="4" s="1"/>
  <c r="M566" i="4"/>
  <c r="L566" i="4" s="1"/>
  <c r="M567" i="4"/>
  <c r="L567" i="4" s="1"/>
  <c r="M568" i="4"/>
  <c r="L568" i="4" s="1"/>
  <c r="M569" i="4"/>
  <c r="L569" i="4" s="1"/>
  <c r="M570" i="4"/>
  <c r="L570" i="4" s="1"/>
  <c r="M573" i="4"/>
  <c r="L573" i="4" s="1"/>
  <c r="M574" i="4"/>
  <c r="L574" i="4" s="1"/>
  <c r="M575" i="4"/>
  <c r="L575" i="4" s="1"/>
  <c r="M576" i="4"/>
  <c r="L576" i="4" s="1"/>
  <c r="M577" i="4"/>
  <c r="L577" i="4" s="1"/>
  <c r="M578" i="4"/>
  <c r="L578" i="4" s="1"/>
  <c r="M579" i="4"/>
  <c r="L579" i="4" s="1"/>
  <c r="M580" i="4"/>
  <c r="L580" i="4" s="1"/>
  <c r="M581" i="4"/>
  <c r="L581" i="4" s="1"/>
  <c r="M582" i="4"/>
  <c r="L582" i="4" s="1"/>
  <c r="M583" i="4"/>
  <c r="L583" i="4" s="1"/>
  <c r="M584" i="4"/>
  <c r="L584" i="4" s="1"/>
  <c r="M585" i="4"/>
  <c r="L585" i="4" s="1"/>
  <c r="M588" i="4"/>
  <c r="L588" i="4" s="1"/>
  <c r="M589" i="4"/>
  <c r="L589" i="4" s="1"/>
  <c r="M590" i="4"/>
  <c r="L590" i="4" s="1"/>
  <c r="M591" i="4"/>
  <c r="L591" i="4" s="1"/>
  <c r="M592" i="4"/>
  <c r="L592" i="4" s="1"/>
  <c r="M593" i="4"/>
  <c r="L593" i="4" s="1"/>
  <c r="M594" i="4"/>
  <c r="L594" i="4" s="1"/>
  <c r="M595" i="4"/>
  <c r="L595" i="4" s="1"/>
  <c r="M596" i="4"/>
  <c r="L596" i="4" s="1"/>
  <c r="M597" i="4"/>
  <c r="L597" i="4" s="1"/>
  <c r="M598" i="4"/>
  <c r="L598" i="4" s="1"/>
  <c r="M599" i="4"/>
  <c r="L599" i="4" s="1"/>
  <c r="M600" i="4"/>
  <c r="L600" i="4" s="1"/>
  <c r="M603" i="4"/>
  <c r="L603" i="4" s="1"/>
  <c r="M604" i="4"/>
  <c r="L604" i="4" s="1"/>
  <c r="M605" i="4"/>
  <c r="L605" i="4" s="1"/>
  <c r="M606" i="4"/>
  <c r="L606" i="4" s="1"/>
  <c r="M607" i="4"/>
  <c r="L607" i="4" s="1"/>
  <c r="M608" i="4"/>
  <c r="L608" i="4" s="1"/>
  <c r="M609" i="4"/>
  <c r="L609" i="4" s="1"/>
  <c r="M610" i="4"/>
  <c r="L610" i="4" s="1"/>
  <c r="M611" i="4"/>
  <c r="L611" i="4" s="1"/>
  <c r="M612" i="4"/>
  <c r="L612" i="4" s="1"/>
  <c r="M613" i="4"/>
  <c r="L613" i="4" s="1"/>
  <c r="M614" i="4"/>
  <c r="L614" i="4" s="1"/>
  <c r="M615" i="4"/>
  <c r="L615" i="4" s="1"/>
  <c r="M618" i="4"/>
  <c r="L618" i="4" s="1"/>
  <c r="M619" i="4"/>
  <c r="L619" i="4" s="1"/>
  <c r="M620" i="4"/>
  <c r="L620" i="4" s="1"/>
  <c r="M621" i="4"/>
  <c r="L621" i="4" s="1"/>
  <c r="M622" i="4"/>
  <c r="L622" i="4" s="1"/>
  <c r="M623" i="4"/>
  <c r="L623" i="4" s="1"/>
  <c r="M624" i="4"/>
  <c r="L624" i="4" s="1"/>
  <c r="M625" i="4"/>
  <c r="L625" i="4" s="1"/>
  <c r="M626" i="4"/>
  <c r="L626" i="4" s="1"/>
  <c r="M627" i="4"/>
  <c r="L627" i="4" s="1"/>
  <c r="M628" i="4"/>
  <c r="L628" i="4" s="1"/>
  <c r="M629" i="4"/>
  <c r="L629" i="4" s="1"/>
  <c r="M630" i="4"/>
  <c r="L630" i="4" s="1"/>
  <c r="M633" i="4"/>
  <c r="L633" i="4" s="1"/>
  <c r="M634" i="4"/>
  <c r="L634" i="4" s="1"/>
  <c r="M635" i="4"/>
  <c r="L635" i="4" s="1"/>
  <c r="M636" i="4"/>
  <c r="L636" i="4" s="1"/>
  <c r="M637" i="4"/>
  <c r="L637" i="4" s="1"/>
  <c r="M638" i="4"/>
  <c r="L638" i="4" s="1"/>
  <c r="M639" i="4"/>
  <c r="L639" i="4" s="1"/>
  <c r="M640" i="4"/>
  <c r="L640" i="4" s="1"/>
  <c r="M641" i="4"/>
  <c r="L641" i="4" s="1"/>
  <c r="M642" i="4"/>
  <c r="L642" i="4" s="1"/>
  <c r="M643" i="4"/>
  <c r="L643" i="4" s="1"/>
  <c r="M644" i="4"/>
  <c r="L644" i="4" s="1"/>
  <c r="M645" i="4"/>
  <c r="L645" i="4" s="1"/>
  <c r="M648" i="4"/>
  <c r="L648" i="4" s="1"/>
  <c r="M649" i="4"/>
  <c r="L649" i="4" s="1"/>
  <c r="M650" i="4"/>
  <c r="L650" i="4" s="1"/>
  <c r="M651" i="4"/>
  <c r="L651" i="4" s="1"/>
  <c r="M652" i="4"/>
  <c r="L652" i="4" s="1"/>
  <c r="M653" i="4"/>
  <c r="L653" i="4" s="1"/>
  <c r="M654" i="4"/>
  <c r="L654" i="4" s="1"/>
  <c r="M655" i="4"/>
  <c r="L655" i="4" s="1"/>
  <c r="M656" i="4"/>
  <c r="L656" i="4" s="1"/>
  <c r="M657" i="4"/>
  <c r="L657" i="4" s="1"/>
  <c r="M658" i="4"/>
  <c r="L658" i="4" s="1"/>
  <c r="M659" i="4"/>
  <c r="L659" i="4" s="1"/>
  <c r="M660" i="4"/>
  <c r="L660" i="4" s="1"/>
  <c r="M663" i="4"/>
  <c r="L663" i="4" s="1"/>
  <c r="M664" i="4"/>
  <c r="L664" i="4" s="1"/>
  <c r="M665" i="4"/>
  <c r="L665" i="4" s="1"/>
  <c r="M666" i="4"/>
  <c r="L666" i="4" s="1"/>
  <c r="M667" i="4"/>
  <c r="L667" i="4" s="1"/>
  <c r="M668" i="4"/>
  <c r="L668" i="4" s="1"/>
  <c r="M669" i="4"/>
  <c r="L669" i="4" s="1"/>
  <c r="M670" i="4"/>
  <c r="L670" i="4" s="1"/>
  <c r="M671" i="4"/>
  <c r="L671" i="4" s="1"/>
  <c r="M672" i="4"/>
  <c r="L672" i="4" s="1"/>
  <c r="M673" i="4"/>
  <c r="L673" i="4" s="1"/>
  <c r="M674" i="4"/>
  <c r="L674" i="4" s="1"/>
  <c r="M675" i="4"/>
  <c r="L675" i="4" s="1"/>
  <c r="M678" i="4"/>
  <c r="L678" i="4" s="1"/>
  <c r="M679" i="4"/>
  <c r="L679" i="4" s="1"/>
  <c r="M680" i="4"/>
  <c r="L680" i="4" s="1"/>
  <c r="M681" i="4"/>
  <c r="L681" i="4" s="1"/>
  <c r="M682" i="4"/>
  <c r="L682" i="4" s="1"/>
  <c r="M683" i="4"/>
  <c r="L683" i="4" s="1"/>
  <c r="M684" i="4"/>
  <c r="L684" i="4" s="1"/>
  <c r="M685" i="4"/>
  <c r="L685" i="4" s="1"/>
  <c r="M686" i="4"/>
  <c r="L686" i="4" s="1"/>
  <c r="M687" i="4"/>
  <c r="L687" i="4" s="1"/>
  <c r="M688" i="4"/>
  <c r="L688" i="4" s="1"/>
  <c r="M689" i="4"/>
  <c r="L689" i="4" s="1"/>
  <c r="M690" i="4"/>
  <c r="L690" i="4" s="1"/>
  <c r="M693" i="4"/>
  <c r="L693" i="4" s="1"/>
  <c r="M694" i="4"/>
  <c r="L694" i="4" s="1"/>
  <c r="M695" i="4"/>
  <c r="L695" i="4" s="1"/>
  <c r="M696" i="4"/>
  <c r="L696" i="4" s="1"/>
  <c r="M697" i="4"/>
  <c r="L697" i="4" s="1"/>
  <c r="M698" i="4"/>
  <c r="L698" i="4" s="1"/>
  <c r="M699" i="4"/>
  <c r="L699" i="4" s="1"/>
  <c r="M700" i="4"/>
  <c r="L700" i="4" s="1"/>
  <c r="M701" i="4"/>
  <c r="L701" i="4" s="1"/>
  <c r="M702" i="4"/>
  <c r="L702" i="4" s="1"/>
  <c r="M703" i="4"/>
  <c r="L703" i="4" s="1"/>
  <c r="M704" i="4"/>
  <c r="L704" i="4" s="1"/>
  <c r="M705" i="4"/>
  <c r="L705" i="4" s="1"/>
  <c r="M708" i="4"/>
  <c r="L708" i="4" s="1"/>
  <c r="M709" i="4"/>
  <c r="L709" i="4" s="1"/>
  <c r="M710" i="4"/>
  <c r="L710" i="4" s="1"/>
  <c r="M711" i="4"/>
  <c r="L711" i="4" s="1"/>
  <c r="M712" i="4"/>
  <c r="L712" i="4" s="1"/>
  <c r="M713" i="4"/>
  <c r="L713" i="4" s="1"/>
  <c r="M714" i="4"/>
  <c r="L714" i="4" s="1"/>
  <c r="M715" i="4"/>
  <c r="L715" i="4" s="1"/>
  <c r="M716" i="4"/>
  <c r="L716" i="4" s="1"/>
  <c r="M717" i="4"/>
  <c r="L717" i="4" s="1"/>
  <c r="M718" i="4"/>
  <c r="L718" i="4" s="1"/>
  <c r="M719" i="4"/>
  <c r="L719" i="4" s="1"/>
  <c r="M720" i="4"/>
  <c r="L720" i="4" s="1"/>
  <c r="M723" i="4"/>
  <c r="L723" i="4" s="1"/>
  <c r="M724" i="4"/>
  <c r="L724" i="4" s="1"/>
  <c r="M725" i="4"/>
  <c r="L725" i="4" s="1"/>
  <c r="M726" i="4"/>
  <c r="L726" i="4" s="1"/>
  <c r="M727" i="4"/>
  <c r="L727" i="4" s="1"/>
  <c r="M728" i="4"/>
  <c r="L728" i="4" s="1"/>
  <c r="M729" i="4"/>
  <c r="L729" i="4" s="1"/>
  <c r="M730" i="4"/>
  <c r="L730" i="4" s="1"/>
  <c r="M731" i="4"/>
  <c r="L731" i="4" s="1"/>
  <c r="M732" i="4"/>
  <c r="L732" i="4" s="1"/>
  <c r="M733" i="4"/>
  <c r="L733" i="4" s="1"/>
  <c r="M734" i="4"/>
  <c r="L734" i="4" s="1"/>
  <c r="M735" i="4"/>
  <c r="L735" i="4" s="1"/>
  <c r="M738" i="4"/>
  <c r="L738" i="4" s="1"/>
  <c r="M739" i="4"/>
  <c r="L739" i="4" s="1"/>
  <c r="M740" i="4"/>
  <c r="L740" i="4" s="1"/>
  <c r="M741" i="4"/>
  <c r="L741" i="4" s="1"/>
  <c r="M742" i="4"/>
  <c r="L742" i="4" s="1"/>
  <c r="M743" i="4"/>
  <c r="L743" i="4" s="1"/>
  <c r="M744" i="4"/>
  <c r="L744" i="4" s="1"/>
  <c r="M745" i="4"/>
  <c r="L745" i="4" s="1"/>
  <c r="M746" i="4"/>
  <c r="L746" i="4" s="1"/>
  <c r="M747" i="4"/>
  <c r="L747" i="4" s="1"/>
  <c r="M748" i="4"/>
  <c r="L748" i="4" s="1"/>
  <c r="M749" i="4"/>
  <c r="L749" i="4" s="1"/>
  <c r="M750" i="4"/>
  <c r="L750" i="4" s="1"/>
  <c r="M753" i="4"/>
  <c r="L753" i="4" s="1"/>
  <c r="M754" i="4"/>
  <c r="L754" i="4" s="1"/>
  <c r="M755" i="4"/>
  <c r="L755" i="4" s="1"/>
  <c r="M756" i="4"/>
  <c r="L756" i="4" s="1"/>
  <c r="M757" i="4"/>
  <c r="L757" i="4" s="1"/>
  <c r="M758" i="4"/>
  <c r="L758" i="4" s="1"/>
  <c r="M759" i="4"/>
  <c r="L759" i="4" s="1"/>
  <c r="M760" i="4"/>
  <c r="L760" i="4" s="1"/>
  <c r="M761" i="4"/>
  <c r="L761" i="4" s="1"/>
  <c r="M762" i="4"/>
  <c r="L762" i="4" s="1"/>
  <c r="M763" i="4"/>
  <c r="L763" i="4" s="1"/>
  <c r="M764" i="4"/>
  <c r="L764" i="4" s="1"/>
  <c r="M765" i="4"/>
  <c r="L765" i="4" s="1"/>
  <c r="M768" i="4"/>
  <c r="L768" i="4" s="1"/>
  <c r="M769" i="4"/>
  <c r="L769" i="4" s="1"/>
  <c r="M770" i="4"/>
  <c r="L770" i="4" s="1"/>
  <c r="M771" i="4"/>
  <c r="L771" i="4" s="1"/>
  <c r="M772" i="4"/>
  <c r="L772" i="4" s="1"/>
  <c r="M773" i="4"/>
  <c r="L773" i="4" s="1"/>
  <c r="M774" i="4"/>
  <c r="L774" i="4" s="1"/>
  <c r="M775" i="4"/>
  <c r="L775" i="4" s="1"/>
  <c r="M776" i="4"/>
  <c r="L776" i="4" s="1"/>
  <c r="M777" i="4"/>
  <c r="L777" i="4" s="1"/>
  <c r="M778" i="4"/>
  <c r="L778" i="4" s="1"/>
  <c r="M779" i="4"/>
  <c r="L779" i="4" s="1"/>
  <c r="M780" i="4"/>
  <c r="L780" i="4" s="1"/>
  <c r="M783" i="4"/>
  <c r="L783" i="4" s="1"/>
  <c r="M784" i="4"/>
  <c r="L784" i="4" s="1"/>
  <c r="M785" i="4"/>
  <c r="L785" i="4" s="1"/>
  <c r="M786" i="4"/>
  <c r="L786" i="4" s="1"/>
  <c r="M787" i="4"/>
  <c r="L787" i="4" s="1"/>
  <c r="M788" i="4"/>
  <c r="L788" i="4" s="1"/>
  <c r="M789" i="4"/>
  <c r="L789" i="4" s="1"/>
  <c r="M790" i="4"/>
  <c r="L790" i="4" s="1"/>
  <c r="M791" i="4"/>
  <c r="L791" i="4" s="1"/>
  <c r="M792" i="4"/>
  <c r="L792" i="4" s="1"/>
  <c r="M793" i="4"/>
  <c r="L793" i="4" s="1"/>
  <c r="M794" i="4"/>
  <c r="L794" i="4" s="1"/>
  <c r="M795" i="4"/>
  <c r="L795" i="4" s="1"/>
  <c r="M798" i="4"/>
  <c r="L798" i="4" s="1"/>
  <c r="M799" i="4"/>
  <c r="L799" i="4" s="1"/>
  <c r="M800" i="4"/>
  <c r="L800" i="4" s="1"/>
  <c r="M801" i="4"/>
  <c r="L801" i="4" s="1"/>
  <c r="M802" i="4"/>
  <c r="L802" i="4" s="1"/>
  <c r="M803" i="4"/>
  <c r="L803" i="4" s="1"/>
  <c r="M804" i="4"/>
  <c r="L804" i="4" s="1"/>
  <c r="M805" i="4"/>
  <c r="L805" i="4" s="1"/>
  <c r="M806" i="4"/>
  <c r="L806" i="4" s="1"/>
  <c r="M807" i="4"/>
  <c r="L807" i="4" s="1"/>
  <c r="M808" i="4"/>
  <c r="L808" i="4" s="1"/>
  <c r="M809" i="4"/>
  <c r="L809" i="4" s="1"/>
  <c r="M810" i="4"/>
  <c r="L810" i="4" s="1"/>
  <c r="M813" i="4"/>
  <c r="L813" i="4" s="1"/>
  <c r="M814" i="4"/>
  <c r="L814" i="4" s="1"/>
  <c r="M815" i="4"/>
  <c r="L815" i="4" s="1"/>
  <c r="M816" i="4"/>
  <c r="L816" i="4" s="1"/>
  <c r="M817" i="4"/>
  <c r="L817" i="4" s="1"/>
  <c r="M818" i="4"/>
  <c r="L818" i="4" s="1"/>
  <c r="M819" i="4"/>
  <c r="L819" i="4" s="1"/>
  <c r="M820" i="4"/>
  <c r="L820" i="4" s="1"/>
  <c r="M821" i="4"/>
  <c r="L821" i="4" s="1"/>
  <c r="M822" i="4"/>
  <c r="L822" i="4" s="1"/>
  <c r="M823" i="4"/>
  <c r="L823" i="4" s="1"/>
  <c r="M824" i="4"/>
  <c r="L824" i="4" s="1"/>
  <c r="M825" i="4"/>
  <c r="L825" i="4" s="1"/>
  <c r="M828" i="4"/>
  <c r="L828" i="4" s="1"/>
  <c r="M829" i="4"/>
  <c r="L829" i="4" s="1"/>
  <c r="M830" i="4"/>
  <c r="L830" i="4" s="1"/>
  <c r="M831" i="4"/>
  <c r="L831" i="4" s="1"/>
  <c r="M832" i="4"/>
  <c r="L832" i="4" s="1"/>
  <c r="M833" i="4"/>
  <c r="L833" i="4" s="1"/>
  <c r="M834" i="4"/>
  <c r="L834" i="4" s="1"/>
  <c r="M835" i="4"/>
  <c r="L835" i="4" s="1"/>
  <c r="M836" i="4"/>
  <c r="L836" i="4" s="1"/>
  <c r="M837" i="4"/>
  <c r="L837" i="4" s="1"/>
  <c r="M838" i="4"/>
  <c r="L838" i="4" s="1"/>
  <c r="M839" i="4"/>
  <c r="L839" i="4" s="1"/>
  <c r="M840" i="4"/>
  <c r="L840" i="4" s="1"/>
  <c r="M843" i="4"/>
  <c r="L843" i="4" s="1"/>
  <c r="M844" i="4"/>
  <c r="L844" i="4" s="1"/>
  <c r="M845" i="4"/>
  <c r="L845" i="4" s="1"/>
  <c r="M846" i="4"/>
  <c r="L846" i="4" s="1"/>
  <c r="M847" i="4"/>
  <c r="L847" i="4" s="1"/>
  <c r="M848" i="4"/>
  <c r="L848" i="4" s="1"/>
  <c r="M849" i="4"/>
  <c r="L849" i="4" s="1"/>
  <c r="M850" i="4"/>
  <c r="L850" i="4" s="1"/>
  <c r="M851" i="4"/>
  <c r="L851" i="4" s="1"/>
  <c r="M852" i="4"/>
  <c r="L852" i="4" s="1"/>
  <c r="M853" i="4"/>
  <c r="L853" i="4" s="1"/>
  <c r="M854" i="4"/>
  <c r="L854" i="4" s="1"/>
  <c r="M855" i="4"/>
  <c r="L855" i="4" s="1"/>
  <c r="M858" i="4"/>
  <c r="L858" i="4" s="1"/>
  <c r="M859" i="4"/>
  <c r="L859" i="4" s="1"/>
  <c r="M860" i="4"/>
  <c r="L860" i="4" s="1"/>
  <c r="M861" i="4"/>
  <c r="L861" i="4" s="1"/>
  <c r="M862" i="4"/>
  <c r="L862" i="4" s="1"/>
  <c r="M863" i="4"/>
  <c r="L863" i="4" s="1"/>
  <c r="M864" i="4"/>
  <c r="L864" i="4" s="1"/>
  <c r="M865" i="4"/>
  <c r="L865" i="4" s="1"/>
  <c r="M866" i="4"/>
  <c r="L866" i="4" s="1"/>
  <c r="M867" i="4"/>
  <c r="L867" i="4" s="1"/>
  <c r="M868" i="4"/>
  <c r="L868" i="4" s="1"/>
  <c r="M869" i="4"/>
  <c r="L869" i="4" s="1"/>
  <c r="M870" i="4"/>
  <c r="L870" i="4" s="1"/>
  <c r="M873" i="4"/>
  <c r="L873" i="4" s="1"/>
  <c r="M874" i="4"/>
  <c r="L874" i="4" s="1"/>
  <c r="M875" i="4"/>
  <c r="L875" i="4" s="1"/>
  <c r="M876" i="4"/>
  <c r="L876" i="4" s="1"/>
  <c r="G876" i="4" s="1"/>
  <c r="M877" i="4"/>
  <c r="L877" i="4" s="1"/>
  <c r="G877" i="4" s="1"/>
  <c r="M878" i="4"/>
  <c r="L878" i="4" s="1"/>
  <c r="H878" i="4" s="1"/>
  <c r="M879" i="4"/>
  <c r="L879" i="4" s="1"/>
  <c r="H879" i="4" s="1"/>
  <c r="M880" i="4"/>
  <c r="L880" i="4" s="1"/>
  <c r="H880" i="4" s="1"/>
  <c r="M881" i="4"/>
  <c r="L881" i="4" s="1"/>
  <c r="M882" i="4"/>
  <c r="L882" i="4" s="1"/>
  <c r="M883" i="4"/>
  <c r="L883" i="4" s="1"/>
  <c r="M884" i="4"/>
  <c r="L884" i="4" s="1"/>
  <c r="M885" i="4"/>
  <c r="L885" i="4" s="1"/>
  <c r="H885" i="4" s="1"/>
  <c r="M888" i="4"/>
  <c r="L888" i="4" s="1"/>
  <c r="M889" i="4"/>
  <c r="L889" i="4" s="1"/>
  <c r="M890" i="4"/>
  <c r="L890" i="4" s="1"/>
  <c r="M891" i="4"/>
  <c r="L891" i="4" s="1"/>
  <c r="M892" i="4"/>
  <c r="L892" i="4" s="1"/>
  <c r="M893" i="4"/>
  <c r="L893" i="4" s="1"/>
  <c r="M894" i="4"/>
  <c r="L894" i="4" s="1"/>
  <c r="M895" i="4"/>
  <c r="L895" i="4" s="1"/>
  <c r="M896" i="4"/>
  <c r="L896" i="4" s="1"/>
  <c r="M897" i="4"/>
  <c r="L897" i="4" s="1"/>
  <c r="M898" i="4"/>
  <c r="L898" i="4" s="1"/>
  <c r="M899" i="4"/>
  <c r="L899" i="4" s="1"/>
  <c r="M900" i="4"/>
  <c r="L900" i="4" s="1"/>
  <c r="M903" i="4"/>
  <c r="L903" i="4" s="1"/>
  <c r="M904" i="4"/>
  <c r="L904" i="4" s="1"/>
  <c r="M905" i="4"/>
  <c r="L905" i="4" s="1"/>
  <c r="M906" i="4"/>
  <c r="L906" i="4" s="1"/>
  <c r="M907" i="4"/>
  <c r="L907" i="4" s="1"/>
  <c r="M908" i="4"/>
  <c r="L908" i="4" s="1"/>
  <c r="M909" i="4"/>
  <c r="L909" i="4" s="1"/>
  <c r="M910" i="4"/>
  <c r="L910" i="4" s="1"/>
  <c r="M911" i="4"/>
  <c r="L911" i="4" s="1"/>
  <c r="M912" i="4"/>
  <c r="L912" i="4" s="1"/>
  <c r="M913" i="4"/>
  <c r="L913" i="4" s="1"/>
  <c r="M914" i="4"/>
  <c r="L914" i="4" s="1"/>
  <c r="M915" i="4"/>
  <c r="L915" i="4" s="1"/>
  <c r="M918" i="4"/>
  <c r="L918" i="4" s="1"/>
  <c r="M919" i="4"/>
  <c r="L919" i="4" s="1"/>
  <c r="M920" i="4"/>
  <c r="L920" i="4" s="1"/>
  <c r="M921" i="4"/>
  <c r="L921" i="4" s="1"/>
  <c r="M922" i="4"/>
  <c r="L922" i="4" s="1"/>
  <c r="M923" i="4"/>
  <c r="L923" i="4" s="1"/>
  <c r="M924" i="4"/>
  <c r="L924" i="4" s="1"/>
  <c r="M925" i="4"/>
  <c r="L925" i="4" s="1"/>
  <c r="M926" i="4"/>
  <c r="L926" i="4" s="1"/>
  <c r="M927" i="4"/>
  <c r="L927" i="4" s="1"/>
  <c r="M928" i="4"/>
  <c r="L928" i="4" s="1"/>
  <c r="M929" i="4"/>
  <c r="L929" i="4" s="1"/>
  <c r="M930" i="4"/>
  <c r="L930" i="4" s="1"/>
  <c r="M933" i="4"/>
  <c r="L933" i="4" s="1"/>
  <c r="H933" i="4" s="1"/>
  <c r="M934" i="4"/>
  <c r="L934" i="4" s="1"/>
  <c r="H934" i="4" s="1"/>
  <c r="M935" i="4"/>
  <c r="L935" i="4" s="1"/>
  <c r="H935" i="4" s="1"/>
  <c r="M936" i="4"/>
  <c r="L936" i="4" s="1"/>
  <c r="M937" i="4"/>
  <c r="L937" i="4" s="1"/>
  <c r="M938" i="4"/>
  <c r="L938" i="4" s="1"/>
  <c r="H938" i="4" s="1"/>
  <c r="M939" i="4"/>
  <c r="L939" i="4" s="1"/>
  <c r="H939" i="4" s="1"/>
  <c r="M940" i="4"/>
  <c r="L940" i="4" s="1"/>
  <c r="G940" i="4" s="1"/>
  <c r="M941" i="4"/>
  <c r="L941" i="4" s="1"/>
  <c r="G941" i="4" s="1"/>
  <c r="M942" i="4"/>
  <c r="L942" i="4" s="1"/>
  <c r="G942" i="4" s="1"/>
  <c r="M943" i="4"/>
  <c r="L943" i="4" s="1"/>
  <c r="H943" i="4" s="1"/>
  <c r="M944" i="4"/>
  <c r="L944" i="4" s="1"/>
  <c r="H944" i="4" s="1"/>
  <c r="M945" i="4"/>
  <c r="L945" i="4" s="1"/>
  <c r="H945" i="4" s="1"/>
  <c r="M948" i="4"/>
  <c r="L948" i="4" s="1"/>
  <c r="M949" i="4"/>
  <c r="L949" i="4" s="1"/>
  <c r="M950" i="4"/>
  <c r="L950" i="4" s="1"/>
  <c r="M951" i="4"/>
  <c r="L951" i="4" s="1"/>
  <c r="M952" i="4"/>
  <c r="L952" i="4" s="1"/>
  <c r="M953" i="4"/>
  <c r="L953" i="4" s="1"/>
  <c r="M954" i="4"/>
  <c r="L954" i="4" s="1"/>
  <c r="M955" i="4"/>
  <c r="L955" i="4" s="1"/>
  <c r="M956" i="4"/>
  <c r="L956" i="4" s="1"/>
  <c r="M957" i="4"/>
  <c r="L957" i="4" s="1"/>
  <c r="M958" i="4"/>
  <c r="L958" i="4" s="1"/>
  <c r="M959" i="4"/>
  <c r="L959" i="4" s="1"/>
  <c r="M960" i="4"/>
  <c r="L960" i="4" s="1"/>
  <c r="M963" i="4"/>
  <c r="L963" i="4" s="1"/>
  <c r="M964" i="4"/>
  <c r="L964" i="4" s="1"/>
  <c r="M965" i="4"/>
  <c r="L965" i="4" s="1"/>
  <c r="M966" i="4"/>
  <c r="L966" i="4" s="1"/>
  <c r="M967" i="4"/>
  <c r="L967" i="4" s="1"/>
  <c r="M968" i="4"/>
  <c r="L968" i="4" s="1"/>
  <c r="M969" i="4"/>
  <c r="L969" i="4" s="1"/>
  <c r="M970" i="4"/>
  <c r="L970" i="4" s="1"/>
  <c r="M971" i="4"/>
  <c r="L971" i="4" s="1"/>
  <c r="M972" i="4"/>
  <c r="L972" i="4" s="1"/>
  <c r="M973" i="4"/>
  <c r="L973" i="4" s="1"/>
  <c r="M974" i="4"/>
  <c r="L974" i="4" s="1"/>
  <c r="M975" i="4"/>
  <c r="L975" i="4" s="1"/>
  <c r="M978" i="4"/>
  <c r="L978" i="4" s="1"/>
  <c r="M979" i="4"/>
  <c r="L979" i="4" s="1"/>
  <c r="M980" i="4"/>
  <c r="L980" i="4" s="1"/>
  <c r="M981" i="4"/>
  <c r="L981" i="4" s="1"/>
  <c r="M982" i="4"/>
  <c r="L982" i="4" s="1"/>
  <c r="M983" i="4"/>
  <c r="L983" i="4" s="1"/>
  <c r="M984" i="4"/>
  <c r="L984" i="4" s="1"/>
  <c r="M985" i="4"/>
  <c r="L985" i="4" s="1"/>
  <c r="M986" i="4"/>
  <c r="L986" i="4" s="1"/>
  <c r="M987" i="4"/>
  <c r="L987" i="4" s="1"/>
  <c r="M988" i="4"/>
  <c r="L988" i="4" s="1"/>
  <c r="M989" i="4"/>
  <c r="L989" i="4" s="1"/>
  <c r="M990" i="4"/>
  <c r="L990" i="4" s="1"/>
  <c r="M993" i="4"/>
  <c r="L993" i="4" s="1"/>
  <c r="H993" i="4" s="1"/>
  <c r="M994" i="4"/>
  <c r="L994" i="4" s="1"/>
  <c r="H994" i="4" s="1"/>
  <c r="M995" i="4"/>
  <c r="L995" i="4" s="1"/>
  <c r="G995" i="4" s="1"/>
  <c r="M996" i="4"/>
  <c r="L996" i="4" s="1"/>
  <c r="G996" i="4" s="1"/>
  <c r="M997" i="4"/>
  <c r="L997" i="4" s="1"/>
  <c r="M998" i="4"/>
  <c r="L998" i="4" s="1"/>
  <c r="M999" i="4"/>
  <c r="L999" i="4" s="1"/>
  <c r="M1000" i="4"/>
  <c r="L1000" i="4" s="1"/>
  <c r="M1001" i="4"/>
  <c r="L1001" i="4" s="1"/>
  <c r="M1002" i="4"/>
  <c r="L1002" i="4" s="1"/>
  <c r="M1003" i="4"/>
  <c r="L1003" i="4" s="1"/>
  <c r="H1003" i="4" s="1"/>
  <c r="M1004" i="4"/>
  <c r="L1004" i="4" s="1"/>
  <c r="H1004" i="4" s="1"/>
  <c r="M1005" i="4"/>
  <c r="L1005" i="4" s="1"/>
  <c r="M1008" i="4"/>
  <c r="L1008" i="4" s="1"/>
  <c r="M1009" i="4"/>
  <c r="L1009" i="4" s="1"/>
  <c r="M1010" i="4"/>
  <c r="L1010" i="4" s="1"/>
  <c r="M1011" i="4"/>
  <c r="L1011" i="4" s="1"/>
  <c r="M1012" i="4"/>
  <c r="L1012" i="4" s="1"/>
  <c r="M1013" i="4"/>
  <c r="L1013" i="4" s="1"/>
  <c r="M1014" i="4"/>
  <c r="L1014" i="4" s="1"/>
  <c r="M1015" i="4"/>
  <c r="L1015" i="4" s="1"/>
  <c r="M1016" i="4"/>
  <c r="L1016" i="4" s="1"/>
  <c r="M1017" i="4"/>
  <c r="L1017" i="4" s="1"/>
  <c r="M1018" i="4"/>
  <c r="L1018" i="4" s="1"/>
  <c r="M1019" i="4"/>
  <c r="L1019" i="4" s="1"/>
  <c r="M1020" i="4"/>
  <c r="L1020" i="4" s="1"/>
  <c r="M1023" i="4"/>
  <c r="L1023" i="4" s="1"/>
  <c r="M1024" i="4"/>
  <c r="L1024" i="4" s="1"/>
  <c r="M1025" i="4"/>
  <c r="L1025" i="4" s="1"/>
  <c r="M1026" i="4"/>
  <c r="L1026" i="4" s="1"/>
  <c r="M1027" i="4"/>
  <c r="L1027" i="4" s="1"/>
  <c r="M1028" i="4"/>
  <c r="L1028" i="4" s="1"/>
  <c r="M1029" i="4"/>
  <c r="L1029" i="4" s="1"/>
  <c r="M1030" i="4"/>
  <c r="L1030" i="4" s="1"/>
  <c r="M1031" i="4"/>
  <c r="L1031" i="4" s="1"/>
  <c r="M1032" i="4"/>
  <c r="L1032" i="4" s="1"/>
  <c r="M1033" i="4"/>
  <c r="L1033" i="4" s="1"/>
  <c r="M1034" i="4"/>
  <c r="L1034" i="4" s="1"/>
  <c r="M1035" i="4"/>
  <c r="L1035" i="4" s="1"/>
  <c r="M1038" i="4"/>
  <c r="L1038" i="4" s="1"/>
  <c r="M1039" i="4"/>
  <c r="L1039" i="4" s="1"/>
  <c r="M1040" i="4"/>
  <c r="L1040" i="4" s="1"/>
  <c r="M1041" i="4"/>
  <c r="L1041" i="4" s="1"/>
  <c r="M1042" i="4"/>
  <c r="L1042" i="4" s="1"/>
  <c r="M1043" i="4"/>
  <c r="L1043" i="4" s="1"/>
  <c r="M1044" i="4"/>
  <c r="L1044" i="4" s="1"/>
  <c r="M1045" i="4"/>
  <c r="L1045" i="4" s="1"/>
  <c r="M1046" i="4"/>
  <c r="L1046" i="4" s="1"/>
  <c r="M1047" i="4"/>
  <c r="L1047" i="4" s="1"/>
  <c r="M1048" i="4"/>
  <c r="L1048" i="4" s="1"/>
  <c r="M1049" i="4"/>
  <c r="L1049" i="4" s="1"/>
  <c r="M1050" i="4"/>
  <c r="L1050" i="4" s="1"/>
  <c r="M1053" i="4"/>
  <c r="L1053" i="4" s="1"/>
  <c r="G1053" i="4" s="1"/>
  <c r="M1054" i="4"/>
  <c r="L1054" i="4" s="1"/>
  <c r="H1054" i="4" s="1"/>
  <c r="M1055" i="4"/>
  <c r="L1055" i="4" s="1"/>
  <c r="M1056" i="4"/>
  <c r="L1056" i="4" s="1"/>
  <c r="G1056" i="4" s="1"/>
  <c r="M1057" i="4"/>
  <c r="L1057" i="4" s="1"/>
  <c r="M1058" i="4"/>
  <c r="L1058" i="4" s="1"/>
  <c r="M1059" i="4"/>
  <c r="L1059" i="4" s="1"/>
  <c r="M1060" i="4"/>
  <c r="L1060" i="4" s="1"/>
  <c r="M1061" i="4"/>
  <c r="L1061" i="4" s="1"/>
  <c r="M1062" i="4"/>
  <c r="L1062" i="4" s="1"/>
  <c r="M1063" i="4"/>
  <c r="L1063" i="4" s="1"/>
  <c r="G1063" i="4" s="1"/>
  <c r="M1064" i="4"/>
  <c r="L1064" i="4" s="1"/>
  <c r="H1064" i="4" s="1"/>
  <c r="M1065" i="4"/>
  <c r="L1065" i="4" s="1"/>
  <c r="M1068" i="4"/>
  <c r="L1068" i="4" s="1"/>
  <c r="M1069" i="4"/>
  <c r="L1069" i="4" s="1"/>
  <c r="M1070" i="4"/>
  <c r="L1070" i="4" s="1"/>
  <c r="M1071" i="4"/>
  <c r="L1071" i="4" s="1"/>
  <c r="M1072" i="4"/>
  <c r="L1072" i="4" s="1"/>
  <c r="M1073" i="4"/>
  <c r="L1073" i="4" s="1"/>
  <c r="M1074" i="4"/>
  <c r="L1074" i="4" s="1"/>
  <c r="M1075" i="4"/>
  <c r="L1075" i="4" s="1"/>
  <c r="M1076" i="4"/>
  <c r="L1076" i="4" s="1"/>
  <c r="M1077" i="4"/>
  <c r="L1077" i="4" s="1"/>
  <c r="M1078" i="4"/>
  <c r="L1078" i="4" s="1"/>
  <c r="M1079" i="4"/>
  <c r="L1079" i="4" s="1"/>
  <c r="M1080" i="4"/>
  <c r="L1080" i="4" s="1"/>
  <c r="M1083" i="4"/>
  <c r="L1083" i="4" s="1"/>
  <c r="M1084" i="4"/>
  <c r="L1084" i="4" s="1"/>
  <c r="M1085" i="4"/>
  <c r="L1085" i="4" s="1"/>
  <c r="M1086" i="4"/>
  <c r="L1086" i="4" s="1"/>
  <c r="M1087" i="4"/>
  <c r="L1087" i="4" s="1"/>
  <c r="M1088" i="4"/>
  <c r="L1088" i="4" s="1"/>
  <c r="M1089" i="4"/>
  <c r="L1089" i="4" s="1"/>
  <c r="M1090" i="4"/>
  <c r="L1090" i="4" s="1"/>
  <c r="M1091" i="4"/>
  <c r="L1091" i="4" s="1"/>
  <c r="M1092" i="4"/>
  <c r="L1092" i="4" s="1"/>
  <c r="M1093" i="4"/>
  <c r="L1093" i="4" s="1"/>
  <c r="M1094" i="4"/>
  <c r="L1094" i="4" s="1"/>
  <c r="M1095" i="4"/>
  <c r="L1095" i="4" s="1"/>
  <c r="M1098" i="4"/>
  <c r="L1098" i="4" s="1"/>
  <c r="M1099" i="4"/>
  <c r="L1099" i="4" s="1"/>
  <c r="M1100" i="4"/>
  <c r="L1100" i="4" s="1"/>
  <c r="M1101" i="4"/>
  <c r="L1101" i="4" s="1"/>
  <c r="M1102" i="4"/>
  <c r="L1102" i="4" s="1"/>
  <c r="M1103" i="4"/>
  <c r="L1103" i="4" s="1"/>
  <c r="M1104" i="4"/>
  <c r="L1104" i="4" s="1"/>
  <c r="M1105" i="4"/>
  <c r="L1105" i="4" s="1"/>
  <c r="M1106" i="4"/>
  <c r="L1106" i="4" s="1"/>
  <c r="M1107" i="4"/>
  <c r="L1107" i="4" s="1"/>
  <c r="M1108" i="4"/>
  <c r="L1108" i="4" s="1"/>
  <c r="M1109" i="4"/>
  <c r="L1109" i="4" s="1"/>
  <c r="M1110" i="4"/>
  <c r="L1110" i="4" s="1"/>
  <c r="M1113" i="4"/>
  <c r="L1113" i="4" s="1"/>
  <c r="M1114" i="4"/>
  <c r="L1114" i="4" s="1"/>
  <c r="M1115" i="4"/>
  <c r="L1115" i="4" s="1"/>
  <c r="M1116" i="4"/>
  <c r="L1116" i="4" s="1"/>
  <c r="M1117" i="4"/>
  <c r="L1117" i="4" s="1"/>
  <c r="M1118" i="4"/>
  <c r="L1118" i="4" s="1"/>
  <c r="M1119" i="4"/>
  <c r="L1119" i="4" s="1"/>
  <c r="M1120" i="4"/>
  <c r="L1120" i="4" s="1"/>
  <c r="M1121" i="4"/>
  <c r="L1121" i="4" s="1"/>
  <c r="M1122" i="4"/>
  <c r="L1122" i="4" s="1"/>
  <c r="M1123" i="4"/>
  <c r="L1123" i="4" s="1"/>
  <c r="M1124" i="4"/>
  <c r="L1124" i="4" s="1"/>
  <c r="M1125" i="4"/>
  <c r="L1125" i="4" s="1"/>
  <c r="M1128" i="4"/>
  <c r="L1128" i="4" s="1"/>
  <c r="G1128" i="4" s="1"/>
  <c r="M1129" i="4"/>
  <c r="L1129" i="4" s="1"/>
  <c r="G1129" i="4" s="1"/>
  <c r="M1130" i="4"/>
  <c r="L1130" i="4" s="1"/>
  <c r="M1131" i="4"/>
  <c r="L1131" i="4" s="1"/>
  <c r="M1132" i="4"/>
  <c r="L1132" i="4" s="1"/>
  <c r="M1133" i="4"/>
  <c r="L1133" i="4" s="1"/>
  <c r="G1133" i="4" s="1"/>
  <c r="M1134" i="4"/>
  <c r="L1134" i="4" s="1"/>
  <c r="H1134" i="4" s="1"/>
  <c r="M1135" i="4"/>
  <c r="L1135" i="4" s="1"/>
  <c r="M1136" i="4"/>
  <c r="L1136" i="4" s="1"/>
  <c r="G1136" i="4" s="1"/>
  <c r="M1137" i="4"/>
  <c r="L1137" i="4" s="1"/>
  <c r="G1137" i="4" s="1"/>
  <c r="M1138" i="4"/>
  <c r="L1138" i="4" s="1"/>
  <c r="G1138" i="4" s="1"/>
  <c r="M1139" i="4"/>
  <c r="L1139" i="4" s="1"/>
  <c r="G1139" i="4" s="1"/>
  <c r="M1140" i="4"/>
  <c r="L1140" i="4" s="1"/>
  <c r="M1143" i="4"/>
  <c r="L1143" i="4" s="1"/>
  <c r="M1144" i="4"/>
  <c r="L1144" i="4" s="1"/>
  <c r="M1145" i="4"/>
  <c r="L1145" i="4" s="1"/>
  <c r="M1146" i="4"/>
  <c r="L1146" i="4" s="1"/>
  <c r="M1147" i="4"/>
  <c r="L1147" i="4" s="1"/>
  <c r="M1148" i="4"/>
  <c r="L1148" i="4" s="1"/>
  <c r="M1149" i="4"/>
  <c r="L1149" i="4" s="1"/>
  <c r="M1150" i="4"/>
  <c r="L1150" i="4" s="1"/>
  <c r="M1151" i="4"/>
  <c r="L1151" i="4" s="1"/>
  <c r="M1152" i="4"/>
  <c r="L1152" i="4" s="1"/>
  <c r="M1153" i="4"/>
  <c r="L1153" i="4" s="1"/>
  <c r="M1154" i="4"/>
  <c r="L1154" i="4" s="1"/>
  <c r="M1155" i="4"/>
  <c r="L1155" i="4" s="1"/>
  <c r="M1158" i="4"/>
  <c r="L1158" i="4" s="1"/>
  <c r="M1159" i="4"/>
  <c r="L1159" i="4" s="1"/>
  <c r="M1160" i="4"/>
  <c r="L1160" i="4" s="1"/>
  <c r="M1161" i="4"/>
  <c r="L1161" i="4" s="1"/>
  <c r="M1162" i="4"/>
  <c r="L1162" i="4" s="1"/>
  <c r="M1163" i="4"/>
  <c r="L1163" i="4" s="1"/>
  <c r="M1164" i="4"/>
  <c r="L1164" i="4" s="1"/>
  <c r="M1165" i="4"/>
  <c r="L1165" i="4" s="1"/>
  <c r="M1166" i="4"/>
  <c r="L1166" i="4" s="1"/>
  <c r="M1167" i="4"/>
  <c r="L1167" i="4" s="1"/>
  <c r="M1168" i="4"/>
  <c r="L1168" i="4" s="1"/>
  <c r="M1169" i="4"/>
  <c r="L1169" i="4" s="1"/>
  <c r="M1170" i="4"/>
  <c r="L1170" i="4" s="1"/>
  <c r="M1173" i="4"/>
  <c r="L1173" i="4" s="1"/>
  <c r="M1174" i="4"/>
  <c r="L1174" i="4" s="1"/>
  <c r="M1175" i="4"/>
  <c r="L1175" i="4" s="1"/>
  <c r="M1176" i="4"/>
  <c r="L1176" i="4" s="1"/>
  <c r="M1177" i="4"/>
  <c r="L1177" i="4" s="1"/>
  <c r="M1178" i="4"/>
  <c r="L1178" i="4" s="1"/>
  <c r="M1179" i="4"/>
  <c r="L1179" i="4" s="1"/>
  <c r="M1180" i="4"/>
  <c r="L1180" i="4" s="1"/>
  <c r="M1181" i="4"/>
  <c r="L1181" i="4" s="1"/>
  <c r="M1182" i="4"/>
  <c r="L1182" i="4" s="1"/>
  <c r="M1183" i="4"/>
  <c r="L1183" i="4" s="1"/>
  <c r="M1184" i="4"/>
  <c r="L1184" i="4" s="1"/>
  <c r="M1185" i="4"/>
  <c r="L1185" i="4" s="1"/>
  <c r="M1188" i="4"/>
  <c r="L1188" i="4" s="1"/>
  <c r="G1188" i="4" s="1"/>
  <c r="M1189" i="4"/>
  <c r="L1189" i="4" s="1"/>
  <c r="G1189" i="4" s="1"/>
  <c r="M1190" i="4"/>
  <c r="L1190" i="4" s="1"/>
  <c r="G1190" i="4" s="1"/>
  <c r="M1191" i="4"/>
  <c r="L1191" i="4" s="1"/>
  <c r="H1191" i="4" s="1"/>
  <c r="M1192" i="4"/>
  <c r="L1192" i="4" s="1"/>
  <c r="G1192" i="4" s="1"/>
  <c r="M1193" i="4"/>
  <c r="L1193" i="4" s="1"/>
  <c r="G1193" i="4" s="1"/>
  <c r="M1194" i="4"/>
  <c r="L1194" i="4" s="1"/>
  <c r="M1195" i="4"/>
  <c r="L1195" i="4" s="1"/>
  <c r="M1196" i="4"/>
  <c r="L1196" i="4" s="1"/>
  <c r="M1197" i="4"/>
  <c r="L1197" i="4" s="1"/>
  <c r="M1198" i="4"/>
  <c r="L1198" i="4" s="1"/>
  <c r="M1199" i="4"/>
  <c r="L1199" i="4" s="1"/>
  <c r="I1199" i="4" s="1"/>
  <c r="M1200" i="4"/>
  <c r="L1200" i="4" s="1"/>
  <c r="M1203" i="4"/>
  <c r="L1203" i="4" s="1"/>
  <c r="M1204" i="4"/>
  <c r="L1204" i="4" s="1"/>
  <c r="M1205" i="4"/>
  <c r="L1205" i="4" s="1"/>
  <c r="M1206" i="4"/>
  <c r="L1206" i="4" s="1"/>
  <c r="M1207" i="4"/>
  <c r="L1207" i="4" s="1"/>
  <c r="M1208" i="4"/>
  <c r="L1208" i="4" s="1"/>
  <c r="M1209" i="4"/>
  <c r="L1209" i="4" s="1"/>
  <c r="M1210" i="4"/>
  <c r="L1210" i="4" s="1"/>
  <c r="M1211" i="4"/>
  <c r="L1211" i="4" s="1"/>
  <c r="M1212" i="4"/>
  <c r="L1212" i="4" s="1"/>
  <c r="M1213" i="4"/>
  <c r="L1213" i="4" s="1"/>
  <c r="M1214" i="4"/>
  <c r="L1214" i="4" s="1"/>
  <c r="M1215" i="4"/>
  <c r="L1215" i="4" s="1"/>
  <c r="M1218" i="4"/>
  <c r="L1218" i="4" s="1"/>
  <c r="M1219" i="4"/>
  <c r="L1219" i="4" s="1"/>
  <c r="M1220" i="4"/>
  <c r="L1220" i="4" s="1"/>
  <c r="M1221" i="4"/>
  <c r="L1221" i="4" s="1"/>
  <c r="M1222" i="4"/>
  <c r="L1222" i="4" s="1"/>
  <c r="M1223" i="4"/>
  <c r="L1223" i="4" s="1"/>
  <c r="M1224" i="4"/>
  <c r="L1224" i="4" s="1"/>
  <c r="M1225" i="4"/>
  <c r="L1225" i="4" s="1"/>
  <c r="M1226" i="4"/>
  <c r="L1226" i="4" s="1"/>
  <c r="M1227" i="4"/>
  <c r="L1227" i="4" s="1"/>
  <c r="M1228" i="4"/>
  <c r="L1228" i="4" s="1"/>
  <c r="M1229" i="4"/>
  <c r="L1229" i="4" s="1"/>
  <c r="M1230" i="4"/>
  <c r="L1230" i="4" s="1"/>
  <c r="M1233" i="4"/>
  <c r="L1233" i="4" s="1"/>
  <c r="M1234" i="4"/>
  <c r="L1234" i="4" s="1"/>
  <c r="M1235" i="4"/>
  <c r="L1235" i="4" s="1"/>
  <c r="M1236" i="4"/>
  <c r="L1236" i="4" s="1"/>
  <c r="M1237" i="4"/>
  <c r="L1237" i="4" s="1"/>
  <c r="M1238" i="4"/>
  <c r="L1238" i="4" s="1"/>
  <c r="M1239" i="4"/>
  <c r="L1239" i="4" s="1"/>
  <c r="M1240" i="4"/>
  <c r="L1240" i="4" s="1"/>
  <c r="M1241" i="4"/>
  <c r="L1241" i="4" s="1"/>
  <c r="M1242" i="4"/>
  <c r="L1242" i="4" s="1"/>
  <c r="M1243" i="4"/>
  <c r="L1243" i="4" s="1"/>
  <c r="M1244" i="4"/>
  <c r="L1244" i="4" s="1"/>
  <c r="M1245" i="4"/>
  <c r="L1245" i="4" s="1"/>
  <c r="M1248" i="4"/>
  <c r="L1248" i="4" s="1"/>
  <c r="H1248" i="4" s="1"/>
  <c r="M1249" i="4"/>
  <c r="L1249" i="4" s="1"/>
  <c r="G1249" i="4" s="1"/>
  <c r="M1250" i="4"/>
  <c r="L1250" i="4" s="1"/>
  <c r="H1250" i="4" s="1"/>
  <c r="M1251" i="4"/>
  <c r="L1251" i="4" s="1"/>
  <c r="M1252" i="4"/>
  <c r="L1252" i="4" s="1"/>
  <c r="M1253" i="4"/>
  <c r="L1253" i="4" s="1"/>
  <c r="M1254" i="4"/>
  <c r="L1254" i="4" s="1"/>
  <c r="M1255" i="4"/>
  <c r="L1255" i="4" s="1"/>
  <c r="I1255" i="4" s="1"/>
  <c r="M1256" i="4"/>
  <c r="L1256" i="4" s="1"/>
  <c r="G1256" i="4" s="1"/>
  <c r="M1257" i="4"/>
  <c r="L1257" i="4" s="1"/>
  <c r="G1257" i="4" s="1"/>
  <c r="M1258" i="4"/>
  <c r="L1258" i="4" s="1"/>
  <c r="H1258" i="4" s="1"/>
  <c r="M1259" i="4"/>
  <c r="L1259" i="4" s="1"/>
  <c r="H1259" i="4" s="1"/>
  <c r="M1260" i="4"/>
  <c r="L1260" i="4" s="1"/>
  <c r="H1260" i="4" s="1"/>
  <c r="M1263" i="4"/>
  <c r="L1263" i="4" s="1"/>
  <c r="M1264" i="4"/>
  <c r="L1264" i="4" s="1"/>
  <c r="M1265" i="4"/>
  <c r="L1265" i="4" s="1"/>
  <c r="M1266" i="4"/>
  <c r="L1266" i="4" s="1"/>
  <c r="M1267" i="4"/>
  <c r="L1267" i="4" s="1"/>
  <c r="M1268" i="4"/>
  <c r="L1268" i="4" s="1"/>
  <c r="M1269" i="4"/>
  <c r="L1269" i="4" s="1"/>
  <c r="M1270" i="4"/>
  <c r="L1270" i="4" s="1"/>
  <c r="M1271" i="4"/>
  <c r="L1271" i="4" s="1"/>
  <c r="M1272" i="4"/>
  <c r="L1272" i="4" s="1"/>
  <c r="M1273" i="4"/>
  <c r="L1273" i="4" s="1"/>
  <c r="M1274" i="4"/>
  <c r="L1274" i="4" s="1"/>
  <c r="M1275" i="4"/>
  <c r="L1275" i="4" s="1"/>
  <c r="M1278" i="4"/>
  <c r="L1278" i="4" s="1"/>
  <c r="M1279" i="4"/>
  <c r="L1279" i="4" s="1"/>
  <c r="M1280" i="4"/>
  <c r="L1280" i="4" s="1"/>
  <c r="M1281" i="4"/>
  <c r="L1281" i="4" s="1"/>
  <c r="M1282" i="4"/>
  <c r="L1282" i="4" s="1"/>
  <c r="M1283" i="4"/>
  <c r="L1283" i="4" s="1"/>
  <c r="M1284" i="4"/>
  <c r="L1284" i="4" s="1"/>
  <c r="M1285" i="4"/>
  <c r="L1285" i="4" s="1"/>
  <c r="M1286" i="4"/>
  <c r="L1286" i="4" s="1"/>
  <c r="M1287" i="4"/>
  <c r="L1287" i="4" s="1"/>
  <c r="M1288" i="4"/>
  <c r="L1288" i="4" s="1"/>
  <c r="M1289" i="4"/>
  <c r="L1289" i="4" s="1"/>
  <c r="M1290" i="4"/>
  <c r="L1290" i="4" s="1"/>
  <c r="M1293" i="4"/>
  <c r="L1293" i="4" s="1"/>
  <c r="M1294" i="4"/>
  <c r="L1294" i="4" s="1"/>
  <c r="M1295" i="4"/>
  <c r="L1295" i="4" s="1"/>
  <c r="M1296" i="4"/>
  <c r="L1296" i="4" s="1"/>
  <c r="M1297" i="4"/>
  <c r="L1297" i="4" s="1"/>
  <c r="M1298" i="4"/>
  <c r="L1298" i="4" s="1"/>
  <c r="M1299" i="4"/>
  <c r="L1299" i="4" s="1"/>
  <c r="M1300" i="4"/>
  <c r="L1300" i="4" s="1"/>
  <c r="M1301" i="4"/>
  <c r="L1301" i="4" s="1"/>
  <c r="M1302" i="4"/>
  <c r="L1302" i="4" s="1"/>
  <c r="M1303" i="4"/>
  <c r="L1303" i="4" s="1"/>
  <c r="M1304" i="4"/>
  <c r="L1304" i="4" s="1"/>
  <c r="M1305" i="4"/>
  <c r="L1305" i="4" s="1"/>
  <c r="M1308" i="4"/>
  <c r="L1308" i="4" s="1"/>
  <c r="M1309" i="4"/>
  <c r="L1309" i="4" s="1"/>
  <c r="M1310" i="4"/>
  <c r="L1310" i="4" s="1"/>
  <c r="M1311" i="4"/>
  <c r="L1311" i="4" s="1"/>
  <c r="M1312" i="4"/>
  <c r="L1312" i="4" s="1"/>
  <c r="M1313" i="4"/>
  <c r="L1313" i="4" s="1"/>
  <c r="M1314" i="4"/>
  <c r="L1314" i="4" s="1"/>
  <c r="M1315" i="4"/>
  <c r="L1315" i="4" s="1"/>
  <c r="M1316" i="4"/>
  <c r="L1316" i="4" s="1"/>
  <c r="M1317" i="4"/>
  <c r="L1317" i="4" s="1"/>
  <c r="M1318" i="4"/>
  <c r="L1318" i="4" s="1"/>
  <c r="M1319" i="4"/>
  <c r="L1319" i="4" s="1"/>
  <c r="M1320" i="4"/>
  <c r="L1320" i="4" s="1"/>
  <c r="M1323" i="4"/>
  <c r="L1323" i="4" s="1"/>
  <c r="M1324" i="4"/>
  <c r="L1324" i="4" s="1"/>
  <c r="M1325" i="4"/>
  <c r="L1325" i="4" s="1"/>
  <c r="M1326" i="4"/>
  <c r="L1326" i="4" s="1"/>
  <c r="I1326" i="4" s="1"/>
  <c r="M1327" i="4"/>
  <c r="L1327" i="4" s="1"/>
  <c r="G1327" i="4" s="1"/>
  <c r="M1328" i="4"/>
  <c r="L1328" i="4" s="1"/>
  <c r="G1328" i="4" s="1"/>
  <c r="M1329" i="4"/>
  <c r="L1329" i="4" s="1"/>
  <c r="G1329" i="4" s="1"/>
  <c r="M1330" i="4"/>
  <c r="L1330" i="4" s="1"/>
  <c r="G1330" i="4" s="1"/>
  <c r="M1331" i="4"/>
  <c r="L1331" i="4" s="1"/>
  <c r="G1331" i="4" s="1"/>
  <c r="M1332" i="4"/>
  <c r="L1332" i="4" s="1"/>
  <c r="M1333" i="4"/>
  <c r="L1333" i="4" s="1"/>
  <c r="M1334" i="4"/>
  <c r="L1334" i="4" s="1"/>
  <c r="I1334" i="4" s="1"/>
  <c r="M1335" i="4"/>
  <c r="L1335" i="4" s="1"/>
  <c r="G1335" i="4" s="1"/>
  <c r="M1338" i="4"/>
  <c r="L1338" i="4" s="1"/>
  <c r="M1339" i="4"/>
  <c r="L1339" i="4" s="1"/>
  <c r="M1340" i="4"/>
  <c r="L1340" i="4" s="1"/>
  <c r="M1341" i="4"/>
  <c r="L1341" i="4" s="1"/>
  <c r="M1342" i="4"/>
  <c r="L1342" i="4" s="1"/>
  <c r="M1343" i="4"/>
  <c r="L1343" i="4" s="1"/>
  <c r="M1344" i="4"/>
  <c r="L1344" i="4" s="1"/>
  <c r="M1345" i="4"/>
  <c r="L1345" i="4" s="1"/>
  <c r="M1346" i="4"/>
  <c r="L1346" i="4" s="1"/>
  <c r="M1347" i="4"/>
  <c r="L1347" i="4" s="1"/>
  <c r="M1348" i="4"/>
  <c r="L1348" i="4" s="1"/>
  <c r="M1349" i="4"/>
  <c r="L1349" i="4" s="1"/>
  <c r="M1350" i="4"/>
  <c r="L1350" i="4" s="1"/>
  <c r="M1353" i="4"/>
  <c r="L1353" i="4" s="1"/>
  <c r="M1354" i="4"/>
  <c r="L1354" i="4" s="1"/>
  <c r="M1355" i="4"/>
  <c r="L1355" i="4" s="1"/>
  <c r="M1356" i="4"/>
  <c r="L1356" i="4" s="1"/>
  <c r="M1357" i="4"/>
  <c r="L1357" i="4" s="1"/>
  <c r="M1358" i="4"/>
  <c r="L1358" i="4" s="1"/>
  <c r="M1359" i="4"/>
  <c r="L1359" i="4" s="1"/>
  <c r="M1360" i="4"/>
  <c r="L1360" i="4" s="1"/>
  <c r="M1361" i="4"/>
  <c r="L1361" i="4" s="1"/>
  <c r="M1362" i="4"/>
  <c r="L1362" i="4" s="1"/>
  <c r="M1363" i="4"/>
  <c r="L1363" i="4" s="1"/>
  <c r="M1364" i="4"/>
  <c r="L1364" i="4" s="1"/>
  <c r="M1365" i="4"/>
  <c r="L1365" i="4" s="1"/>
  <c r="M1368" i="4"/>
  <c r="L1368" i="4" s="1"/>
  <c r="M1369" i="4"/>
  <c r="L1369" i="4" s="1"/>
  <c r="M1370" i="4"/>
  <c r="L1370" i="4" s="1"/>
  <c r="M1371" i="4"/>
  <c r="L1371" i="4" s="1"/>
  <c r="M1372" i="4"/>
  <c r="L1372" i="4" s="1"/>
  <c r="M1373" i="4"/>
  <c r="L1373" i="4" s="1"/>
  <c r="M1374" i="4"/>
  <c r="L1374" i="4" s="1"/>
  <c r="M1375" i="4"/>
  <c r="L1375" i="4" s="1"/>
  <c r="M1376" i="4"/>
  <c r="L1376" i="4" s="1"/>
  <c r="M1377" i="4"/>
  <c r="L1377" i="4" s="1"/>
  <c r="M1378" i="4"/>
  <c r="L1378" i="4" s="1"/>
  <c r="M1379" i="4"/>
  <c r="L1379" i="4" s="1"/>
  <c r="M1380" i="4"/>
  <c r="L1380" i="4" s="1"/>
  <c r="M1383" i="4"/>
  <c r="L1383" i="4" s="1"/>
  <c r="M1384" i="4"/>
  <c r="L1384" i="4" s="1"/>
  <c r="M1385" i="4"/>
  <c r="L1385" i="4" s="1"/>
  <c r="M1386" i="4"/>
  <c r="L1386" i="4" s="1"/>
  <c r="G1386" i="4" s="1"/>
  <c r="M1387" i="4"/>
  <c r="L1387" i="4" s="1"/>
  <c r="H1387" i="4" s="1"/>
  <c r="M1388" i="4"/>
  <c r="L1388" i="4" s="1"/>
  <c r="M1389" i="4"/>
  <c r="L1389" i="4" s="1"/>
  <c r="M1390" i="4"/>
  <c r="L1390" i="4" s="1"/>
  <c r="M1391" i="4"/>
  <c r="L1391" i="4" s="1"/>
  <c r="I1391" i="4" s="1"/>
  <c r="M1392" i="4"/>
  <c r="L1392" i="4" s="1"/>
  <c r="H1392" i="4" s="1"/>
  <c r="M1393" i="4"/>
  <c r="L1393" i="4" s="1"/>
  <c r="H1393" i="4" s="1"/>
  <c r="M1394" i="4"/>
  <c r="L1394" i="4" s="1"/>
  <c r="G1394" i="4" s="1"/>
  <c r="M1395" i="4"/>
  <c r="L1395" i="4" s="1"/>
  <c r="M1398" i="4"/>
  <c r="L1398" i="4" s="1"/>
  <c r="M1399" i="4"/>
  <c r="L1399" i="4" s="1"/>
  <c r="M1400" i="4"/>
  <c r="L1400" i="4" s="1"/>
  <c r="M1401" i="4"/>
  <c r="L1401" i="4" s="1"/>
  <c r="M1402" i="4"/>
  <c r="L1402" i="4" s="1"/>
  <c r="M1403" i="4"/>
  <c r="L1403" i="4" s="1"/>
  <c r="M1404" i="4"/>
  <c r="L1404" i="4" s="1"/>
  <c r="M1405" i="4"/>
  <c r="L1405" i="4" s="1"/>
  <c r="M1406" i="4"/>
  <c r="L1406" i="4" s="1"/>
  <c r="M1407" i="4"/>
  <c r="L1407" i="4" s="1"/>
  <c r="M1408" i="4"/>
  <c r="L1408" i="4" s="1"/>
  <c r="M1409" i="4"/>
  <c r="L1409" i="4" s="1"/>
  <c r="M1410" i="4"/>
  <c r="L1410" i="4" s="1"/>
  <c r="M1413" i="4"/>
  <c r="L1413" i="4" s="1"/>
  <c r="M1414" i="4"/>
  <c r="L1414" i="4" s="1"/>
  <c r="M1415" i="4"/>
  <c r="L1415" i="4" s="1"/>
  <c r="M1416" i="4"/>
  <c r="L1416" i="4" s="1"/>
  <c r="M1417" i="4"/>
  <c r="L1417" i="4" s="1"/>
  <c r="M1418" i="4"/>
  <c r="L1418" i="4" s="1"/>
  <c r="M1419" i="4"/>
  <c r="L1419" i="4" s="1"/>
  <c r="M1420" i="4"/>
  <c r="L1420" i="4" s="1"/>
  <c r="M1421" i="4"/>
  <c r="L1421" i="4" s="1"/>
  <c r="M1422" i="4"/>
  <c r="L1422" i="4" s="1"/>
  <c r="M1423" i="4"/>
  <c r="L1423" i="4" s="1"/>
  <c r="M1424" i="4"/>
  <c r="L1424" i="4" s="1"/>
  <c r="M1425" i="4"/>
  <c r="L1425" i="4" s="1"/>
  <c r="M1428" i="4"/>
  <c r="L1428" i="4" s="1"/>
  <c r="M1429" i="4"/>
  <c r="L1429" i="4" s="1"/>
  <c r="M1430" i="4"/>
  <c r="L1430" i="4" s="1"/>
  <c r="M1431" i="4"/>
  <c r="L1431" i="4" s="1"/>
  <c r="M1432" i="4"/>
  <c r="L1432" i="4" s="1"/>
  <c r="M1433" i="4"/>
  <c r="L1433" i="4" s="1"/>
  <c r="M1434" i="4"/>
  <c r="L1434" i="4" s="1"/>
  <c r="M1435" i="4"/>
  <c r="L1435" i="4" s="1"/>
  <c r="M1436" i="4"/>
  <c r="L1436" i="4" s="1"/>
  <c r="M1437" i="4"/>
  <c r="L1437" i="4" s="1"/>
  <c r="M1438" i="4"/>
  <c r="L1438" i="4" s="1"/>
  <c r="M1439" i="4"/>
  <c r="L1439" i="4" s="1"/>
  <c r="M1440" i="4"/>
  <c r="L1440" i="4" s="1"/>
  <c r="M1443" i="4"/>
  <c r="L1443" i="4" s="1"/>
  <c r="M1444" i="4"/>
  <c r="L1444" i="4" s="1"/>
  <c r="M1445" i="4"/>
  <c r="L1445" i="4" s="1"/>
  <c r="M1446" i="4"/>
  <c r="L1446" i="4" s="1"/>
  <c r="M1447" i="4"/>
  <c r="L1447" i="4" s="1"/>
  <c r="M1448" i="4"/>
  <c r="L1448" i="4" s="1"/>
  <c r="M1449" i="4"/>
  <c r="L1449" i="4" s="1"/>
  <c r="M1450" i="4"/>
  <c r="L1450" i="4" s="1"/>
  <c r="M1451" i="4"/>
  <c r="L1451" i="4" s="1"/>
  <c r="M1452" i="4"/>
  <c r="L1452" i="4" s="1"/>
  <c r="M1453" i="4"/>
  <c r="L1453" i="4" s="1"/>
  <c r="M1454" i="4"/>
  <c r="L1454" i="4" s="1"/>
  <c r="M1455" i="4"/>
  <c r="L1455" i="4" s="1"/>
  <c r="M1458" i="4"/>
  <c r="L1458" i="4" s="1"/>
  <c r="H1458" i="4" s="1"/>
  <c r="M1459" i="4"/>
  <c r="L1459" i="4" s="1"/>
  <c r="I1459" i="4" s="1"/>
  <c r="M1460" i="4"/>
  <c r="L1460" i="4" s="1"/>
  <c r="H1460" i="4" s="1"/>
  <c r="M1461" i="4"/>
  <c r="L1461" i="4" s="1"/>
  <c r="H1461" i="4" s="1"/>
  <c r="M1462" i="4"/>
  <c r="L1462" i="4" s="1"/>
  <c r="I1462" i="4" s="1"/>
  <c r="M1463" i="4"/>
  <c r="L1463" i="4" s="1"/>
  <c r="I1463" i="4" s="1"/>
  <c r="M1464" i="4"/>
  <c r="L1464" i="4" s="1"/>
  <c r="I1464" i="4" s="1"/>
  <c r="M1465" i="4"/>
  <c r="L1465" i="4" s="1"/>
  <c r="H1465" i="4" s="1"/>
  <c r="M1466" i="4"/>
  <c r="L1466" i="4" s="1"/>
  <c r="H1466" i="4" s="1"/>
  <c r="M1467" i="4"/>
  <c r="L1467" i="4" s="1"/>
  <c r="G1467" i="4" s="1"/>
  <c r="M1468" i="4"/>
  <c r="L1468" i="4" s="1"/>
  <c r="M1469" i="4"/>
  <c r="L1469" i="4" s="1"/>
  <c r="I1469" i="4" s="1"/>
  <c r="M1470" i="4"/>
  <c r="L1470" i="4" s="1"/>
  <c r="M1473" i="4"/>
  <c r="L1473" i="4" s="1"/>
  <c r="M1474" i="4"/>
  <c r="L1474" i="4" s="1"/>
  <c r="M1475" i="4"/>
  <c r="L1475" i="4" s="1"/>
  <c r="M1476" i="4"/>
  <c r="L1476" i="4" s="1"/>
  <c r="M1477" i="4"/>
  <c r="L1477" i="4" s="1"/>
  <c r="M1478" i="4"/>
  <c r="L1478" i="4" s="1"/>
  <c r="M1479" i="4"/>
  <c r="L1479" i="4" s="1"/>
  <c r="M1480" i="4"/>
  <c r="L1480" i="4" s="1"/>
  <c r="M1481" i="4"/>
  <c r="L1481" i="4" s="1"/>
  <c r="M1482" i="4"/>
  <c r="L1482" i="4" s="1"/>
  <c r="M1483" i="4"/>
  <c r="L1483" i="4" s="1"/>
  <c r="M1484" i="4"/>
  <c r="L1484" i="4" s="1"/>
  <c r="M1485" i="4"/>
  <c r="L1485" i="4" s="1"/>
  <c r="M1488" i="4"/>
  <c r="L1488" i="4" s="1"/>
  <c r="M1489" i="4"/>
  <c r="L1489" i="4" s="1"/>
  <c r="M1490" i="4"/>
  <c r="L1490" i="4" s="1"/>
  <c r="M1491" i="4"/>
  <c r="L1491" i="4" s="1"/>
  <c r="M1492" i="4"/>
  <c r="L1492" i="4" s="1"/>
  <c r="M1493" i="4"/>
  <c r="L1493" i="4" s="1"/>
  <c r="M1494" i="4"/>
  <c r="L1494" i="4" s="1"/>
  <c r="M1495" i="4"/>
  <c r="L1495" i="4" s="1"/>
  <c r="M1496" i="4"/>
  <c r="L1496" i="4" s="1"/>
  <c r="M1497" i="4"/>
  <c r="L1497" i="4" s="1"/>
  <c r="M1498" i="4"/>
  <c r="L1498" i="4" s="1"/>
  <c r="M1499" i="4"/>
  <c r="L1499" i="4" s="1"/>
  <c r="M1500" i="4"/>
  <c r="L1500" i="4" s="1"/>
  <c r="M1503" i="4"/>
  <c r="L1503" i="4" s="1"/>
  <c r="M1504" i="4"/>
  <c r="L1504" i="4" s="1"/>
  <c r="M1505" i="4"/>
  <c r="L1505" i="4" s="1"/>
  <c r="M1506" i="4"/>
  <c r="L1506" i="4" s="1"/>
  <c r="M1507" i="4"/>
  <c r="L1507" i="4" s="1"/>
  <c r="M1508" i="4"/>
  <c r="L1508" i="4" s="1"/>
  <c r="M1509" i="4"/>
  <c r="L1509" i="4" s="1"/>
  <c r="M1510" i="4"/>
  <c r="L1510" i="4" s="1"/>
  <c r="M1511" i="4"/>
  <c r="L1511" i="4" s="1"/>
  <c r="M1512" i="4"/>
  <c r="L1512" i="4" s="1"/>
  <c r="M1513" i="4"/>
  <c r="L1513" i="4" s="1"/>
  <c r="M1514" i="4"/>
  <c r="L1514" i="4" s="1"/>
  <c r="M1515" i="4"/>
  <c r="L1515" i="4" s="1"/>
  <c r="M1518" i="4"/>
  <c r="L1518" i="4" s="1"/>
  <c r="I1518" i="4" s="1"/>
  <c r="M1519" i="4"/>
  <c r="L1519" i="4" s="1"/>
  <c r="I1519" i="4" s="1"/>
  <c r="M1520" i="4"/>
  <c r="L1520" i="4" s="1"/>
  <c r="I1520" i="4" s="1"/>
  <c r="M1521" i="4"/>
  <c r="L1521" i="4" s="1"/>
  <c r="M1522" i="4"/>
  <c r="L1522" i="4" s="1"/>
  <c r="M1523" i="4"/>
  <c r="L1523" i="4" s="1"/>
  <c r="H1523" i="4" s="1"/>
  <c r="M1524" i="4"/>
  <c r="L1524" i="4" s="1"/>
  <c r="M1525" i="4"/>
  <c r="L1525" i="4" s="1"/>
  <c r="M1526" i="4"/>
  <c r="L1526" i="4" s="1"/>
  <c r="H1526" i="4" s="1"/>
  <c r="M1527" i="4"/>
  <c r="L1527" i="4" s="1"/>
  <c r="H1527" i="4" s="1"/>
  <c r="M1528" i="4"/>
  <c r="L1528" i="4" s="1"/>
  <c r="I1528" i="4" s="1"/>
  <c r="M1529" i="4"/>
  <c r="L1529" i="4" s="1"/>
  <c r="I1529" i="4" s="1"/>
  <c r="M1530" i="4"/>
  <c r="L1530" i="4" s="1"/>
  <c r="I1530" i="4" s="1"/>
  <c r="M1533" i="4"/>
  <c r="L1533" i="4" s="1"/>
  <c r="M1534" i="4"/>
  <c r="L1534" i="4" s="1"/>
  <c r="M1535" i="4"/>
  <c r="L1535" i="4" s="1"/>
  <c r="M1536" i="4"/>
  <c r="L1536" i="4" s="1"/>
  <c r="M1537" i="4"/>
  <c r="L1537" i="4" s="1"/>
  <c r="M1538" i="4"/>
  <c r="L1538" i="4" s="1"/>
  <c r="M1539" i="4"/>
  <c r="L1539" i="4" s="1"/>
  <c r="M1540" i="4"/>
  <c r="L1540" i="4" s="1"/>
  <c r="M1541" i="4"/>
  <c r="L1541" i="4" s="1"/>
  <c r="M1542" i="4"/>
  <c r="L1542" i="4" s="1"/>
  <c r="M1543" i="4"/>
  <c r="L1543" i="4" s="1"/>
  <c r="M1544" i="4"/>
  <c r="L1544" i="4" s="1"/>
  <c r="M1545" i="4"/>
  <c r="L1545" i="4" s="1"/>
  <c r="M1548" i="4"/>
  <c r="L1548" i="4" s="1"/>
  <c r="M1549" i="4"/>
  <c r="L1549" i="4" s="1"/>
  <c r="M1550" i="4"/>
  <c r="L1550" i="4" s="1"/>
  <c r="M1551" i="4"/>
  <c r="L1551" i="4" s="1"/>
  <c r="M1552" i="4"/>
  <c r="L1552" i="4" s="1"/>
  <c r="M1553" i="4"/>
  <c r="L1553" i="4" s="1"/>
  <c r="M1554" i="4"/>
  <c r="L1554" i="4" s="1"/>
  <c r="M1555" i="4"/>
  <c r="L1555" i="4" s="1"/>
  <c r="M1556" i="4"/>
  <c r="L1556" i="4" s="1"/>
  <c r="M1557" i="4"/>
  <c r="L1557" i="4" s="1"/>
  <c r="M1558" i="4"/>
  <c r="L1558" i="4" s="1"/>
  <c r="M1559" i="4"/>
  <c r="L1559" i="4" s="1"/>
  <c r="M1560" i="4"/>
  <c r="L1560" i="4" s="1"/>
  <c r="M1563" i="4"/>
  <c r="L1563" i="4" s="1"/>
  <c r="M1564" i="4"/>
  <c r="L1564" i="4" s="1"/>
  <c r="M1565" i="4"/>
  <c r="L1565" i="4" s="1"/>
  <c r="M1566" i="4"/>
  <c r="L1566" i="4" s="1"/>
  <c r="M1567" i="4"/>
  <c r="L1567" i="4" s="1"/>
  <c r="M1568" i="4"/>
  <c r="L1568" i="4" s="1"/>
  <c r="M1569" i="4"/>
  <c r="L1569" i="4" s="1"/>
  <c r="M1570" i="4"/>
  <c r="L1570" i="4" s="1"/>
  <c r="M1571" i="4"/>
  <c r="L1571" i="4" s="1"/>
  <c r="M1572" i="4"/>
  <c r="L1572" i="4" s="1"/>
  <c r="M1573" i="4"/>
  <c r="L1573" i="4" s="1"/>
  <c r="M1574" i="4"/>
  <c r="L1574" i="4" s="1"/>
  <c r="M1575" i="4"/>
  <c r="L1575" i="4" s="1"/>
  <c r="M1578" i="4"/>
  <c r="L1578" i="4" s="1"/>
  <c r="M1579" i="4"/>
  <c r="L1579" i="4" s="1"/>
  <c r="M1580" i="4"/>
  <c r="L1580" i="4" s="1"/>
  <c r="M1581" i="4"/>
  <c r="L1581" i="4" s="1"/>
  <c r="M1582" i="4"/>
  <c r="L1582" i="4" s="1"/>
  <c r="M1583" i="4"/>
  <c r="L1583" i="4" s="1"/>
  <c r="M1584" i="4"/>
  <c r="L1584" i="4" s="1"/>
  <c r="M1585" i="4"/>
  <c r="L1585" i="4" s="1"/>
  <c r="M1586" i="4"/>
  <c r="L1586" i="4" s="1"/>
  <c r="M1587" i="4"/>
  <c r="L1587" i="4" s="1"/>
  <c r="M1588" i="4"/>
  <c r="L1588" i="4" s="1"/>
  <c r="M1589" i="4"/>
  <c r="L1589" i="4" s="1"/>
  <c r="M1590" i="4"/>
  <c r="L1590" i="4" s="1"/>
  <c r="M1593" i="4"/>
  <c r="L1593" i="4" s="1"/>
  <c r="M1594" i="4"/>
  <c r="L1594" i="4" s="1"/>
  <c r="M1595" i="4"/>
  <c r="L1595" i="4" s="1"/>
  <c r="M1596" i="4"/>
  <c r="L1596" i="4" s="1"/>
  <c r="M1597" i="4"/>
  <c r="L1597" i="4" s="1"/>
  <c r="M1598" i="4"/>
  <c r="L1598" i="4" s="1"/>
  <c r="M1599" i="4"/>
  <c r="L1599" i="4" s="1"/>
  <c r="M1600" i="4"/>
  <c r="L1600" i="4" s="1"/>
  <c r="M1601" i="4"/>
  <c r="L1601" i="4" s="1"/>
  <c r="M1602" i="4"/>
  <c r="L1602" i="4" s="1"/>
  <c r="M1603" i="4"/>
  <c r="L1603" i="4" s="1"/>
  <c r="M1604" i="4"/>
  <c r="L1604" i="4" s="1"/>
  <c r="M1605" i="4"/>
  <c r="L1605" i="4" s="1"/>
  <c r="M1608" i="4"/>
  <c r="L1608" i="4" s="1"/>
  <c r="M1609" i="4"/>
  <c r="L1609" i="4" s="1"/>
  <c r="M1610" i="4"/>
  <c r="L1610" i="4" s="1"/>
  <c r="M1611" i="4"/>
  <c r="L1611" i="4" s="1"/>
  <c r="M1612" i="4"/>
  <c r="L1612" i="4" s="1"/>
  <c r="M1613" i="4"/>
  <c r="L1613" i="4" s="1"/>
  <c r="M1614" i="4"/>
  <c r="L1614" i="4" s="1"/>
  <c r="M1615" i="4"/>
  <c r="L1615" i="4" s="1"/>
  <c r="M1616" i="4"/>
  <c r="L1616" i="4" s="1"/>
  <c r="M1617" i="4"/>
  <c r="L1617" i="4" s="1"/>
  <c r="M1618" i="4"/>
  <c r="L1618" i="4" s="1"/>
  <c r="M1619" i="4"/>
  <c r="L1619" i="4" s="1"/>
  <c r="M1620" i="4"/>
  <c r="L1620" i="4" s="1"/>
  <c r="M1623" i="4"/>
  <c r="L1623" i="4" s="1"/>
  <c r="M1624" i="4"/>
  <c r="L1624" i="4" s="1"/>
  <c r="M1625" i="4"/>
  <c r="L1625" i="4" s="1"/>
  <c r="M1626" i="4"/>
  <c r="L1626" i="4" s="1"/>
  <c r="M1627" i="4"/>
  <c r="L1627" i="4" s="1"/>
  <c r="M1628" i="4"/>
  <c r="L1628" i="4" s="1"/>
  <c r="M1629" i="4"/>
  <c r="L1629" i="4" s="1"/>
  <c r="M1630" i="4"/>
  <c r="L1630" i="4" s="1"/>
  <c r="M1631" i="4"/>
  <c r="L1631" i="4" s="1"/>
  <c r="M1632" i="4"/>
  <c r="L1632" i="4" s="1"/>
  <c r="M1633" i="4"/>
  <c r="L1633" i="4" s="1"/>
  <c r="M1634" i="4"/>
  <c r="L1634" i="4" s="1"/>
  <c r="M1635" i="4"/>
  <c r="L1635" i="4" s="1"/>
  <c r="M1638" i="4"/>
  <c r="L1638" i="4" s="1"/>
  <c r="M1639" i="4"/>
  <c r="L1639" i="4" s="1"/>
  <c r="M1640" i="4"/>
  <c r="L1640" i="4" s="1"/>
  <c r="M1641" i="4"/>
  <c r="L1641" i="4" s="1"/>
  <c r="M1642" i="4"/>
  <c r="L1642" i="4" s="1"/>
  <c r="M1643" i="4"/>
  <c r="L1643" i="4" s="1"/>
  <c r="M1644" i="4"/>
  <c r="L1644" i="4" s="1"/>
  <c r="M1645" i="4"/>
  <c r="L1645" i="4" s="1"/>
  <c r="M1646" i="4"/>
  <c r="L1646" i="4" s="1"/>
  <c r="M1647" i="4"/>
  <c r="L1647" i="4" s="1"/>
  <c r="M1648" i="4"/>
  <c r="L1648" i="4" s="1"/>
  <c r="M1649" i="4"/>
  <c r="L1649" i="4" s="1"/>
  <c r="M1650" i="4"/>
  <c r="L1650" i="4" s="1"/>
  <c r="M1653" i="4"/>
  <c r="L1653" i="4" s="1"/>
  <c r="M1654" i="4"/>
  <c r="L1654" i="4" s="1"/>
  <c r="M1655" i="4"/>
  <c r="L1655" i="4" s="1"/>
  <c r="M1656" i="4"/>
  <c r="L1656" i="4" s="1"/>
  <c r="M1657" i="4"/>
  <c r="L1657" i="4" s="1"/>
  <c r="M1658" i="4"/>
  <c r="L1658" i="4" s="1"/>
  <c r="M1659" i="4"/>
  <c r="L1659" i="4" s="1"/>
  <c r="M1660" i="4"/>
  <c r="L1660" i="4" s="1"/>
  <c r="M1661" i="4"/>
  <c r="L1661" i="4" s="1"/>
  <c r="M1662" i="4"/>
  <c r="L1662" i="4" s="1"/>
  <c r="M1663" i="4"/>
  <c r="L1663" i="4" s="1"/>
  <c r="M1664" i="4"/>
  <c r="L1664" i="4" s="1"/>
  <c r="M1665" i="4"/>
  <c r="L1665" i="4" s="1"/>
  <c r="M1668" i="4"/>
  <c r="L1668" i="4" s="1"/>
  <c r="M1669" i="4"/>
  <c r="L1669" i="4" s="1"/>
  <c r="M1670" i="4"/>
  <c r="L1670" i="4" s="1"/>
  <c r="M1671" i="4"/>
  <c r="L1671" i="4" s="1"/>
  <c r="M1672" i="4"/>
  <c r="L1672" i="4" s="1"/>
  <c r="M1673" i="4"/>
  <c r="L1673" i="4" s="1"/>
  <c r="M1674" i="4"/>
  <c r="L1674" i="4" s="1"/>
  <c r="M1675" i="4"/>
  <c r="L1675" i="4" s="1"/>
  <c r="M1676" i="4"/>
  <c r="L1676" i="4" s="1"/>
  <c r="M1677" i="4"/>
  <c r="L1677" i="4" s="1"/>
  <c r="M1678" i="4"/>
  <c r="L1678" i="4" s="1"/>
  <c r="M1679" i="4"/>
  <c r="L1679" i="4" s="1"/>
  <c r="M1680" i="4"/>
  <c r="L1680" i="4" s="1"/>
  <c r="M1683" i="4"/>
  <c r="L1683" i="4" s="1"/>
  <c r="M1684" i="4"/>
  <c r="L1684" i="4" s="1"/>
  <c r="M1685" i="4"/>
  <c r="L1685" i="4" s="1"/>
  <c r="M1686" i="4"/>
  <c r="L1686" i="4" s="1"/>
  <c r="M1687" i="4"/>
  <c r="L1687" i="4" s="1"/>
  <c r="M1688" i="4"/>
  <c r="L1688" i="4" s="1"/>
  <c r="M1689" i="4"/>
  <c r="L1689" i="4" s="1"/>
  <c r="M1690" i="4"/>
  <c r="L1690" i="4" s="1"/>
  <c r="M1691" i="4"/>
  <c r="L1691" i="4" s="1"/>
  <c r="M1692" i="4"/>
  <c r="L1692" i="4" s="1"/>
  <c r="M1693" i="4"/>
  <c r="L1693" i="4" s="1"/>
  <c r="M1694" i="4"/>
  <c r="L1694" i="4" s="1"/>
  <c r="M1695" i="4"/>
  <c r="L1695" i="4" s="1"/>
  <c r="M1698" i="4"/>
  <c r="L1698" i="4" s="1"/>
  <c r="M1699" i="4"/>
  <c r="L1699" i="4" s="1"/>
  <c r="M1700" i="4"/>
  <c r="L1700" i="4" s="1"/>
  <c r="M1701" i="4"/>
  <c r="L1701" i="4" s="1"/>
  <c r="M1702" i="4"/>
  <c r="L1702" i="4" s="1"/>
  <c r="M1703" i="4"/>
  <c r="L1703" i="4" s="1"/>
  <c r="M1704" i="4"/>
  <c r="L1704" i="4" s="1"/>
  <c r="M1705" i="4"/>
  <c r="L1705" i="4" s="1"/>
  <c r="M1706" i="4"/>
  <c r="L1706" i="4" s="1"/>
  <c r="M1707" i="4"/>
  <c r="L1707" i="4" s="1"/>
  <c r="M1708" i="4"/>
  <c r="L1708" i="4" s="1"/>
  <c r="M1709" i="4"/>
  <c r="L1709" i="4" s="1"/>
  <c r="M1710" i="4"/>
  <c r="L1710" i="4" s="1"/>
  <c r="M1713" i="4"/>
  <c r="L1713" i="4" s="1"/>
  <c r="M1714" i="4"/>
  <c r="L1714" i="4" s="1"/>
  <c r="M1715" i="4"/>
  <c r="L1715" i="4" s="1"/>
  <c r="M1716" i="4"/>
  <c r="L1716" i="4" s="1"/>
  <c r="M1717" i="4"/>
  <c r="L1717" i="4" s="1"/>
  <c r="M1718" i="4"/>
  <c r="L1718" i="4" s="1"/>
  <c r="M1719" i="4"/>
  <c r="L1719" i="4" s="1"/>
  <c r="M1720" i="4"/>
  <c r="L1720" i="4" s="1"/>
  <c r="M1721" i="4"/>
  <c r="L1721" i="4" s="1"/>
  <c r="M1722" i="4"/>
  <c r="L1722" i="4" s="1"/>
  <c r="M1723" i="4"/>
  <c r="L1723" i="4" s="1"/>
  <c r="M1724" i="4"/>
  <c r="L1724" i="4" s="1"/>
  <c r="M1725" i="4"/>
  <c r="L1725" i="4" s="1"/>
  <c r="M1728" i="4"/>
  <c r="L1728" i="4" s="1"/>
  <c r="M1729" i="4"/>
  <c r="L1729" i="4" s="1"/>
  <c r="M1730" i="4"/>
  <c r="L1730" i="4" s="1"/>
  <c r="M1731" i="4"/>
  <c r="L1731" i="4" s="1"/>
  <c r="M1732" i="4"/>
  <c r="L1732" i="4" s="1"/>
  <c r="M1733" i="4"/>
  <c r="L1733" i="4" s="1"/>
  <c r="M1734" i="4"/>
  <c r="L1734" i="4" s="1"/>
  <c r="M1735" i="4"/>
  <c r="L1735" i="4" s="1"/>
  <c r="M1736" i="4"/>
  <c r="L1736" i="4" s="1"/>
  <c r="M1737" i="4"/>
  <c r="L1737" i="4" s="1"/>
  <c r="M1738" i="4"/>
  <c r="L1738" i="4" s="1"/>
  <c r="M1739" i="4"/>
  <c r="L1739" i="4" s="1"/>
  <c r="M1740" i="4"/>
  <c r="L1740" i="4" s="1"/>
  <c r="M1743" i="4"/>
  <c r="L1743" i="4" s="1"/>
  <c r="M1744" i="4"/>
  <c r="L1744" i="4" s="1"/>
  <c r="M1745" i="4"/>
  <c r="L1745" i="4" s="1"/>
  <c r="M1746" i="4"/>
  <c r="L1746" i="4" s="1"/>
  <c r="M1747" i="4"/>
  <c r="L1747" i="4" s="1"/>
  <c r="M1748" i="4"/>
  <c r="L1748" i="4" s="1"/>
  <c r="M1749" i="4"/>
  <c r="L1749" i="4" s="1"/>
  <c r="M1750" i="4"/>
  <c r="L1750" i="4" s="1"/>
  <c r="M1751" i="4"/>
  <c r="L1751" i="4" s="1"/>
  <c r="M1752" i="4"/>
  <c r="L1752" i="4" s="1"/>
  <c r="M1753" i="4"/>
  <c r="L1753" i="4" s="1"/>
  <c r="M1754" i="4"/>
  <c r="L1754" i="4" s="1"/>
  <c r="M1755" i="4"/>
  <c r="L1755" i="4" s="1"/>
  <c r="M1758" i="4"/>
  <c r="L1758" i="4" s="1"/>
  <c r="M1759" i="4"/>
  <c r="L1759" i="4" s="1"/>
  <c r="M1760" i="4"/>
  <c r="L1760" i="4" s="1"/>
  <c r="M1761" i="4"/>
  <c r="L1761" i="4" s="1"/>
  <c r="M1762" i="4"/>
  <c r="L1762" i="4" s="1"/>
  <c r="M1763" i="4"/>
  <c r="L1763" i="4" s="1"/>
  <c r="M1764" i="4"/>
  <c r="L1764" i="4" s="1"/>
  <c r="M1765" i="4"/>
  <c r="L1765" i="4" s="1"/>
  <c r="M1766" i="4"/>
  <c r="L1766" i="4" s="1"/>
  <c r="M1767" i="4"/>
  <c r="L1767" i="4" s="1"/>
  <c r="M1768" i="4"/>
  <c r="L1768" i="4" s="1"/>
  <c r="M1769" i="4"/>
  <c r="L1769" i="4" s="1"/>
  <c r="M1770" i="4"/>
  <c r="L1770" i="4" s="1"/>
  <c r="M1773" i="4"/>
  <c r="L1773" i="4" s="1"/>
  <c r="M1774" i="4"/>
  <c r="L1774" i="4" s="1"/>
  <c r="M1775" i="4"/>
  <c r="L1775" i="4" s="1"/>
  <c r="M1776" i="4"/>
  <c r="L1776" i="4" s="1"/>
  <c r="M1777" i="4"/>
  <c r="L1777" i="4" s="1"/>
  <c r="M1778" i="4"/>
  <c r="L1778" i="4" s="1"/>
  <c r="M1779" i="4"/>
  <c r="L1779" i="4" s="1"/>
  <c r="M1780" i="4"/>
  <c r="L1780" i="4" s="1"/>
  <c r="M1781" i="4"/>
  <c r="L1781" i="4" s="1"/>
  <c r="M1782" i="4"/>
  <c r="L1782" i="4" s="1"/>
  <c r="M1783" i="4"/>
  <c r="L1783" i="4" s="1"/>
  <c r="M1784" i="4"/>
  <c r="L1784" i="4" s="1"/>
  <c r="M1785" i="4"/>
  <c r="L1785" i="4" s="1"/>
  <c r="M1788" i="4"/>
  <c r="L1788" i="4" s="1"/>
  <c r="M1789" i="4"/>
  <c r="L1789" i="4" s="1"/>
  <c r="M1790" i="4"/>
  <c r="L1790" i="4" s="1"/>
  <c r="M1791" i="4"/>
  <c r="L1791" i="4" s="1"/>
  <c r="M1792" i="4"/>
  <c r="L1792" i="4" s="1"/>
  <c r="M1793" i="4"/>
  <c r="L1793" i="4" s="1"/>
  <c r="M1794" i="4"/>
  <c r="L1794" i="4" s="1"/>
  <c r="M1795" i="4"/>
  <c r="L1795" i="4" s="1"/>
  <c r="M1796" i="4"/>
  <c r="L1796" i="4" s="1"/>
  <c r="M1797" i="4"/>
  <c r="L1797" i="4" s="1"/>
  <c r="M1798" i="4"/>
  <c r="L1798" i="4" s="1"/>
  <c r="M1799" i="4"/>
  <c r="L1799" i="4" s="1"/>
  <c r="M1800" i="4"/>
  <c r="L1800" i="4" s="1"/>
  <c r="M1803" i="4"/>
  <c r="L1803" i="4" s="1"/>
  <c r="M1804" i="4"/>
  <c r="L1804" i="4" s="1"/>
  <c r="M1805" i="4"/>
  <c r="L1805" i="4" s="1"/>
  <c r="M1806" i="4"/>
  <c r="L1806" i="4" s="1"/>
  <c r="M1807" i="4"/>
  <c r="L1807" i="4" s="1"/>
  <c r="M1808" i="4"/>
  <c r="L1808" i="4" s="1"/>
  <c r="M1809" i="4"/>
  <c r="L1809" i="4" s="1"/>
  <c r="M1810" i="4"/>
  <c r="L1810" i="4" s="1"/>
  <c r="M1811" i="4"/>
  <c r="L1811" i="4" s="1"/>
  <c r="M1812" i="4"/>
  <c r="L1812" i="4" s="1"/>
  <c r="M1813" i="4"/>
  <c r="L1813" i="4" s="1"/>
  <c r="M1814" i="4"/>
  <c r="L1814" i="4" s="1"/>
  <c r="M1815" i="4"/>
  <c r="L1815" i="4" s="1"/>
  <c r="M1818" i="4"/>
  <c r="L1818" i="4" s="1"/>
  <c r="M1819" i="4"/>
  <c r="L1819" i="4" s="1"/>
  <c r="M1820" i="4"/>
  <c r="L1820" i="4" s="1"/>
  <c r="M1821" i="4"/>
  <c r="L1821" i="4" s="1"/>
  <c r="M1822" i="4"/>
  <c r="L1822" i="4" s="1"/>
  <c r="M1823" i="4"/>
  <c r="L1823" i="4" s="1"/>
  <c r="M1824" i="4"/>
  <c r="L1824" i="4" s="1"/>
  <c r="M1825" i="4"/>
  <c r="L1825" i="4" s="1"/>
  <c r="M1826" i="4"/>
  <c r="L1826" i="4" s="1"/>
  <c r="M1827" i="4"/>
  <c r="L1827" i="4" s="1"/>
  <c r="M1828" i="4"/>
  <c r="L1828" i="4" s="1"/>
  <c r="M1829" i="4"/>
  <c r="L1829" i="4" s="1"/>
  <c r="M1830" i="4"/>
  <c r="L1830" i="4" s="1"/>
  <c r="M1833" i="4"/>
  <c r="L1833" i="4" s="1"/>
  <c r="M1834" i="4"/>
  <c r="L1834" i="4" s="1"/>
  <c r="M1835" i="4"/>
  <c r="L1835" i="4" s="1"/>
  <c r="M1836" i="4"/>
  <c r="L1836" i="4" s="1"/>
  <c r="M1837" i="4"/>
  <c r="L1837" i="4" s="1"/>
  <c r="M1838" i="4"/>
  <c r="L1838" i="4" s="1"/>
  <c r="M1839" i="4"/>
  <c r="L1839" i="4" s="1"/>
  <c r="M1840" i="4"/>
  <c r="L1840" i="4" s="1"/>
  <c r="M1841" i="4"/>
  <c r="L1841" i="4" s="1"/>
  <c r="M1842" i="4"/>
  <c r="L1842" i="4" s="1"/>
  <c r="M1843" i="4"/>
  <c r="L1843" i="4" s="1"/>
  <c r="M1844" i="4"/>
  <c r="L1844" i="4" s="1"/>
  <c r="M1845" i="4"/>
  <c r="L1845" i="4" s="1"/>
  <c r="M1848" i="4"/>
  <c r="L1848" i="4" s="1"/>
  <c r="M1849" i="4"/>
  <c r="L1849" i="4" s="1"/>
  <c r="M1850" i="4"/>
  <c r="L1850" i="4" s="1"/>
  <c r="M1851" i="4"/>
  <c r="L1851" i="4" s="1"/>
  <c r="M1852" i="4"/>
  <c r="L1852" i="4" s="1"/>
  <c r="M1853" i="4"/>
  <c r="L1853" i="4" s="1"/>
  <c r="M1854" i="4"/>
  <c r="L1854" i="4" s="1"/>
  <c r="M1855" i="4"/>
  <c r="L1855" i="4" s="1"/>
  <c r="M1856" i="4"/>
  <c r="L1856" i="4" s="1"/>
  <c r="M1857" i="4"/>
  <c r="L1857" i="4" s="1"/>
  <c r="M1858" i="4"/>
  <c r="L1858" i="4" s="1"/>
  <c r="M1859" i="4"/>
  <c r="L1859" i="4" s="1"/>
  <c r="M1860" i="4"/>
  <c r="L1860" i="4" s="1"/>
  <c r="M1863" i="4"/>
  <c r="L1863" i="4" s="1"/>
  <c r="M1864" i="4"/>
  <c r="L1864" i="4" s="1"/>
  <c r="M1865" i="4"/>
  <c r="L1865" i="4" s="1"/>
  <c r="M1866" i="4"/>
  <c r="L1866" i="4" s="1"/>
  <c r="M1867" i="4"/>
  <c r="L1867" i="4" s="1"/>
  <c r="M1868" i="4"/>
  <c r="L1868" i="4" s="1"/>
  <c r="M1869" i="4"/>
  <c r="L1869" i="4" s="1"/>
  <c r="M1870" i="4"/>
  <c r="L1870" i="4" s="1"/>
  <c r="M1871" i="4"/>
  <c r="L1871" i="4" s="1"/>
  <c r="M1872" i="4"/>
  <c r="L1872" i="4" s="1"/>
  <c r="M1873" i="4"/>
  <c r="L1873" i="4" s="1"/>
  <c r="M1874" i="4"/>
  <c r="L1874" i="4" s="1"/>
  <c r="M1875" i="4"/>
  <c r="L1875" i="4" s="1"/>
  <c r="M1878" i="4"/>
  <c r="L1878" i="4" s="1"/>
  <c r="M1879" i="4"/>
  <c r="L1879" i="4" s="1"/>
  <c r="M1880" i="4"/>
  <c r="L1880" i="4" s="1"/>
  <c r="M1881" i="4"/>
  <c r="L1881" i="4" s="1"/>
  <c r="M1882" i="4"/>
  <c r="L1882" i="4" s="1"/>
  <c r="M1883" i="4"/>
  <c r="L1883" i="4" s="1"/>
  <c r="M1884" i="4"/>
  <c r="L1884" i="4" s="1"/>
  <c r="M1885" i="4"/>
  <c r="L1885" i="4" s="1"/>
  <c r="M1886" i="4"/>
  <c r="L1886" i="4" s="1"/>
  <c r="M1887" i="4"/>
  <c r="L1887" i="4" s="1"/>
  <c r="M1888" i="4"/>
  <c r="L1888" i="4" s="1"/>
  <c r="M1889" i="4"/>
  <c r="L1889" i="4" s="1"/>
  <c r="M1890" i="4"/>
  <c r="L1890" i="4" s="1"/>
  <c r="M1893" i="4"/>
  <c r="L1893" i="4" s="1"/>
  <c r="M1894" i="4"/>
  <c r="L1894" i="4" s="1"/>
  <c r="M1895" i="4"/>
  <c r="L1895" i="4" s="1"/>
  <c r="M1896" i="4"/>
  <c r="L1896" i="4" s="1"/>
  <c r="M1897" i="4"/>
  <c r="L1897" i="4" s="1"/>
  <c r="M1898" i="4"/>
  <c r="L1898" i="4" s="1"/>
  <c r="M1899" i="4"/>
  <c r="L1899" i="4" s="1"/>
  <c r="M1900" i="4"/>
  <c r="L1900" i="4" s="1"/>
  <c r="M1901" i="4"/>
  <c r="L1901" i="4" s="1"/>
  <c r="M1902" i="4"/>
  <c r="L1902" i="4" s="1"/>
  <c r="M1903" i="4"/>
  <c r="L1903" i="4" s="1"/>
  <c r="M1904" i="4"/>
  <c r="L1904" i="4" s="1"/>
  <c r="M1905" i="4"/>
  <c r="L1905" i="4" s="1"/>
  <c r="M1908" i="4"/>
  <c r="L1908" i="4" s="1"/>
  <c r="M1909" i="4"/>
  <c r="L1909" i="4" s="1"/>
  <c r="M1910" i="4"/>
  <c r="L1910" i="4" s="1"/>
  <c r="M1911" i="4"/>
  <c r="L1911" i="4" s="1"/>
  <c r="M1912" i="4"/>
  <c r="L1912" i="4" s="1"/>
  <c r="M1913" i="4"/>
  <c r="L1913" i="4" s="1"/>
  <c r="M1914" i="4"/>
  <c r="L1914" i="4" s="1"/>
  <c r="M1915" i="4"/>
  <c r="L1915" i="4" s="1"/>
  <c r="M1916" i="4"/>
  <c r="L1916" i="4" s="1"/>
  <c r="M1917" i="4"/>
  <c r="L1917" i="4" s="1"/>
  <c r="M1918" i="4"/>
  <c r="L1918" i="4" s="1"/>
  <c r="M1919" i="4"/>
  <c r="L1919" i="4" s="1"/>
  <c r="M1920" i="4"/>
  <c r="L1920" i="4" s="1"/>
  <c r="M1923" i="4"/>
  <c r="L1923" i="4" s="1"/>
  <c r="M1924" i="4"/>
  <c r="L1924" i="4" s="1"/>
  <c r="M1925" i="4"/>
  <c r="L1925" i="4" s="1"/>
  <c r="M1926" i="4"/>
  <c r="L1926" i="4" s="1"/>
  <c r="M1927" i="4"/>
  <c r="L1927" i="4" s="1"/>
  <c r="M1928" i="4"/>
  <c r="L1928" i="4" s="1"/>
  <c r="M1929" i="4"/>
  <c r="L1929" i="4" s="1"/>
  <c r="M1930" i="4"/>
  <c r="L1930" i="4" s="1"/>
  <c r="M1931" i="4"/>
  <c r="L1931" i="4" s="1"/>
  <c r="M1932" i="4"/>
  <c r="L1932" i="4" s="1"/>
  <c r="M1933" i="4"/>
  <c r="L1933" i="4" s="1"/>
  <c r="M1934" i="4"/>
  <c r="L1934" i="4" s="1"/>
  <c r="M1935" i="4"/>
  <c r="L1935" i="4" s="1"/>
  <c r="M1938" i="4"/>
  <c r="L1938" i="4" s="1"/>
  <c r="M1939" i="4"/>
  <c r="L1939" i="4" s="1"/>
  <c r="M1940" i="4"/>
  <c r="L1940" i="4" s="1"/>
  <c r="M1941" i="4"/>
  <c r="L1941" i="4" s="1"/>
  <c r="M1942" i="4"/>
  <c r="L1942" i="4" s="1"/>
  <c r="M1943" i="4"/>
  <c r="L1943" i="4" s="1"/>
  <c r="M1944" i="4"/>
  <c r="L1944" i="4" s="1"/>
  <c r="M1945" i="4"/>
  <c r="L1945" i="4" s="1"/>
  <c r="M1946" i="4"/>
  <c r="L1946" i="4" s="1"/>
  <c r="M1947" i="4"/>
  <c r="L1947" i="4" s="1"/>
  <c r="M1948" i="4"/>
  <c r="L1948" i="4" s="1"/>
  <c r="M1949" i="4"/>
  <c r="L1949" i="4" s="1"/>
  <c r="M1950" i="4"/>
  <c r="L1950" i="4" s="1"/>
  <c r="M1953" i="4"/>
  <c r="L1953" i="4" s="1"/>
  <c r="M1954" i="4"/>
  <c r="L1954" i="4" s="1"/>
  <c r="M1955" i="4"/>
  <c r="L1955" i="4" s="1"/>
  <c r="M1956" i="4"/>
  <c r="L1956" i="4" s="1"/>
  <c r="M1957" i="4"/>
  <c r="L1957" i="4" s="1"/>
  <c r="M1958" i="4"/>
  <c r="L1958" i="4" s="1"/>
  <c r="M1959" i="4"/>
  <c r="L1959" i="4" s="1"/>
  <c r="M1960" i="4"/>
  <c r="L1960" i="4" s="1"/>
  <c r="M1961" i="4"/>
  <c r="L1961" i="4" s="1"/>
  <c r="M1962" i="4"/>
  <c r="L1962" i="4" s="1"/>
  <c r="M1963" i="4"/>
  <c r="L1963" i="4" s="1"/>
  <c r="M1964" i="4"/>
  <c r="L1964" i="4" s="1"/>
  <c r="M1965" i="4"/>
  <c r="L1965" i="4" s="1"/>
  <c r="M3" i="4"/>
  <c r="L3" i="4" s="1"/>
  <c r="D3" i="7"/>
  <c r="E3" i="7"/>
  <c r="F3" i="7"/>
  <c r="D4" i="7"/>
  <c r="E4" i="7"/>
  <c r="F4" i="7"/>
  <c r="D5" i="7"/>
  <c r="E5" i="7"/>
  <c r="F5" i="7"/>
  <c r="D6" i="7"/>
  <c r="E6" i="7"/>
  <c r="F6" i="7"/>
  <c r="D7" i="7"/>
  <c r="E7" i="7"/>
  <c r="F7" i="7"/>
  <c r="D8" i="7"/>
  <c r="E8" i="7"/>
  <c r="F8" i="7"/>
  <c r="D9" i="7"/>
  <c r="E9" i="7"/>
  <c r="F9" i="7"/>
  <c r="D10" i="7"/>
  <c r="E10" i="7"/>
  <c r="F10" i="7"/>
  <c r="D11" i="7"/>
  <c r="E11" i="7"/>
  <c r="F11" i="7"/>
  <c r="D12" i="7"/>
  <c r="E12" i="7"/>
  <c r="F12" i="7"/>
  <c r="D13" i="7"/>
  <c r="E13" i="7"/>
  <c r="F13" i="7"/>
  <c r="D14" i="7"/>
  <c r="E14" i="7"/>
  <c r="F14" i="7"/>
  <c r="D15" i="7"/>
  <c r="E15" i="7"/>
  <c r="F15" i="7"/>
  <c r="D16" i="7"/>
  <c r="E16" i="7"/>
  <c r="F16" i="7"/>
  <c r="D17" i="7"/>
  <c r="E17" i="7"/>
  <c r="F17" i="7"/>
  <c r="D18" i="7"/>
  <c r="E18" i="7"/>
  <c r="F18" i="7"/>
  <c r="D19" i="7"/>
  <c r="E19" i="7"/>
  <c r="F19" i="7"/>
  <c r="D20" i="7"/>
  <c r="E20" i="7"/>
  <c r="F20" i="7"/>
  <c r="D21" i="7"/>
  <c r="E21" i="7"/>
  <c r="F21" i="7"/>
  <c r="D22" i="7"/>
  <c r="E22" i="7"/>
  <c r="F22" i="7"/>
  <c r="D23" i="7"/>
  <c r="E23" i="7"/>
  <c r="F23" i="7"/>
  <c r="D24" i="7"/>
  <c r="E24" i="7"/>
  <c r="F24" i="7"/>
  <c r="D25" i="7"/>
  <c r="E25" i="7"/>
  <c r="G325" i="4" s="1"/>
  <c r="F25" i="7"/>
  <c r="D26" i="7"/>
  <c r="E26" i="7"/>
  <c r="F26" i="7"/>
  <c r="D27" i="7"/>
  <c r="E27" i="7"/>
  <c r="F27" i="7"/>
  <c r="D28" i="7"/>
  <c r="E28" i="7"/>
  <c r="F28" i="7"/>
  <c r="D29" i="7"/>
  <c r="E29" i="7"/>
  <c r="G375" i="4" s="1"/>
  <c r="F29" i="7"/>
  <c r="D30" i="7"/>
  <c r="E30" i="7"/>
  <c r="F30" i="7"/>
  <c r="D31" i="7"/>
  <c r="E31" i="7"/>
  <c r="F31" i="7"/>
  <c r="D32" i="7"/>
  <c r="E32" i="7"/>
  <c r="F32" i="7"/>
  <c r="D33" i="7"/>
  <c r="E33" i="7"/>
  <c r="F33" i="7"/>
  <c r="D34" i="7"/>
  <c r="E34" i="7"/>
  <c r="F34" i="7"/>
  <c r="D35" i="7"/>
  <c r="E35" i="7"/>
  <c r="F35" i="7"/>
  <c r="D36" i="7"/>
  <c r="E36" i="7"/>
  <c r="F36" i="7"/>
  <c r="D37" i="7"/>
  <c r="E37" i="7"/>
  <c r="F37" i="7"/>
  <c r="D38" i="7"/>
  <c r="E38" i="7"/>
  <c r="F38" i="7"/>
  <c r="D39" i="7"/>
  <c r="E39" i="7"/>
  <c r="F39" i="7"/>
  <c r="D40" i="7"/>
  <c r="E40" i="7"/>
  <c r="F40" i="7"/>
  <c r="D41" i="7"/>
  <c r="E41" i="7"/>
  <c r="G525" i="4" s="1"/>
  <c r="F41" i="7"/>
  <c r="D42" i="7"/>
  <c r="E42" i="7"/>
  <c r="F42" i="7"/>
  <c r="D43" i="7"/>
  <c r="E43" i="7"/>
  <c r="F43" i="7"/>
  <c r="D44" i="7"/>
  <c r="E44" i="7"/>
  <c r="F44" i="7"/>
  <c r="D45" i="7"/>
  <c r="E45" i="7"/>
  <c r="F45" i="7"/>
  <c r="D46" i="7"/>
  <c r="E46" i="7"/>
  <c r="F46" i="7"/>
  <c r="D47" i="7"/>
  <c r="E47" i="7"/>
  <c r="F47" i="7"/>
  <c r="D48" i="7"/>
  <c r="E48" i="7"/>
  <c r="F48" i="7"/>
  <c r="D49" i="7"/>
  <c r="E49" i="7"/>
  <c r="F49" i="7"/>
  <c r="D50" i="7"/>
  <c r="E50" i="7"/>
  <c r="G625" i="4" s="1"/>
  <c r="F50" i="7"/>
  <c r="D51" i="7"/>
  <c r="E51" i="7"/>
  <c r="F51" i="7"/>
  <c r="D52" i="7"/>
  <c r="E52" i="7"/>
  <c r="F52" i="7"/>
  <c r="D53" i="7"/>
  <c r="E53" i="7"/>
  <c r="F53" i="7"/>
  <c r="D54" i="7"/>
  <c r="E54" i="7"/>
  <c r="F54" i="7"/>
  <c r="D55" i="7"/>
  <c r="E55" i="7"/>
  <c r="F55" i="7"/>
  <c r="D56" i="7"/>
  <c r="E56" i="7"/>
  <c r="F56" i="7"/>
  <c r="D57" i="7"/>
  <c r="E57" i="7"/>
  <c r="F57" i="7"/>
  <c r="D58" i="7"/>
  <c r="E58" i="7"/>
  <c r="F58" i="7"/>
  <c r="D59" i="7"/>
  <c r="E59" i="7"/>
  <c r="F59" i="7"/>
  <c r="D60" i="7"/>
  <c r="E60" i="7"/>
  <c r="F60" i="7"/>
  <c r="D61" i="7"/>
  <c r="E61" i="7"/>
  <c r="F61" i="7"/>
  <c r="D62" i="7"/>
  <c r="E62" i="7"/>
  <c r="F62" i="7"/>
  <c r="D63" i="7"/>
  <c r="E63" i="7"/>
  <c r="F63" i="7"/>
  <c r="D64" i="7"/>
  <c r="E64" i="7"/>
  <c r="F64" i="7"/>
  <c r="D65" i="7"/>
  <c r="E65" i="7"/>
  <c r="F65" i="7"/>
  <c r="D66" i="7"/>
  <c r="E66" i="7"/>
  <c r="F66" i="7"/>
  <c r="D67" i="7"/>
  <c r="E67" i="7"/>
  <c r="F67" i="7"/>
  <c r="D68" i="7"/>
  <c r="E68" i="7"/>
  <c r="F68" i="7"/>
  <c r="D69" i="7"/>
  <c r="E69" i="7"/>
  <c r="F69" i="7"/>
  <c r="D70" i="7"/>
  <c r="E70" i="7"/>
  <c r="F70" i="7"/>
  <c r="D71" i="7"/>
  <c r="E71" i="7"/>
  <c r="G895" i="4" s="1"/>
  <c r="F71" i="7"/>
  <c r="D72" i="7"/>
  <c r="E72" i="7"/>
  <c r="F72" i="7"/>
  <c r="D73" i="7"/>
  <c r="E73" i="7"/>
  <c r="F73" i="7"/>
  <c r="D74" i="7"/>
  <c r="E74" i="7"/>
  <c r="F74" i="7"/>
  <c r="D75" i="7"/>
  <c r="E75" i="7"/>
  <c r="F75" i="7"/>
  <c r="D76" i="7"/>
  <c r="E76" i="7"/>
  <c r="G953" i="4" s="1"/>
  <c r="F76" i="7"/>
  <c r="D77" i="7"/>
  <c r="E77" i="7"/>
  <c r="F77" i="7"/>
  <c r="D78" i="7"/>
  <c r="E78" i="7"/>
  <c r="F78" i="7"/>
  <c r="D79" i="7"/>
  <c r="E79" i="7"/>
  <c r="F79" i="7"/>
  <c r="D80" i="7"/>
  <c r="E80" i="7"/>
  <c r="F80" i="7"/>
  <c r="D81" i="7"/>
  <c r="E81" i="7"/>
  <c r="F81" i="7"/>
  <c r="D82" i="7"/>
  <c r="E82" i="7"/>
  <c r="G1023" i="4" s="1"/>
  <c r="F82" i="7"/>
  <c r="D83" i="7"/>
  <c r="E83" i="7"/>
  <c r="F83" i="7"/>
  <c r="D84" i="7"/>
  <c r="E84" i="7"/>
  <c r="F84" i="7"/>
  <c r="D85" i="7"/>
  <c r="E85" i="7"/>
  <c r="F85" i="7"/>
  <c r="D86" i="7"/>
  <c r="E86" i="7"/>
  <c r="F86" i="7"/>
  <c r="D87" i="7"/>
  <c r="E87" i="7"/>
  <c r="F87" i="7"/>
  <c r="D88" i="7"/>
  <c r="E88" i="7"/>
  <c r="F88" i="7"/>
  <c r="D89" i="7"/>
  <c r="E89" i="7"/>
  <c r="F89" i="7"/>
  <c r="D90" i="7"/>
  <c r="E90" i="7"/>
  <c r="F90" i="7"/>
  <c r="D91" i="7"/>
  <c r="E91" i="7"/>
  <c r="F91" i="7"/>
  <c r="D92" i="7"/>
  <c r="E92" i="7"/>
  <c r="F92" i="7"/>
  <c r="D93" i="7"/>
  <c r="E93" i="7"/>
  <c r="F93" i="7"/>
  <c r="D94" i="7"/>
  <c r="E94" i="7"/>
  <c r="F94" i="7"/>
  <c r="D95" i="7"/>
  <c r="E95" i="7"/>
  <c r="F95" i="7"/>
  <c r="D96" i="7"/>
  <c r="E96" i="7"/>
  <c r="F96" i="7"/>
  <c r="D97" i="7"/>
  <c r="E97" i="7"/>
  <c r="F97" i="7"/>
  <c r="D98" i="7"/>
  <c r="E98" i="7"/>
  <c r="F98" i="7"/>
  <c r="D99" i="7"/>
  <c r="E99" i="7"/>
  <c r="F99" i="7"/>
  <c r="D100" i="7"/>
  <c r="E100" i="7"/>
  <c r="F100" i="7"/>
  <c r="D101" i="7"/>
  <c r="E101" i="7"/>
  <c r="F101" i="7"/>
  <c r="D102" i="7"/>
  <c r="E102" i="7"/>
  <c r="G1283" i="4" s="1"/>
  <c r="F102" i="7"/>
  <c r="D103" i="7"/>
  <c r="E103" i="7"/>
  <c r="F103" i="7"/>
  <c r="D104" i="7"/>
  <c r="E104" i="7"/>
  <c r="F104" i="7"/>
  <c r="D105" i="7"/>
  <c r="E105" i="7"/>
  <c r="F105" i="7"/>
  <c r="D106" i="7"/>
  <c r="E106" i="7"/>
  <c r="F106" i="7"/>
  <c r="D107" i="7"/>
  <c r="E107" i="7"/>
  <c r="F107" i="7"/>
  <c r="D108" i="7"/>
  <c r="E108" i="7"/>
  <c r="F108" i="7"/>
  <c r="D109" i="7"/>
  <c r="E109" i="7"/>
  <c r="F109" i="7"/>
  <c r="D110" i="7"/>
  <c r="E110" i="7"/>
  <c r="F110" i="7"/>
  <c r="D111" i="7"/>
  <c r="E111" i="7"/>
  <c r="F111" i="7"/>
  <c r="D112" i="7"/>
  <c r="E112" i="7"/>
  <c r="F112" i="7"/>
  <c r="D113" i="7"/>
  <c r="E113" i="7"/>
  <c r="F113" i="7"/>
  <c r="D114" i="7"/>
  <c r="E114" i="7"/>
  <c r="F114" i="7"/>
  <c r="D115" i="7"/>
  <c r="E115" i="7"/>
  <c r="F115" i="7"/>
  <c r="D116" i="7"/>
  <c r="E116" i="7"/>
  <c r="F116" i="7"/>
  <c r="D117" i="7"/>
  <c r="E117" i="7"/>
  <c r="F117" i="7"/>
  <c r="D118" i="7"/>
  <c r="E118" i="7"/>
  <c r="F118" i="7"/>
  <c r="D119" i="7"/>
  <c r="E119" i="7"/>
  <c r="F119" i="7"/>
  <c r="D120" i="7"/>
  <c r="E120" i="7"/>
  <c r="F120" i="7"/>
  <c r="D121" i="7"/>
  <c r="E121" i="7"/>
  <c r="F121" i="7"/>
  <c r="D122" i="7"/>
  <c r="E122" i="7"/>
  <c r="F122" i="7"/>
  <c r="D123" i="7"/>
  <c r="E123" i="7"/>
  <c r="F123" i="7"/>
  <c r="D124" i="7"/>
  <c r="E124" i="7"/>
  <c r="F124" i="7"/>
  <c r="D125" i="7"/>
  <c r="E125" i="7"/>
  <c r="F125" i="7"/>
  <c r="D126" i="7"/>
  <c r="E126" i="7"/>
  <c r="F126" i="7"/>
  <c r="D127" i="7"/>
  <c r="E127" i="7"/>
  <c r="F127" i="7"/>
  <c r="D128" i="7"/>
  <c r="E128" i="7"/>
  <c r="F128" i="7"/>
  <c r="D129" i="7"/>
  <c r="E129" i="7"/>
  <c r="F129" i="7"/>
  <c r="D130" i="7"/>
  <c r="E130" i="7"/>
  <c r="F130" i="7"/>
  <c r="D131" i="7"/>
  <c r="E131" i="7"/>
  <c r="F131" i="7"/>
  <c r="D132" i="7"/>
  <c r="E132" i="7"/>
  <c r="G1643" i="4" s="1"/>
  <c r="F132" i="7"/>
  <c r="D133" i="7"/>
  <c r="E133" i="7"/>
  <c r="F133" i="7"/>
  <c r="D134" i="7"/>
  <c r="E134" i="7"/>
  <c r="F134" i="7"/>
  <c r="D135" i="7"/>
  <c r="E135" i="7"/>
  <c r="F135" i="7"/>
  <c r="D136" i="7"/>
  <c r="E136" i="7"/>
  <c r="F136" i="7"/>
  <c r="D137" i="7"/>
  <c r="E137" i="7"/>
  <c r="F137" i="7"/>
  <c r="D138" i="7"/>
  <c r="E138" i="7"/>
  <c r="F138" i="7"/>
  <c r="D139" i="7"/>
  <c r="E139" i="7"/>
  <c r="F139" i="7"/>
  <c r="D140" i="7"/>
  <c r="E140" i="7"/>
  <c r="F140" i="7"/>
  <c r="D141" i="7"/>
  <c r="E141" i="7"/>
  <c r="F141" i="7"/>
  <c r="D142" i="7"/>
  <c r="E142" i="7"/>
  <c r="F142" i="7"/>
  <c r="D143" i="7"/>
  <c r="E143" i="7"/>
  <c r="F143" i="7"/>
  <c r="D144" i="7"/>
  <c r="E144" i="7"/>
  <c r="F144" i="7"/>
  <c r="D145" i="7"/>
  <c r="E145" i="7"/>
  <c r="F145" i="7"/>
  <c r="D146" i="7"/>
  <c r="E146" i="7"/>
  <c r="F146" i="7"/>
  <c r="D147" i="7"/>
  <c r="E147" i="7"/>
  <c r="F147" i="7"/>
  <c r="D148" i="7"/>
  <c r="E148" i="7"/>
  <c r="F148" i="7"/>
  <c r="D149" i="7"/>
  <c r="E149" i="7"/>
  <c r="F149" i="7"/>
  <c r="D150" i="7"/>
  <c r="E150" i="7"/>
  <c r="F150" i="7"/>
  <c r="D151" i="7"/>
  <c r="E151" i="7"/>
  <c r="F151" i="7"/>
  <c r="D152" i="7"/>
  <c r="E152" i="7"/>
  <c r="F152" i="7"/>
  <c r="D153" i="7"/>
  <c r="E153" i="7"/>
  <c r="F153" i="7"/>
  <c r="D154" i="7"/>
  <c r="E154" i="7"/>
  <c r="F154" i="7"/>
  <c r="D155" i="7"/>
  <c r="E155" i="7"/>
  <c r="F155" i="7"/>
  <c r="D156" i="7"/>
  <c r="E156" i="7"/>
  <c r="F156" i="7"/>
  <c r="D157" i="7"/>
  <c r="E157" i="7"/>
  <c r="F157" i="7"/>
  <c r="D158" i="7"/>
  <c r="E158" i="7"/>
  <c r="F158" i="7"/>
  <c r="D159" i="7"/>
  <c r="E159" i="7"/>
  <c r="F159" i="7"/>
  <c r="D160" i="7"/>
  <c r="E160" i="7"/>
  <c r="F160" i="7"/>
  <c r="D161" i="7"/>
  <c r="E161" i="7"/>
  <c r="F161" i="7"/>
  <c r="D162" i="7"/>
  <c r="E162" i="7"/>
  <c r="F162" i="7"/>
  <c r="D163" i="7"/>
  <c r="E163" i="7"/>
  <c r="F163" i="7"/>
  <c r="D164" i="7"/>
  <c r="E164" i="7"/>
  <c r="F164" i="7"/>
  <c r="D165" i="7"/>
  <c r="E165" i="7"/>
  <c r="F165" i="7"/>
  <c r="D166" i="7"/>
  <c r="E166" i="7"/>
  <c r="F166" i="7"/>
  <c r="D167" i="7"/>
  <c r="E167" i="7"/>
  <c r="F167" i="7"/>
  <c r="D168" i="7"/>
  <c r="E168" i="7"/>
  <c r="F168" i="7"/>
  <c r="D169" i="7"/>
  <c r="E169" i="7"/>
  <c r="F169" i="7"/>
  <c r="D170" i="7"/>
  <c r="E170" i="7"/>
  <c r="F170" i="7"/>
  <c r="D171" i="7"/>
  <c r="E171" i="7"/>
  <c r="F171" i="7"/>
  <c r="D172" i="7"/>
  <c r="E172" i="7"/>
  <c r="F172" i="7"/>
  <c r="D173" i="7"/>
  <c r="E173" i="7"/>
  <c r="F173" i="7"/>
  <c r="D174" i="7"/>
  <c r="E174" i="7"/>
  <c r="F174" i="7"/>
  <c r="D175" i="7"/>
  <c r="E175" i="7"/>
  <c r="F175" i="7"/>
  <c r="D176" i="7"/>
  <c r="E176" i="7"/>
  <c r="F176" i="7"/>
  <c r="D177" i="7"/>
  <c r="E177" i="7"/>
  <c r="F177" i="7"/>
  <c r="D178" i="7"/>
  <c r="E178" i="7"/>
  <c r="F178" i="7"/>
  <c r="D179" i="7"/>
  <c r="E179" i="7"/>
  <c r="F179" i="7"/>
  <c r="D180" i="7"/>
  <c r="E180" i="7"/>
  <c r="F180" i="7"/>
  <c r="D181" i="7"/>
  <c r="E181" i="7"/>
  <c r="F181" i="7"/>
  <c r="D182" i="7"/>
  <c r="E182" i="7"/>
  <c r="F182" i="7"/>
  <c r="D183" i="7"/>
  <c r="E183" i="7"/>
  <c r="F183" i="7"/>
  <c r="D184" i="7"/>
  <c r="E184" i="7"/>
  <c r="F184" i="7"/>
  <c r="D185" i="7"/>
  <c r="E185" i="7"/>
  <c r="F185" i="7"/>
  <c r="D186" i="7"/>
  <c r="E186" i="7"/>
  <c r="F186" i="7"/>
  <c r="D187" i="7"/>
  <c r="E187" i="7"/>
  <c r="F187" i="7"/>
  <c r="D188" i="7"/>
  <c r="E188" i="7"/>
  <c r="F188" i="7"/>
  <c r="E2" i="7"/>
  <c r="G6" i="4" s="1"/>
  <c r="F2" i="7"/>
  <c r="I8" i="4" s="1"/>
  <c r="D2" i="7"/>
  <c r="H1966" i="4" l="1"/>
  <c r="G1966" i="4"/>
  <c r="G1262" i="4"/>
  <c r="I1262" i="4"/>
  <c r="I62" i="4"/>
  <c r="H212" i="4"/>
  <c r="H631" i="4"/>
  <c r="I871" i="4"/>
  <c r="H1441" i="4"/>
  <c r="I1486" i="4"/>
  <c r="H62" i="4"/>
  <c r="H871" i="4"/>
  <c r="I1036" i="4"/>
  <c r="G1441" i="4"/>
  <c r="H1486" i="4"/>
  <c r="H1831" i="4"/>
  <c r="G1906" i="4"/>
  <c r="G1831" i="4"/>
  <c r="H481" i="4"/>
  <c r="I691" i="4"/>
  <c r="I766" i="4"/>
  <c r="H1756" i="4"/>
  <c r="H1876" i="4"/>
  <c r="H691" i="4"/>
  <c r="H766" i="4"/>
  <c r="G1756" i="4"/>
  <c r="I286" i="4"/>
  <c r="I616" i="4"/>
  <c r="H1382" i="4"/>
  <c r="I1426" i="4"/>
  <c r="H1546" i="4"/>
  <c r="I1921" i="4"/>
  <c r="M1982" i="4"/>
  <c r="H286" i="4"/>
  <c r="H616" i="4"/>
  <c r="H1426" i="4"/>
  <c r="H706" i="4"/>
  <c r="H781" i="4"/>
  <c r="I1186" i="4"/>
  <c r="I1336" i="4"/>
  <c r="H242" i="4"/>
  <c r="G242" i="4"/>
  <c r="H92" i="4"/>
  <c r="G92" i="4"/>
  <c r="H362" i="4"/>
  <c r="G362" i="4"/>
  <c r="I362" i="4"/>
  <c r="G1981" i="4"/>
  <c r="H1981" i="4"/>
  <c r="I1981" i="4"/>
  <c r="H841" i="4"/>
  <c r="H917" i="4"/>
  <c r="G1606" i="4"/>
  <c r="G1681" i="4"/>
  <c r="I1711" i="4"/>
  <c r="H1801" i="4"/>
  <c r="H1711" i="4"/>
  <c r="H556" i="4"/>
  <c r="H1606" i="4"/>
  <c r="H1681" i="4"/>
  <c r="I212" i="4"/>
  <c r="I466" i="4"/>
  <c r="I496" i="4"/>
  <c r="G1397" i="4"/>
  <c r="I1876" i="4"/>
  <c r="H1906" i="4"/>
  <c r="I841" i="4"/>
  <c r="I917" i="4"/>
  <c r="G392" i="4"/>
  <c r="I541" i="4"/>
  <c r="I571" i="4"/>
  <c r="H856" i="4"/>
  <c r="H932" i="4"/>
  <c r="I1112" i="4"/>
  <c r="I1367" i="4"/>
  <c r="H1591" i="4"/>
  <c r="H541" i="4"/>
  <c r="H571" i="4"/>
  <c r="I646" i="4"/>
  <c r="G932" i="4"/>
  <c r="I1067" i="4"/>
  <c r="H1367" i="4"/>
  <c r="G1591" i="4"/>
  <c r="G1666" i="4"/>
  <c r="H646" i="4"/>
  <c r="I1801" i="4"/>
  <c r="G275" i="4"/>
  <c r="G287" i="4"/>
  <c r="H287" i="4"/>
  <c r="I287" i="4"/>
  <c r="G406" i="4"/>
  <c r="H406" i="4"/>
  <c r="I406" i="4"/>
  <c r="G632" i="4"/>
  <c r="H632" i="4"/>
  <c r="I632" i="4"/>
  <c r="G737" i="4"/>
  <c r="H737" i="4"/>
  <c r="I737" i="4"/>
  <c r="G107" i="4"/>
  <c r="H107" i="4"/>
  <c r="I107" i="4"/>
  <c r="G152" i="4"/>
  <c r="H152" i="4"/>
  <c r="I152" i="4"/>
  <c r="G196" i="4"/>
  <c r="H196" i="4"/>
  <c r="I196" i="4"/>
  <c r="G332" i="4"/>
  <c r="H332" i="4"/>
  <c r="I332" i="4"/>
  <c r="G361" i="4"/>
  <c r="H361" i="4"/>
  <c r="I361" i="4"/>
  <c r="G422" i="4"/>
  <c r="H422" i="4"/>
  <c r="I422" i="4"/>
  <c r="G602" i="4"/>
  <c r="H602" i="4"/>
  <c r="I602" i="4"/>
  <c r="G707" i="4"/>
  <c r="H707" i="4"/>
  <c r="I707" i="4"/>
  <c r="G812" i="4"/>
  <c r="H812" i="4"/>
  <c r="I812" i="4"/>
  <c r="G1772" i="4"/>
  <c r="H1772" i="4"/>
  <c r="I1772" i="4"/>
  <c r="G1907" i="4"/>
  <c r="H1907" i="4"/>
  <c r="I1907" i="4"/>
  <c r="I377" i="4"/>
  <c r="G377" i="4"/>
  <c r="H377" i="4"/>
  <c r="G677" i="4"/>
  <c r="H677" i="4"/>
  <c r="I677" i="4"/>
  <c r="G782" i="4"/>
  <c r="H782" i="4"/>
  <c r="I782" i="4"/>
  <c r="G887" i="4"/>
  <c r="H887" i="4"/>
  <c r="I887" i="4"/>
  <c r="G331" i="4"/>
  <c r="H331" i="4"/>
  <c r="I331" i="4"/>
  <c r="G32" i="4"/>
  <c r="H32" i="4"/>
  <c r="I32" i="4"/>
  <c r="G61" i="4"/>
  <c r="H61" i="4"/>
  <c r="I61" i="4"/>
  <c r="G122" i="4"/>
  <c r="H122" i="4"/>
  <c r="I122" i="4"/>
  <c r="G376" i="4"/>
  <c r="H376" i="4"/>
  <c r="I376" i="4"/>
  <c r="G752" i="4"/>
  <c r="H752" i="4"/>
  <c r="I752" i="4"/>
  <c r="G857" i="4"/>
  <c r="H857" i="4"/>
  <c r="I857" i="4"/>
  <c r="G961" i="4"/>
  <c r="H961" i="4"/>
  <c r="I961" i="4"/>
  <c r="G31" i="4"/>
  <c r="H31" i="4"/>
  <c r="I31" i="4"/>
  <c r="I77" i="4"/>
  <c r="G77" i="4"/>
  <c r="H77" i="4"/>
  <c r="H437" i="4"/>
  <c r="I437" i="4"/>
  <c r="G437" i="4"/>
  <c r="G647" i="4"/>
  <c r="H647" i="4"/>
  <c r="I647" i="4"/>
  <c r="G827" i="4"/>
  <c r="H827" i="4"/>
  <c r="I827" i="4"/>
  <c r="G76" i="4"/>
  <c r="H76" i="4"/>
  <c r="I76" i="4"/>
  <c r="G257" i="4"/>
  <c r="H257" i="4"/>
  <c r="I257" i="4"/>
  <c r="G302" i="4"/>
  <c r="H302" i="4"/>
  <c r="I302" i="4"/>
  <c r="G346" i="4"/>
  <c r="H346" i="4"/>
  <c r="I346" i="4"/>
  <c r="G722" i="4"/>
  <c r="H722" i="4"/>
  <c r="I722" i="4"/>
  <c r="G1442" i="4"/>
  <c r="H1442" i="4"/>
  <c r="I1442" i="4"/>
  <c r="G151" i="4"/>
  <c r="I151" i="4"/>
  <c r="H151" i="4"/>
  <c r="G137" i="4"/>
  <c r="H137" i="4"/>
  <c r="I137" i="4"/>
  <c r="G256" i="4"/>
  <c r="H256" i="4"/>
  <c r="I256" i="4"/>
  <c r="G301" i="4"/>
  <c r="I301" i="4"/>
  <c r="H301" i="4"/>
  <c r="G482" i="4"/>
  <c r="H482" i="4"/>
  <c r="I482" i="4"/>
  <c r="G512" i="4"/>
  <c r="H512" i="4"/>
  <c r="I512" i="4"/>
  <c r="G797" i="4"/>
  <c r="H797" i="4"/>
  <c r="I797" i="4"/>
  <c r="G182" i="4"/>
  <c r="H182" i="4"/>
  <c r="I182" i="4"/>
  <c r="G211" i="4"/>
  <c r="H211" i="4"/>
  <c r="I211" i="4"/>
  <c r="G272" i="4"/>
  <c r="H272" i="4"/>
  <c r="I272" i="4"/>
  <c r="G452" i="4"/>
  <c r="H452" i="4"/>
  <c r="I452" i="4"/>
  <c r="G872" i="4"/>
  <c r="H872" i="4"/>
  <c r="I872" i="4"/>
  <c r="G1111" i="4"/>
  <c r="H1111" i="4"/>
  <c r="I1111" i="4"/>
  <c r="G106" i="4"/>
  <c r="H106" i="4"/>
  <c r="I106" i="4"/>
  <c r="G181" i="4"/>
  <c r="H181" i="4"/>
  <c r="I181" i="4"/>
  <c r="I227" i="4"/>
  <c r="G227" i="4"/>
  <c r="H227" i="4"/>
  <c r="G557" i="4"/>
  <c r="H557" i="4"/>
  <c r="I557" i="4"/>
  <c r="G587" i="4"/>
  <c r="H587" i="4"/>
  <c r="I587" i="4"/>
  <c r="G46" i="4"/>
  <c r="H46" i="4"/>
  <c r="I46" i="4"/>
  <c r="G226" i="4"/>
  <c r="H226" i="4"/>
  <c r="I226" i="4"/>
  <c r="G407" i="4"/>
  <c r="H407" i="4"/>
  <c r="I407" i="4"/>
  <c r="G527" i="4"/>
  <c r="H527" i="4"/>
  <c r="I527" i="4"/>
  <c r="G662" i="4"/>
  <c r="H662" i="4"/>
  <c r="I662" i="4"/>
  <c r="H947" i="4"/>
  <c r="I947" i="4"/>
  <c r="G947" i="4"/>
  <c r="G962" i="4"/>
  <c r="H962" i="4"/>
  <c r="G1022" i="4"/>
  <c r="H1022" i="4"/>
  <c r="I1022" i="4"/>
  <c r="G1081" i="4"/>
  <c r="H1081" i="4"/>
  <c r="I1081" i="4"/>
  <c r="G1127" i="4"/>
  <c r="I1127" i="4"/>
  <c r="G1157" i="4"/>
  <c r="H1157" i="4"/>
  <c r="I1157" i="4"/>
  <c r="G1337" i="4"/>
  <c r="H1337" i="4"/>
  <c r="I1337" i="4"/>
  <c r="G1396" i="4"/>
  <c r="H1396" i="4"/>
  <c r="I1396" i="4"/>
  <c r="I1456" i="4"/>
  <c r="G1456" i="4"/>
  <c r="H1456" i="4"/>
  <c r="G1562" i="4"/>
  <c r="H1562" i="4"/>
  <c r="G1621" i="4"/>
  <c r="H1621" i="4"/>
  <c r="I1621" i="4"/>
  <c r="G1667" i="4"/>
  <c r="H1667" i="4"/>
  <c r="I1667" i="4"/>
  <c r="G1937" i="4"/>
  <c r="H1937" i="4"/>
  <c r="I1937" i="4"/>
  <c r="I47" i="4"/>
  <c r="I121" i="4"/>
  <c r="I197" i="4"/>
  <c r="I271" i="4"/>
  <c r="I347" i="4"/>
  <c r="I421" i="4"/>
  <c r="G902" i="4"/>
  <c r="H902" i="4"/>
  <c r="I962" i="4"/>
  <c r="H992" i="4"/>
  <c r="G1051" i="4"/>
  <c r="I1051" i="4"/>
  <c r="H1127" i="4"/>
  <c r="G1156" i="4"/>
  <c r="I1156" i="4"/>
  <c r="H1232" i="4"/>
  <c r="I1291" i="4"/>
  <c r="I1562" i="4"/>
  <c r="G1847" i="4"/>
  <c r="H1847" i="4"/>
  <c r="I1847" i="4"/>
  <c r="H47" i="4"/>
  <c r="H121" i="4"/>
  <c r="H197" i="4"/>
  <c r="H271" i="4"/>
  <c r="H347" i="4"/>
  <c r="H421" i="4"/>
  <c r="G992" i="4"/>
  <c r="G1021" i="4"/>
  <c r="H1021" i="4"/>
  <c r="I1021" i="4"/>
  <c r="H1097" i="4"/>
  <c r="I1097" i="4"/>
  <c r="G1202" i="4"/>
  <c r="H1202" i="4"/>
  <c r="G1232" i="4"/>
  <c r="G1261" i="4"/>
  <c r="H1261" i="4"/>
  <c r="I1261" i="4"/>
  <c r="H1291" i="4"/>
  <c r="G1366" i="4"/>
  <c r="H1366" i="4"/>
  <c r="I1366" i="4"/>
  <c r="G1502" i="4"/>
  <c r="H1502" i="4"/>
  <c r="G1561" i="4"/>
  <c r="H1561" i="4"/>
  <c r="I1561" i="4"/>
  <c r="G1607" i="4"/>
  <c r="H1607" i="4"/>
  <c r="I1607" i="4"/>
  <c r="I17" i="4"/>
  <c r="I91" i="4"/>
  <c r="I167" i="4"/>
  <c r="I241" i="4"/>
  <c r="I317" i="4"/>
  <c r="I391" i="4"/>
  <c r="G1097" i="4"/>
  <c r="G1126" i="4"/>
  <c r="H1126" i="4"/>
  <c r="G1172" i="4"/>
  <c r="H1172" i="4"/>
  <c r="I1172" i="4"/>
  <c r="I1202" i="4"/>
  <c r="G1231" i="4"/>
  <c r="H1231" i="4"/>
  <c r="I1231" i="4"/>
  <c r="G1277" i="4"/>
  <c r="I1277" i="4"/>
  <c r="G1307" i="4"/>
  <c r="H1307" i="4"/>
  <c r="I1307" i="4"/>
  <c r="I1502" i="4"/>
  <c r="G1757" i="4"/>
  <c r="H1757" i="4"/>
  <c r="I1757" i="4"/>
  <c r="G1817" i="4"/>
  <c r="H1817" i="4"/>
  <c r="I1817" i="4"/>
  <c r="H17" i="4"/>
  <c r="H91" i="4"/>
  <c r="H167" i="4"/>
  <c r="H241" i="4"/>
  <c r="H317" i="4"/>
  <c r="H391" i="4"/>
  <c r="I451" i="4"/>
  <c r="I526" i="4"/>
  <c r="I601" i="4"/>
  <c r="I676" i="4"/>
  <c r="I751" i="4"/>
  <c r="I826" i="4"/>
  <c r="G931" i="4"/>
  <c r="H931" i="4"/>
  <c r="I931" i="4"/>
  <c r="G1037" i="4"/>
  <c r="H1037" i="4"/>
  <c r="I1037" i="4"/>
  <c r="G1096" i="4"/>
  <c r="H1096" i="4"/>
  <c r="I1096" i="4"/>
  <c r="G1201" i="4"/>
  <c r="I1201" i="4"/>
  <c r="G1306" i="4"/>
  <c r="I1306" i="4"/>
  <c r="G1501" i="4"/>
  <c r="H1501" i="4"/>
  <c r="I1501" i="4"/>
  <c r="G1547" i="4"/>
  <c r="H1547" i="4"/>
  <c r="I1547" i="4"/>
  <c r="G1636" i="4"/>
  <c r="H1636" i="4"/>
  <c r="G1682" i="4"/>
  <c r="H1682" i="4"/>
  <c r="H451" i="4"/>
  <c r="H526" i="4"/>
  <c r="H601" i="4"/>
  <c r="H676" i="4"/>
  <c r="H751" i="4"/>
  <c r="H826" i="4"/>
  <c r="H901" i="4"/>
  <c r="I977" i="4"/>
  <c r="H991" i="4"/>
  <c r="H1067" i="4"/>
  <c r="H1142" i="4"/>
  <c r="I1142" i="4"/>
  <c r="G1171" i="4"/>
  <c r="H1171" i="4"/>
  <c r="I1171" i="4"/>
  <c r="H1201" i="4"/>
  <c r="H1247" i="4"/>
  <c r="I1247" i="4"/>
  <c r="H1306" i="4"/>
  <c r="G1382" i="4"/>
  <c r="I1411" i="4"/>
  <c r="I1471" i="4"/>
  <c r="G1517" i="4"/>
  <c r="H1517" i="4"/>
  <c r="I1517" i="4"/>
  <c r="G1576" i="4"/>
  <c r="H1576" i="4"/>
  <c r="I1636" i="4"/>
  <c r="I1682" i="4"/>
  <c r="H1786" i="4"/>
  <c r="G1786" i="4"/>
  <c r="I481" i="4"/>
  <c r="I556" i="4"/>
  <c r="I631" i="4"/>
  <c r="I706" i="4"/>
  <c r="I781" i="4"/>
  <c r="I856" i="4"/>
  <c r="H977" i="4"/>
  <c r="H1007" i="4"/>
  <c r="I1007" i="4"/>
  <c r="G1066" i="4"/>
  <c r="H1066" i="4"/>
  <c r="I1066" i="4"/>
  <c r="G1142" i="4"/>
  <c r="G1247" i="4"/>
  <c r="G1276" i="4"/>
  <c r="H1276" i="4"/>
  <c r="G1322" i="4"/>
  <c r="H1322" i="4"/>
  <c r="I1322" i="4"/>
  <c r="G1352" i="4"/>
  <c r="H1352" i="4"/>
  <c r="G1381" i="4"/>
  <c r="H1381" i="4"/>
  <c r="I1381" i="4"/>
  <c r="H1411" i="4"/>
  <c r="H1471" i="4"/>
  <c r="I1576" i="4"/>
  <c r="G1712" i="4"/>
  <c r="H1712" i="4"/>
  <c r="I1712" i="4"/>
  <c r="I1786" i="4"/>
  <c r="G1832" i="4"/>
  <c r="H1832" i="4"/>
  <c r="I1832" i="4"/>
  <c r="G1862" i="4"/>
  <c r="H1862" i="4"/>
  <c r="G1922" i="4"/>
  <c r="H1922" i="4"/>
  <c r="I1922" i="4"/>
  <c r="G467" i="4"/>
  <c r="H467" i="4"/>
  <c r="I467" i="4"/>
  <c r="G542" i="4"/>
  <c r="H542" i="4"/>
  <c r="I542" i="4"/>
  <c r="G617" i="4"/>
  <c r="H617" i="4"/>
  <c r="I617" i="4"/>
  <c r="G692" i="4"/>
  <c r="H692" i="4"/>
  <c r="I692" i="4"/>
  <c r="G767" i="4"/>
  <c r="H767" i="4"/>
  <c r="I767" i="4"/>
  <c r="G842" i="4"/>
  <c r="H842" i="4"/>
  <c r="I842" i="4"/>
  <c r="G1187" i="4"/>
  <c r="H1187" i="4"/>
  <c r="I1187" i="4"/>
  <c r="G1246" i="4"/>
  <c r="H1246" i="4"/>
  <c r="I1246" i="4"/>
  <c r="G1487" i="4"/>
  <c r="H1487" i="4"/>
  <c r="I1487" i="4"/>
  <c r="G1516" i="4"/>
  <c r="H1516" i="4"/>
  <c r="I1516" i="4"/>
  <c r="G1592" i="4"/>
  <c r="H1592" i="4"/>
  <c r="I1592" i="4"/>
  <c r="I16" i="4"/>
  <c r="I92" i="4"/>
  <c r="I166" i="4"/>
  <c r="I242" i="4"/>
  <c r="I316" i="4"/>
  <c r="I392" i="4"/>
  <c r="I436" i="4"/>
  <c r="I511" i="4"/>
  <c r="I586" i="4"/>
  <c r="I661" i="4"/>
  <c r="I736" i="4"/>
  <c r="I811" i="4"/>
  <c r="I886" i="4"/>
  <c r="G946" i="4"/>
  <c r="H946" i="4"/>
  <c r="I946" i="4"/>
  <c r="G976" i="4"/>
  <c r="H976" i="4"/>
  <c r="G1006" i="4"/>
  <c r="I1006" i="4"/>
  <c r="H1082" i="4"/>
  <c r="H1292" i="4"/>
  <c r="I1292" i="4"/>
  <c r="G1351" i="4"/>
  <c r="H1351" i="4"/>
  <c r="I1351" i="4"/>
  <c r="G1457" i="4"/>
  <c r="H1457" i="4"/>
  <c r="G1622" i="4"/>
  <c r="H1622" i="4"/>
  <c r="G1403" i="4"/>
  <c r="H16" i="4"/>
  <c r="H166" i="4"/>
  <c r="H316" i="4"/>
  <c r="H436" i="4"/>
  <c r="G497" i="4"/>
  <c r="H497" i="4"/>
  <c r="I497" i="4"/>
  <c r="H511" i="4"/>
  <c r="G572" i="4"/>
  <c r="H572" i="4"/>
  <c r="I572" i="4"/>
  <c r="H586" i="4"/>
  <c r="H661" i="4"/>
  <c r="H736" i="4"/>
  <c r="H811" i="4"/>
  <c r="H886" i="4"/>
  <c r="G916" i="4"/>
  <c r="I916" i="4"/>
  <c r="I976" i="4"/>
  <c r="H1006" i="4"/>
  <c r="G1052" i="4"/>
  <c r="H1052" i="4"/>
  <c r="G1082" i="4"/>
  <c r="H1141" i="4"/>
  <c r="G1216" i="4"/>
  <c r="H1216" i="4"/>
  <c r="I1216" i="4"/>
  <c r="G1292" i="4"/>
  <c r="I1457" i="4"/>
  <c r="I1622" i="4"/>
  <c r="I1951" i="4"/>
  <c r="D1982" i="4"/>
  <c r="L1982" i="4"/>
  <c r="G1427" i="4"/>
  <c r="H1427" i="4"/>
  <c r="I1726" i="4"/>
  <c r="G1802" i="4"/>
  <c r="H1802" i="4"/>
  <c r="H1951" i="4"/>
  <c r="I1427" i="4"/>
  <c r="G1652" i="4"/>
  <c r="H1652" i="4"/>
  <c r="H1726" i="4"/>
  <c r="G1771" i="4"/>
  <c r="H1771" i="4"/>
  <c r="I1802" i="4"/>
  <c r="I1816" i="4"/>
  <c r="I1861" i="4"/>
  <c r="G1892" i="4"/>
  <c r="H1892" i="4"/>
  <c r="I1892" i="4"/>
  <c r="I1652" i="4"/>
  <c r="I1666" i="4"/>
  <c r="I1771" i="4"/>
  <c r="H1816" i="4"/>
  <c r="G1861" i="4"/>
  <c r="G1967" i="4"/>
  <c r="H1967" i="4"/>
  <c r="I1967" i="4"/>
  <c r="G1412" i="4"/>
  <c r="H1412" i="4"/>
  <c r="G1472" i="4"/>
  <c r="H1472" i="4"/>
  <c r="G1532" i="4"/>
  <c r="H1532" i="4"/>
  <c r="G1697" i="4"/>
  <c r="H1697" i="4"/>
  <c r="G1877" i="4"/>
  <c r="H1877" i="4"/>
  <c r="H1936" i="4"/>
  <c r="I1936" i="4"/>
  <c r="G1577" i="4"/>
  <c r="H1577" i="4"/>
  <c r="G1637" i="4"/>
  <c r="H1637" i="4"/>
  <c r="G1742" i="4"/>
  <c r="H1742" i="4"/>
  <c r="I1742" i="4"/>
  <c r="G1787" i="4"/>
  <c r="H1787" i="4"/>
  <c r="I1877" i="4"/>
  <c r="I1891" i="4"/>
  <c r="G1936" i="4"/>
  <c r="H1036" i="4"/>
  <c r="H1112" i="4"/>
  <c r="H1186" i="4"/>
  <c r="H1262" i="4"/>
  <c r="I1321" i="4"/>
  <c r="I1397" i="4"/>
  <c r="I1577" i="4"/>
  <c r="I1637" i="4"/>
  <c r="I1651" i="4"/>
  <c r="I1787" i="4"/>
  <c r="H1891" i="4"/>
  <c r="G1952" i="4"/>
  <c r="H1952" i="4"/>
  <c r="I1966" i="4"/>
  <c r="H1321" i="4"/>
  <c r="G1696" i="4"/>
  <c r="H1696" i="4"/>
  <c r="G1727" i="4"/>
  <c r="H1727" i="4"/>
  <c r="I1952" i="4"/>
  <c r="H1846" i="4"/>
  <c r="H1921" i="4"/>
  <c r="H11" i="4"/>
  <c r="G909" i="4"/>
  <c r="G1143" i="4"/>
  <c r="G785" i="4"/>
  <c r="G725" i="4"/>
  <c r="G1863" i="4"/>
  <c r="G1734" i="4"/>
  <c r="G1613" i="4"/>
  <c r="G1493" i="4"/>
  <c r="G1373" i="4"/>
  <c r="G1233" i="4"/>
  <c r="G1113" i="4"/>
  <c r="H1194" i="4"/>
  <c r="I1194" i="4"/>
  <c r="G884" i="4"/>
  <c r="I884" i="4"/>
  <c r="G1953" i="4"/>
  <c r="G1525" i="4"/>
  <c r="I1525" i="4"/>
  <c r="I1395" i="4"/>
  <c r="H1395" i="4"/>
  <c r="I1385" i="4"/>
  <c r="H1385" i="4"/>
  <c r="I1325" i="4"/>
  <c r="G1325" i="4"/>
  <c r="G1195" i="4"/>
  <c r="I1195" i="4"/>
  <c r="H1195" i="4"/>
  <c r="H1135" i="4"/>
  <c r="I1135" i="4"/>
  <c r="H1065" i="4"/>
  <c r="I1065" i="4"/>
  <c r="H1055" i="4"/>
  <c r="I1055" i="4"/>
  <c r="G1005" i="4"/>
  <c r="I1005" i="4"/>
  <c r="H1005" i="4"/>
  <c r="I875" i="4"/>
  <c r="H875" i="4"/>
  <c r="G1520" i="4"/>
  <c r="G1395" i="4"/>
  <c r="G1134" i="4"/>
  <c r="G944" i="4"/>
  <c r="G885" i="4"/>
  <c r="H1463" i="4"/>
  <c r="H1188" i="4"/>
  <c r="I1393" i="4"/>
  <c r="I1134" i="4"/>
  <c r="G1519" i="4"/>
  <c r="G1055" i="4"/>
  <c r="G943" i="4"/>
  <c r="G880" i="4"/>
  <c r="H1462" i="4"/>
  <c r="I1392" i="4"/>
  <c r="I1133" i="4"/>
  <c r="G883" i="4"/>
  <c r="I883" i="4"/>
  <c r="G1518" i="4"/>
  <c r="G1393" i="4"/>
  <c r="G1255" i="4"/>
  <c r="G1191" i="4"/>
  <c r="G1054" i="4"/>
  <c r="G879" i="4"/>
  <c r="H1525" i="4"/>
  <c r="H1335" i="4"/>
  <c r="H1133" i="4"/>
  <c r="H884" i="4"/>
  <c r="I1335" i="4"/>
  <c r="I1064" i="4"/>
  <c r="I874" i="4"/>
  <c r="G874" i="4"/>
  <c r="H1383" i="4"/>
  <c r="I1383" i="4"/>
  <c r="I1193" i="4"/>
  <c r="H1193" i="4"/>
  <c r="G1943" i="4"/>
  <c r="H1522" i="4"/>
  <c r="I1522" i="4"/>
  <c r="G1332" i="4"/>
  <c r="I1332" i="4"/>
  <c r="I1252" i="4"/>
  <c r="G1252" i="4"/>
  <c r="H1252" i="4"/>
  <c r="H1192" i="4"/>
  <c r="I1192" i="4"/>
  <c r="G1132" i="4"/>
  <c r="I1132" i="4"/>
  <c r="G1062" i="4"/>
  <c r="I1062" i="4"/>
  <c r="I1002" i="4"/>
  <c r="H1002" i="4"/>
  <c r="H942" i="4"/>
  <c r="I942" i="4"/>
  <c r="G882" i="4"/>
  <c r="H882" i="4"/>
  <c r="G1392" i="4"/>
  <c r="G1002" i="4"/>
  <c r="G878" i="4"/>
  <c r="H1520" i="4"/>
  <c r="H1332" i="4"/>
  <c r="H1132" i="4"/>
  <c r="H883" i="4"/>
  <c r="I1063" i="4"/>
  <c r="H1521" i="4"/>
  <c r="I1521" i="4"/>
  <c r="I1461" i="4"/>
  <c r="G1461" i="4"/>
  <c r="I1331" i="4"/>
  <c r="H1331" i="4"/>
  <c r="I1251" i="4"/>
  <c r="G1251" i="4"/>
  <c r="H1251" i="4"/>
  <c r="G1131" i="4"/>
  <c r="I1131" i="4"/>
  <c r="H1131" i="4"/>
  <c r="G1061" i="4"/>
  <c r="I1061" i="4"/>
  <c r="H1061" i="4"/>
  <c r="I1001" i="4"/>
  <c r="H1001" i="4"/>
  <c r="H941" i="4"/>
  <c r="I941" i="4"/>
  <c r="G881" i="4"/>
  <c r="H881" i="4"/>
  <c r="G1530" i="4"/>
  <c r="G1466" i="4"/>
  <c r="G1391" i="4"/>
  <c r="G1248" i="4"/>
  <c r="G1001" i="4"/>
  <c r="H1519" i="4"/>
  <c r="H1326" i="4"/>
  <c r="H1063" i="4"/>
  <c r="H874" i="4"/>
  <c r="I1259" i="4"/>
  <c r="I1054" i="4"/>
  <c r="G1524" i="4"/>
  <c r="H1524" i="4"/>
  <c r="I1384" i="4"/>
  <c r="H1384" i="4"/>
  <c r="I1254" i="4"/>
  <c r="G1254" i="4"/>
  <c r="G1333" i="4"/>
  <c r="H1333" i="4"/>
  <c r="I1333" i="4"/>
  <c r="I873" i="4"/>
  <c r="G873" i="4"/>
  <c r="G1803" i="4"/>
  <c r="I1470" i="4"/>
  <c r="G1470" i="4"/>
  <c r="I1200" i="4"/>
  <c r="H1200" i="4"/>
  <c r="G1140" i="4"/>
  <c r="I1140" i="4"/>
  <c r="H1140" i="4"/>
  <c r="G1130" i="4"/>
  <c r="I1130" i="4"/>
  <c r="H1130" i="4"/>
  <c r="G1060" i="4"/>
  <c r="I1060" i="4"/>
  <c r="H1060" i="4"/>
  <c r="I1000" i="4"/>
  <c r="H1000" i="4"/>
  <c r="I940" i="4"/>
  <c r="H940" i="4"/>
  <c r="G1529" i="4"/>
  <c r="G1465" i="4"/>
  <c r="G1065" i="4"/>
  <c r="G1000" i="4"/>
  <c r="G935" i="4"/>
  <c r="H1518" i="4"/>
  <c r="H1325" i="4"/>
  <c r="H1062" i="4"/>
  <c r="H873" i="4"/>
  <c r="I1258" i="4"/>
  <c r="I1053" i="4"/>
  <c r="I1323" i="4"/>
  <c r="G1323" i="4"/>
  <c r="H1323" i="4"/>
  <c r="G1443" i="4"/>
  <c r="G1223" i="4"/>
  <c r="G983" i="4"/>
  <c r="I1460" i="4"/>
  <c r="G1460" i="4"/>
  <c r="I1190" i="4"/>
  <c r="H1190" i="4"/>
  <c r="G1389" i="4"/>
  <c r="I1389" i="4"/>
  <c r="H1329" i="4"/>
  <c r="I1329" i="4"/>
  <c r="H1249" i="4"/>
  <c r="I1249" i="4"/>
  <c r="I1189" i="4"/>
  <c r="H1189" i="4"/>
  <c r="I1139" i="4"/>
  <c r="H1139" i="4"/>
  <c r="I1129" i="4"/>
  <c r="H1129" i="4"/>
  <c r="I1059" i="4"/>
  <c r="H1059" i="4"/>
  <c r="I999" i="4"/>
  <c r="H999" i="4"/>
  <c r="I939" i="4"/>
  <c r="G939" i="4"/>
  <c r="G1528" i="4"/>
  <c r="G1464" i="4"/>
  <c r="G1385" i="4"/>
  <c r="G1326" i="4"/>
  <c r="G1064" i="4"/>
  <c r="G999" i="4"/>
  <c r="G934" i="4"/>
  <c r="G875" i="4"/>
  <c r="H1255" i="4"/>
  <c r="H1053" i="4"/>
  <c r="I1524" i="4"/>
  <c r="I1248" i="4"/>
  <c r="I996" i="4"/>
  <c r="H1394" i="4"/>
  <c r="I1394" i="4"/>
  <c r="I1324" i="4"/>
  <c r="G1324" i="4"/>
  <c r="H1324" i="4"/>
  <c r="G1563" i="4"/>
  <c r="G1353" i="4"/>
  <c r="G863" i="4"/>
  <c r="G1763" i="4"/>
  <c r="G1263" i="4"/>
  <c r="G1390" i="4"/>
  <c r="I1390" i="4"/>
  <c r="I1468" i="4"/>
  <c r="G1468" i="4"/>
  <c r="H1468" i="4"/>
  <c r="I1458" i="4"/>
  <c r="G1458" i="4"/>
  <c r="G1388" i="4"/>
  <c r="I1388" i="4"/>
  <c r="I1328" i="4"/>
  <c r="H1328" i="4"/>
  <c r="G1198" i="4"/>
  <c r="I1198" i="4"/>
  <c r="I1138" i="4"/>
  <c r="H1138" i="4"/>
  <c r="I1128" i="4"/>
  <c r="H1128" i="4"/>
  <c r="I1058" i="4"/>
  <c r="H1058" i="4"/>
  <c r="I998" i="4"/>
  <c r="H998" i="4"/>
  <c r="I938" i="4"/>
  <c r="G938" i="4"/>
  <c r="G1523" i="4"/>
  <c r="G1463" i="4"/>
  <c r="G1384" i="4"/>
  <c r="G1200" i="4"/>
  <c r="G1059" i="4"/>
  <c r="G998" i="4"/>
  <c r="G933" i="4"/>
  <c r="H1530" i="4"/>
  <c r="H1390" i="4"/>
  <c r="H1254" i="4"/>
  <c r="I1523" i="4"/>
  <c r="I995" i="4"/>
  <c r="G1334" i="4"/>
  <c r="H1334" i="4"/>
  <c r="G1724" i="4"/>
  <c r="G1893" i="4"/>
  <c r="G1013" i="4"/>
  <c r="G1833" i="4"/>
  <c r="G1703" i="4"/>
  <c r="G1343" i="4"/>
  <c r="G1203" i="4"/>
  <c r="G1083" i="4"/>
  <c r="G963" i="4"/>
  <c r="G1883" i="4"/>
  <c r="G1623" i="4"/>
  <c r="G1503" i="4"/>
  <c r="G763" i="4"/>
  <c r="I1527" i="4"/>
  <c r="G1527" i="4"/>
  <c r="H1467" i="4"/>
  <c r="I1467" i="4"/>
  <c r="G1387" i="4"/>
  <c r="I1387" i="4"/>
  <c r="I1327" i="4"/>
  <c r="H1327" i="4"/>
  <c r="H1257" i="4"/>
  <c r="I1257" i="4"/>
  <c r="G1197" i="4"/>
  <c r="I1197" i="4"/>
  <c r="H1197" i="4"/>
  <c r="I1137" i="4"/>
  <c r="H1137" i="4"/>
  <c r="I1057" i="4"/>
  <c r="H1057" i="4"/>
  <c r="I997" i="4"/>
  <c r="H997" i="4"/>
  <c r="I937" i="4"/>
  <c r="G937" i="4"/>
  <c r="H937" i="4"/>
  <c r="H877" i="4"/>
  <c r="I877" i="4"/>
  <c r="G1522" i="4"/>
  <c r="G1462" i="4"/>
  <c r="G1383" i="4"/>
  <c r="G1259" i="4"/>
  <c r="G1199" i="4"/>
  <c r="G1058" i="4"/>
  <c r="G997" i="4"/>
  <c r="H1529" i="4"/>
  <c r="H1470" i="4"/>
  <c r="H1389" i="4"/>
  <c r="H1199" i="4"/>
  <c r="H996" i="4"/>
  <c r="I1466" i="4"/>
  <c r="I1191" i="4"/>
  <c r="I1253" i="4"/>
  <c r="G1253" i="4"/>
  <c r="H1253" i="4"/>
  <c r="G1683" i="4"/>
  <c r="G823" i="4"/>
  <c r="G1593" i="4"/>
  <c r="G1103" i="4"/>
  <c r="I1330" i="4"/>
  <c r="H1330" i="4"/>
  <c r="G1743" i="4"/>
  <c r="G1913" i="4"/>
  <c r="G1653" i="4"/>
  <c r="G1543" i="4"/>
  <c r="G1423" i="4"/>
  <c r="G1293" i="4"/>
  <c r="G1163" i="4"/>
  <c r="G1043" i="4"/>
  <c r="I1526" i="4"/>
  <c r="G1526" i="4"/>
  <c r="I1386" i="4"/>
  <c r="H1386" i="4"/>
  <c r="I1256" i="4"/>
  <c r="H1256" i="4"/>
  <c r="G1196" i="4"/>
  <c r="I1196" i="4"/>
  <c r="H1196" i="4"/>
  <c r="I1136" i="4"/>
  <c r="H1136" i="4"/>
  <c r="I1056" i="4"/>
  <c r="H1056" i="4"/>
  <c r="G936" i="4"/>
  <c r="H936" i="4"/>
  <c r="H876" i="4"/>
  <c r="I876" i="4"/>
  <c r="G1521" i="4"/>
  <c r="G1258" i="4"/>
  <c r="G1194" i="4"/>
  <c r="G1135" i="4"/>
  <c r="G1057" i="4"/>
  <c r="G945" i="4"/>
  <c r="H1528" i="4"/>
  <c r="H1464" i="4"/>
  <c r="H1388" i="4"/>
  <c r="H1198" i="4"/>
  <c r="H995" i="4"/>
  <c r="I1465" i="4"/>
  <c r="I1188" i="4"/>
  <c r="I885" i="4"/>
  <c r="I1004" i="4"/>
  <c r="I994" i="4"/>
  <c r="G1004" i="4"/>
  <c r="G994" i="4"/>
  <c r="I1003" i="4"/>
  <c r="I993" i="4"/>
  <c r="G1003" i="4"/>
  <c r="G993" i="4"/>
  <c r="G1469" i="4"/>
  <c r="G1459" i="4"/>
  <c r="H1469" i="4"/>
  <c r="H1459" i="4"/>
  <c r="H1391" i="4"/>
  <c r="G1260" i="4"/>
  <c r="G1250" i="4"/>
  <c r="I1260" i="4"/>
  <c r="I1250" i="4"/>
  <c r="I1508" i="4"/>
  <c r="I1509" i="4"/>
  <c r="I1510" i="4"/>
  <c r="I1511" i="4"/>
  <c r="I1512" i="4"/>
  <c r="I1503" i="4"/>
  <c r="I1513" i="4"/>
  <c r="I1504" i="4"/>
  <c r="I1514" i="4"/>
  <c r="I1507" i="4"/>
  <c r="I1505" i="4"/>
  <c r="I1506" i="4"/>
  <c r="I1515" i="4"/>
  <c r="H1178" i="4"/>
  <c r="H1179" i="4"/>
  <c r="H1180" i="4"/>
  <c r="H1181" i="4"/>
  <c r="H1182" i="4"/>
  <c r="H1173" i="4"/>
  <c r="H1183" i="4"/>
  <c r="H1174" i="4"/>
  <c r="H1184" i="4"/>
  <c r="H1175" i="4"/>
  <c r="H1185" i="4"/>
  <c r="H1176" i="4"/>
  <c r="H1177" i="4"/>
  <c r="I620" i="4"/>
  <c r="I622" i="4"/>
  <c r="I628" i="4"/>
  <c r="I1779" i="4"/>
  <c r="I1780" i="4"/>
  <c r="I1781" i="4"/>
  <c r="I1782" i="4"/>
  <c r="I1773" i="4"/>
  <c r="I1783" i="4"/>
  <c r="I1774" i="4"/>
  <c r="I1784" i="4"/>
  <c r="I1775" i="4"/>
  <c r="I1785" i="4"/>
  <c r="I1776" i="4"/>
  <c r="I1777" i="4"/>
  <c r="I1778" i="4"/>
  <c r="I1298" i="4"/>
  <c r="I1299" i="4"/>
  <c r="I1300" i="4"/>
  <c r="I1301" i="4"/>
  <c r="I1302" i="4"/>
  <c r="I1293" i="4"/>
  <c r="I1303" i="4"/>
  <c r="I1294" i="4"/>
  <c r="I1304" i="4"/>
  <c r="I1297" i="4"/>
  <c r="I1295" i="4"/>
  <c r="I1296" i="4"/>
  <c r="I1305" i="4"/>
  <c r="I665" i="4"/>
  <c r="I666" i="4"/>
  <c r="I673" i="4"/>
  <c r="G1856" i="4"/>
  <c r="G1857" i="4"/>
  <c r="G1848" i="4"/>
  <c r="G1858" i="4"/>
  <c r="G1849" i="4"/>
  <c r="G1859" i="4"/>
  <c r="G1850" i="4"/>
  <c r="G1860" i="4"/>
  <c r="G1851" i="4"/>
  <c r="G1852" i="4"/>
  <c r="G1855" i="4"/>
  <c r="H1568" i="4"/>
  <c r="H1569" i="4"/>
  <c r="H1570" i="4"/>
  <c r="H1571" i="4"/>
  <c r="H1572" i="4"/>
  <c r="H1563" i="4"/>
  <c r="H1573" i="4"/>
  <c r="H1564" i="4"/>
  <c r="H1574" i="4"/>
  <c r="H1565" i="4"/>
  <c r="H1575" i="4"/>
  <c r="H1566" i="4"/>
  <c r="H1567" i="4"/>
  <c r="G1476" i="4"/>
  <c r="G1477" i="4"/>
  <c r="G1478" i="4"/>
  <c r="G1479" i="4"/>
  <c r="G1480" i="4"/>
  <c r="G1481" i="4"/>
  <c r="G1482" i="4"/>
  <c r="G1474" i="4"/>
  <c r="G1484" i="4"/>
  <c r="G1475" i="4"/>
  <c r="G1485" i="4"/>
  <c r="G1926" i="4"/>
  <c r="G1927" i="4"/>
  <c r="G1928" i="4"/>
  <c r="G1929" i="4"/>
  <c r="G1930" i="4"/>
  <c r="G1931" i="4"/>
  <c r="G1932" i="4"/>
  <c r="G1925" i="4"/>
  <c r="G1935" i="4"/>
  <c r="H1897" i="4"/>
  <c r="H1898" i="4"/>
  <c r="H1899" i="4"/>
  <c r="H1900" i="4"/>
  <c r="H1901" i="4"/>
  <c r="H1902" i="4"/>
  <c r="H1893" i="4"/>
  <c r="H1903" i="4"/>
  <c r="H1894" i="4"/>
  <c r="H1904" i="4"/>
  <c r="H1895" i="4"/>
  <c r="H1905" i="4"/>
  <c r="H1896" i="4"/>
  <c r="I1839" i="4"/>
  <c r="I1840" i="4"/>
  <c r="I1841" i="4"/>
  <c r="I1842" i="4"/>
  <c r="I1833" i="4"/>
  <c r="I1843" i="4"/>
  <c r="I1834" i="4"/>
  <c r="I1844" i="4"/>
  <c r="I1835" i="4"/>
  <c r="I1845" i="4"/>
  <c r="I1837" i="4"/>
  <c r="I1838" i="4"/>
  <c r="I1836" i="4"/>
  <c r="G1796" i="4"/>
  <c r="G1797" i="4"/>
  <c r="G1788" i="4"/>
  <c r="G1798" i="4"/>
  <c r="G1789" i="4"/>
  <c r="G1799" i="4"/>
  <c r="G1790" i="4"/>
  <c r="G1800" i="4"/>
  <c r="G1791" i="4"/>
  <c r="G1792" i="4"/>
  <c r="G1795" i="4"/>
  <c r="H1767" i="4"/>
  <c r="H1758" i="4"/>
  <c r="H1768" i="4"/>
  <c r="H1759" i="4"/>
  <c r="H1769" i="4"/>
  <c r="H1760" i="4"/>
  <c r="H1770" i="4"/>
  <c r="H1761" i="4"/>
  <c r="H1762" i="4"/>
  <c r="H1763" i="4"/>
  <c r="H1764" i="4"/>
  <c r="H1765" i="4"/>
  <c r="H1766" i="4"/>
  <c r="I1699" i="4"/>
  <c r="I1709" i="4"/>
  <c r="I1700" i="4"/>
  <c r="I1710" i="4"/>
  <c r="I1701" i="4"/>
  <c r="I1702" i="4"/>
  <c r="I1703" i="4"/>
  <c r="I1704" i="4"/>
  <c r="I1705" i="4"/>
  <c r="I1706" i="4"/>
  <c r="I1707" i="4"/>
  <c r="I1698" i="4"/>
  <c r="I1708" i="4"/>
  <c r="G1676" i="4"/>
  <c r="G1677" i="4"/>
  <c r="G1668" i="4"/>
  <c r="G1678" i="4"/>
  <c r="G1669" i="4"/>
  <c r="G1679" i="4"/>
  <c r="G1670" i="4"/>
  <c r="G1680" i="4"/>
  <c r="G1671" i="4"/>
  <c r="G1672" i="4"/>
  <c r="G1675" i="4"/>
  <c r="I1578" i="4"/>
  <c r="I1588" i="4"/>
  <c r="I1579" i="4"/>
  <c r="I1589" i="4"/>
  <c r="I1580" i="4"/>
  <c r="I1590" i="4"/>
  <c r="I1584" i="4"/>
  <c r="I1585" i="4"/>
  <c r="I1586" i="4"/>
  <c r="I1587" i="4"/>
  <c r="I1581" i="4"/>
  <c r="I1582" i="4"/>
  <c r="I1583" i="4"/>
  <c r="G1556" i="4"/>
  <c r="G1557" i="4"/>
  <c r="G1548" i="4"/>
  <c r="G1558" i="4"/>
  <c r="G1549" i="4"/>
  <c r="G1559" i="4"/>
  <c r="G1550" i="4"/>
  <c r="G1560" i="4"/>
  <c r="G1551" i="4"/>
  <c r="G1552" i="4"/>
  <c r="G1554" i="4"/>
  <c r="G1555" i="4"/>
  <c r="G1436" i="4"/>
  <c r="G1437" i="4"/>
  <c r="G1428" i="4"/>
  <c r="G1438" i="4"/>
  <c r="G1429" i="4"/>
  <c r="G1439" i="4"/>
  <c r="G1430" i="4"/>
  <c r="G1440" i="4"/>
  <c r="G1431" i="4"/>
  <c r="G1432" i="4"/>
  <c r="G1434" i="4"/>
  <c r="G1435" i="4"/>
  <c r="I1338" i="4"/>
  <c r="I1348" i="4"/>
  <c r="I1339" i="4"/>
  <c r="I1349" i="4"/>
  <c r="I1340" i="4"/>
  <c r="I1350" i="4"/>
  <c r="I1341" i="4"/>
  <c r="I1342" i="4"/>
  <c r="I1343" i="4"/>
  <c r="I1344" i="4"/>
  <c r="I1347" i="4"/>
  <c r="I1345" i="4"/>
  <c r="I1346" i="4"/>
  <c r="G1316" i="4"/>
  <c r="G1317" i="4"/>
  <c r="G1308" i="4"/>
  <c r="G1318" i="4"/>
  <c r="G1309" i="4"/>
  <c r="G1319" i="4"/>
  <c r="G1310" i="4"/>
  <c r="G1320" i="4"/>
  <c r="G1311" i="4"/>
  <c r="G1312" i="4"/>
  <c r="G1314" i="4"/>
  <c r="G1315" i="4"/>
  <c r="H1268" i="4"/>
  <c r="H1269" i="4"/>
  <c r="H1270" i="4"/>
  <c r="H1271" i="4"/>
  <c r="H1272" i="4"/>
  <c r="H1263" i="4"/>
  <c r="H1273" i="4"/>
  <c r="H1264" i="4"/>
  <c r="H1274" i="4"/>
  <c r="H1265" i="4"/>
  <c r="H1275" i="4"/>
  <c r="H1266" i="4"/>
  <c r="H1267" i="4"/>
  <c r="I1208" i="4"/>
  <c r="I1209" i="4"/>
  <c r="I1210" i="4"/>
  <c r="I1211" i="4"/>
  <c r="I1212" i="4"/>
  <c r="I1203" i="4"/>
  <c r="I1213" i="4"/>
  <c r="I1204" i="4"/>
  <c r="I1214" i="4"/>
  <c r="I1207" i="4"/>
  <c r="I1206" i="4"/>
  <c r="I1215" i="4"/>
  <c r="I1205" i="4"/>
  <c r="G1176" i="4"/>
  <c r="G1177" i="4"/>
  <c r="G1178" i="4"/>
  <c r="G1179" i="4"/>
  <c r="G1180" i="4"/>
  <c r="G1181" i="4"/>
  <c r="G1182" i="4"/>
  <c r="G1174" i="4"/>
  <c r="G1184" i="4"/>
  <c r="G1175" i="4"/>
  <c r="G1185" i="4"/>
  <c r="I1088" i="4"/>
  <c r="I1089" i="4"/>
  <c r="I1090" i="4"/>
  <c r="I1091" i="4"/>
  <c r="I1092" i="4"/>
  <c r="I1083" i="4"/>
  <c r="I1093" i="4"/>
  <c r="I1084" i="4"/>
  <c r="I1094" i="4"/>
  <c r="I1086" i="4"/>
  <c r="I1087" i="4"/>
  <c r="I1085" i="4"/>
  <c r="I1095" i="4"/>
  <c r="H1008" i="4"/>
  <c r="H1018" i="4"/>
  <c r="H1009" i="4"/>
  <c r="H1019" i="4"/>
  <c r="H1010" i="4"/>
  <c r="H1020" i="4"/>
  <c r="H1011" i="4"/>
  <c r="H1012" i="4"/>
  <c r="H1013" i="4"/>
  <c r="H1014" i="4"/>
  <c r="H1015" i="4"/>
  <c r="H1016" i="4"/>
  <c r="H1017" i="4"/>
  <c r="I968" i="4"/>
  <c r="I969" i="4"/>
  <c r="I970" i="4"/>
  <c r="I971" i="4"/>
  <c r="I972" i="4"/>
  <c r="I963" i="4"/>
  <c r="I973" i="4"/>
  <c r="I964" i="4"/>
  <c r="I974" i="4"/>
  <c r="I966" i="4"/>
  <c r="I967" i="4"/>
  <c r="I965" i="4"/>
  <c r="I975" i="4"/>
  <c r="H888" i="4"/>
  <c r="H898" i="4"/>
  <c r="H889" i="4"/>
  <c r="H899" i="4"/>
  <c r="H890" i="4"/>
  <c r="H900" i="4"/>
  <c r="H891" i="4"/>
  <c r="H892" i="4"/>
  <c r="H893" i="4"/>
  <c r="H894" i="4"/>
  <c r="H895" i="4"/>
  <c r="H896" i="4"/>
  <c r="H897" i="4"/>
  <c r="I854" i="4"/>
  <c r="I855" i="4"/>
  <c r="I843" i="4"/>
  <c r="I844" i="4"/>
  <c r="I849" i="4"/>
  <c r="I852" i="4"/>
  <c r="I853" i="4"/>
  <c r="I850" i="4"/>
  <c r="G807" i="4"/>
  <c r="G798" i="4"/>
  <c r="G808" i="4"/>
  <c r="G800" i="4"/>
  <c r="G801" i="4"/>
  <c r="G806" i="4"/>
  <c r="G799" i="4"/>
  <c r="G802" i="4"/>
  <c r="G803" i="4"/>
  <c r="G804" i="4"/>
  <c r="G805" i="4"/>
  <c r="G810" i="4"/>
  <c r="H775" i="4"/>
  <c r="H772" i="4"/>
  <c r="H773" i="4"/>
  <c r="H774" i="4"/>
  <c r="H776" i="4"/>
  <c r="H777" i="4"/>
  <c r="H778" i="4"/>
  <c r="H768" i="4"/>
  <c r="H779" i="4"/>
  <c r="H769" i="4"/>
  <c r="H780" i="4"/>
  <c r="H770" i="4"/>
  <c r="H771" i="4"/>
  <c r="I727" i="4"/>
  <c r="I728" i="4"/>
  <c r="I729" i="4"/>
  <c r="I730" i="4"/>
  <c r="I732" i="4"/>
  <c r="I733" i="4"/>
  <c r="G687" i="4"/>
  <c r="G678" i="4"/>
  <c r="G688" i="4"/>
  <c r="G679" i="4"/>
  <c r="G689" i="4"/>
  <c r="G680" i="4"/>
  <c r="G690" i="4"/>
  <c r="G681" i="4"/>
  <c r="G682" i="4"/>
  <c r="G683" i="4"/>
  <c r="G686" i="4"/>
  <c r="G684" i="4"/>
  <c r="G685" i="4"/>
  <c r="H635" i="4"/>
  <c r="H645" i="4"/>
  <c r="H636" i="4"/>
  <c r="H637" i="4"/>
  <c r="H638" i="4"/>
  <c r="H639" i="4"/>
  <c r="H640" i="4"/>
  <c r="H641" i="4"/>
  <c r="H634" i="4"/>
  <c r="H644" i="4"/>
  <c r="H633" i="4"/>
  <c r="H642" i="4"/>
  <c r="H643" i="4"/>
  <c r="I588" i="4"/>
  <c r="I595" i="4"/>
  <c r="I598" i="4"/>
  <c r="I599" i="4"/>
  <c r="G547" i="4"/>
  <c r="G548" i="4"/>
  <c r="G549" i="4"/>
  <c r="G550" i="4"/>
  <c r="G551" i="4"/>
  <c r="G552" i="4"/>
  <c r="G543" i="4"/>
  <c r="G553" i="4"/>
  <c r="G546" i="4"/>
  <c r="G544" i="4"/>
  <c r="G545" i="4"/>
  <c r="G554" i="4"/>
  <c r="G555" i="4"/>
  <c r="H515" i="4"/>
  <c r="H525" i="4"/>
  <c r="H516" i="4"/>
  <c r="H517" i="4"/>
  <c r="H518" i="4"/>
  <c r="H519" i="4"/>
  <c r="H520" i="4"/>
  <c r="H521" i="4"/>
  <c r="H514" i="4"/>
  <c r="H524" i="4"/>
  <c r="H513" i="4"/>
  <c r="H522" i="4"/>
  <c r="H523" i="4"/>
  <c r="G427" i="4"/>
  <c r="G428" i="4"/>
  <c r="G429" i="4"/>
  <c r="G430" i="4"/>
  <c r="G431" i="4"/>
  <c r="G432" i="4"/>
  <c r="G423" i="4"/>
  <c r="G433" i="4"/>
  <c r="G426" i="4"/>
  <c r="G424" i="4"/>
  <c r="G434" i="4"/>
  <c r="G435" i="4"/>
  <c r="H395" i="4"/>
  <c r="H405" i="4"/>
  <c r="H396" i="4"/>
  <c r="H397" i="4"/>
  <c r="H398" i="4"/>
  <c r="H399" i="4"/>
  <c r="H400" i="4"/>
  <c r="H401" i="4"/>
  <c r="H394" i="4"/>
  <c r="H404" i="4"/>
  <c r="H393" i="4"/>
  <c r="H402" i="4"/>
  <c r="H403" i="4"/>
  <c r="G307" i="4"/>
  <c r="G308" i="4"/>
  <c r="G309" i="4"/>
  <c r="G310" i="4"/>
  <c r="G311" i="4"/>
  <c r="G312" i="4"/>
  <c r="G303" i="4"/>
  <c r="G313" i="4"/>
  <c r="G306" i="4"/>
  <c r="G304" i="4"/>
  <c r="G305" i="4"/>
  <c r="G314" i="4"/>
  <c r="G315" i="4"/>
  <c r="I217" i="4"/>
  <c r="I220" i="4"/>
  <c r="I222" i="4"/>
  <c r="G187" i="4"/>
  <c r="G188" i="4"/>
  <c r="G189" i="4"/>
  <c r="G190" i="4"/>
  <c r="G191" i="4"/>
  <c r="G192" i="4"/>
  <c r="G183" i="4"/>
  <c r="G193" i="4"/>
  <c r="G186" i="4"/>
  <c r="G194" i="4"/>
  <c r="G195" i="4"/>
  <c r="G184" i="4"/>
  <c r="G185" i="4"/>
  <c r="H145" i="4"/>
  <c r="H146" i="4"/>
  <c r="H147" i="4"/>
  <c r="H138" i="4"/>
  <c r="H148" i="4"/>
  <c r="H139" i="4"/>
  <c r="H149" i="4"/>
  <c r="H140" i="4"/>
  <c r="H150" i="4"/>
  <c r="H141" i="4"/>
  <c r="H143" i="4"/>
  <c r="H144" i="4"/>
  <c r="H142" i="4"/>
  <c r="I87" i="4"/>
  <c r="I88" i="4"/>
  <c r="I78" i="4"/>
  <c r="I89" i="4"/>
  <c r="I79" i="4"/>
  <c r="I90" i="4"/>
  <c r="I82" i="4"/>
  <c r="I83" i="4"/>
  <c r="I84" i="4"/>
  <c r="I86" i="4"/>
  <c r="I80" i="4"/>
  <c r="I85" i="4"/>
  <c r="G37" i="4"/>
  <c r="G38" i="4"/>
  <c r="G39" i="4"/>
  <c r="G40" i="4"/>
  <c r="G41" i="4"/>
  <c r="G42" i="4"/>
  <c r="G33" i="4"/>
  <c r="G43" i="4"/>
  <c r="G36" i="4"/>
  <c r="G44" i="4"/>
  <c r="G45" i="4"/>
  <c r="G34" i="4"/>
  <c r="G35" i="4"/>
  <c r="G1963" i="4"/>
  <c r="G1813" i="4"/>
  <c r="G1713" i="4"/>
  <c r="G1663" i="4"/>
  <c r="G1303" i="4"/>
  <c r="G1243" i="4"/>
  <c r="G1183" i="4"/>
  <c r="G1123" i="4"/>
  <c r="G425" i="4"/>
  <c r="I262" i="4"/>
  <c r="I265" i="4"/>
  <c r="I266" i="4"/>
  <c r="G217" i="4"/>
  <c r="G218" i="4"/>
  <c r="G219" i="4"/>
  <c r="G220" i="4"/>
  <c r="G221" i="4"/>
  <c r="G222" i="4"/>
  <c r="G213" i="4"/>
  <c r="G223" i="4"/>
  <c r="G216" i="4"/>
  <c r="G214" i="4"/>
  <c r="G215" i="4"/>
  <c r="G224" i="4"/>
  <c r="H185" i="4"/>
  <c r="H195" i="4"/>
  <c r="H186" i="4"/>
  <c r="H187" i="4"/>
  <c r="H188" i="4"/>
  <c r="H189" i="4"/>
  <c r="H190" i="4"/>
  <c r="H191" i="4"/>
  <c r="H183" i="4"/>
  <c r="H193" i="4"/>
  <c r="H184" i="4"/>
  <c r="H194" i="4"/>
  <c r="H192" i="4"/>
  <c r="I123" i="4"/>
  <c r="I134" i="4"/>
  <c r="I124" i="4"/>
  <c r="I135" i="4"/>
  <c r="I125" i="4"/>
  <c r="I126" i="4"/>
  <c r="I128" i="4"/>
  <c r="I129" i="4"/>
  <c r="I130" i="4"/>
  <c r="I133" i="4"/>
  <c r="I127" i="4"/>
  <c r="I132" i="4"/>
  <c r="G87" i="4"/>
  <c r="G78" i="4"/>
  <c r="G88" i="4"/>
  <c r="G79" i="4"/>
  <c r="G89" i="4"/>
  <c r="G80" i="4"/>
  <c r="G90" i="4"/>
  <c r="G81" i="4"/>
  <c r="G82" i="4"/>
  <c r="G83" i="4"/>
  <c r="G86" i="4"/>
  <c r="G84" i="4"/>
  <c r="G85" i="4"/>
  <c r="H35" i="4"/>
  <c r="H45" i="4"/>
  <c r="H36" i="4"/>
  <c r="H37" i="4"/>
  <c r="H38" i="4"/>
  <c r="H39" i="4"/>
  <c r="H40" i="4"/>
  <c r="H41" i="4"/>
  <c r="H33" i="4"/>
  <c r="H43" i="4"/>
  <c r="H34" i="4"/>
  <c r="H44" i="4"/>
  <c r="H42" i="4"/>
  <c r="G1954" i="4"/>
  <c r="G1904" i="4"/>
  <c r="G1854" i="4"/>
  <c r="G1804" i="4"/>
  <c r="G1754" i="4"/>
  <c r="G1704" i="4"/>
  <c r="G1553" i="4"/>
  <c r="G1433" i="4"/>
  <c r="G1363" i="4"/>
  <c r="G1173" i="4"/>
  <c r="G973" i="4"/>
  <c r="G809" i="4"/>
  <c r="G267" i="4"/>
  <c r="G258" i="4"/>
  <c r="G268" i="4"/>
  <c r="G259" i="4"/>
  <c r="G269" i="4"/>
  <c r="G260" i="4"/>
  <c r="G270" i="4"/>
  <c r="G261" i="4"/>
  <c r="G262" i="4"/>
  <c r="G263" i="4"/>
  <c r="G266" i="4"/>
  <c r="G264" i="4"/>
  <c r="G265" i="4"/>
  <c r="H215" i="4"/>
  <c r="H225" i="4"/>
  <c r="H216" i="4"/>
  <c r="H217" i="4"/>
  <c r="H218" i="4"/>
  <c r="H219" i="4"/>
  <c r="H220" i="4"/>
  <c r="H221" i="4"/>
  <c r="H213" i="4"/>
  <c r="H223" i="4"/>
  <c r="H214" i="4"/>
  <c r="H224" i="4"/>
  <c r="H222" i="4"/>
  <c r="I175" i="4"/>
  <c r="I176" i="4"/>
  <c r="G127" i="4"/>
  <c r="G128" i="4"/>
  <c r="G129" i="4"/>
  <c r="G130" i="4"/>
  <c r="G131" i="4"/>
  <c r="G132" i="4"/>
  <c r="G123" i="4"/>
  <c r="G133" i="4"/>
  <c r="G126" i="4"/>
  <c r="G124" i="4"/>
  <c r="G134" i="4"/>
  <c r="G135" i="4"/>
  <c r="H85" i="4"/>
  <c r="H86" i="4"/>
  <c r="H87" i="4"/>
  <c r="H78" i="4"/>
  <c r="H88" i="4"/>
  <c r="H79" i="4"/>
  <c r="H89" i="4"/>
  <c r="H80" i="4"/>
  <c r="H90" i="4"/>
  <c r="H81" i="4"/>
  <c r="H83" i="4"/>
  <c r="H84" i="4"/>
  <c r="H82" i="4"/>
  <c r="I26" i="4"/>
  <c r="I27" i="4"/>
  <c r="I18" i="4"/>
  <c r="I28" i="4"/>
  <c r="I19" i="4"/>
  <c r="I29" i="4"/>
  <c r="I21" i="4"/>
  <c r="I22" i="4"/>
  <c r="I23" i="4"/>
  <c r="I25" i="4"/>
  <c r="I20" i="4"/>
  <c r="I24" i="4"/>
  <c r="I30" i="4"/>
  <c r="G1903" i="4"/>
  <c r="G1853" i="4"/>
  <c r="G1753" i="4"/>
  <c r="G1483" i="4"/>
  <c r="G1033" i="4"/>
  <c r="H545" i="4"/>
  <c r="H555" i="4"/>
  <c r="H546" i="4"/>
  <c r="H547" i="4"/>
  <c r="H548" i="4"/>
  <c r="H549" i="4"/>
  <c r="H550" i="4"/>
  <c r="H551" i="4"/>
  <c r="H544" i="4"/>
  <c r="H554" i="4"/>
  <c r="H543" i="4"/>
  <c r="H552" i="4"/>
  <c r="H553" i="4"/>
  <c r="I1909" i="4"/>
  <c r="I1919" i="4"/>
  <c r="I1910" i="4"/>
  <c r="I1920" i="4"/>
  <c r="I1911" i="4"/>
  <c r="I1912" i="4"/>
  <c r="I1913" i="4"/>
  <c r="I1914" i="4"/>
  <c r="I1915" i="4"/>
  <c r="I1917" i="4"/>
  <c r="I1908" i="4"/>
  <c r="I1918" i="4"/>
  <c r="I1916" i="4"/>
  <c r="H725" i="4"/>
  <c r="H735" i="4"/>
  <c r="H726" i="4"/>
  <c r="H727" i="4"/>
  <c r="H728" i="4"/>
  <c r="H729" i="4"/>
  <c r="H730" i="4"/>
  <c r="H731" i="4"/>
  <c r="H723" i="4"/>
  <c r="H724" i="4"/>
  <c r="H732" i="4"/>
  <c r="H733" i="4"/>
  <c r="H734" i="4"/>
  <c r="G387" i="4"/>
  <c r="G378" i="4"/>
  <c r="G388" i="4"/>
  <c r="G379" i="4"/>
  <c r="G389" i="4"/>
  <c r="G380" i="4"/>
  <c r="G390" i="4"/>
  <c r="G381" i="4"/>
  <c r="G382" i="4"/>
  <c r="G383" i="4"/>
  <c r="G386" i="4"/>
  <c r="G384" i="4"/>
  <c r="G385" i="4"/>
  <c r="I288" i="4"/>
  <c r="I295" i="4"/>
  <c r="I298" i="4"/>
  <c r="I299" i="4"/>
  <c r="I1959" i="4"/>
  <c r="I1960" i="4"/>
  <c r="I1961" i="4"/>
  <c r="I1962" i="4"/>
  <c r="I1953" i="4"/>
  <c r="I1963" i="4"/>
  <c r="I1954" i="4"/>
  <c r="I1964" i="4"/>
  <c r="I1955" i="4"/>
  <c r="I1965" i="4"/>
  <c r="I1958" i="4"/>
  <c r="I1956" i="4"/>
  <c r="I1957" i="4"/>
  <c r="G1916" i="4"/>
  <c r="G1917" i="4"/>
  <c r="G1908" i="4"/>
  <c r="G1918" i="4"/>
  <c r="G1909" i="4"/>
  <c r="G1919" i="4"/>
  <c r="G1910" i="4"/>
  <c r="G1920" i="4"/>
  <c r="G1911" i="4"/>
  <c r="G1912" i="4"/>
  <c r="G1915" i="4"/>
  <c r="H1887" i="4"/>
  <c r="H1878" i="4"/>
  <c r="H1888" i="4"/>
  <c r="H1879" i="4"/>
  <c r="H1889" i="4"/>
  <c r="H1880" i="4"/>
  <c r="H1890" i="4"/>
  <c r="H1881" i="4"/>
  <c r="H1882" i="4"/>
  <c r="H1883" i="4"/>
  <c r="H1884" i="4"/>
  <c r="H1885" i="4"/>
  <c r="H1886" i="4"/>
  <c r="I1819" i="4"/>
  <c r="I1829" i="4"/>
  <c r="I1820" i="4"/>
  <c r="I1830" i="4"/>
  <c r="I1821" i="4"/>
  <c r="I1822" i="4"/>
  <c r="I1823" i="4"/>
  <c r="I1824" i="4"/>
  <c r="I1825" i="4"/>
  <c r="I1827" i="4"/>
  <c r="I1818" i="4"/>
  <c r="I1828" i="4"/>
  <c r="I1826" i="4"/>
  <c r="G1776" i="4"/>
  <c r="G1777" i="4"/>
  <c r="G1778" i="4"/>
  <c r="G1779" i="4"/>
  <c r="G1780" i="4"/>
  <c r="G1781" i="4"/>
  <c r="G1782" i="4"/>
  <c r="G1775" i="4"/>
  <c r="G1785" i="4"/>
  <c r="H1747" i="4"/>
  <c r="H1748" i="4"/>
  <c r="H1749" i="4"/>
  <c r="H1750" i="4"/>
  <c r="H1751" i="4"/>
  <c r="H1752" i="4"/>
  <c r="H1743" i="4"/>
  <c r="H1753" i="4"/>
  <c r="H1744" i="4"/>
  <c r="H1754" i="4"/>
  <c r="H1745" i="4"/>
  <c r="H1755" i="4"/>
  <c r="H1746" i="4"/>
  <c r="G1656" i="4"/>
  <c r="G1657" i="4"/>
  <c r="G1658" i="4"/>
  <c r="G1659" i="4"/>
  <c r="G1660" i="4"/>
  <c r="G1661" i="4"/>
  <c r="G1662" i="4"/>
  <c r="G1654" i="4"/>
  <c r="G1655" i="4"/>
  <c r="G1665" i="4"/>
  <c r="H1628" i="4"/>
  <c r="H1629" i="4"/>
  <c r="H1630" i="4"/>
  <c r="H1631" i="4"/>
  <c r="H1634" i="4"/>
  <c r="H1635" i="4"/>
  <c r="H1623" i="4"/>
  <c r="H1624" i="4"/>
  <c r="H1625" i="4"/>
  <c r="H1626" i="4"/>
  <c r="H1627" i="4"/>
  <c r="H1632" i="4"/>
  <c r="H1633" i="4"/>
  <c r="G1536" i="4"/>
  <c r="G1537" i="4"/>
  <c r="G1538" i="4"/>
  <c r="G1539" i="4"/>
  <c r="G1540" i="4"/>
  <c r="G1541" i="4"/>
  <c r="G1542" i="4"/>
  <c r="G1534" i="4"/>
  <c r="G1544" i="4"/>
  <c r="G1535" i="4"/>
  <c r="G1545" i="4"/>
  <c r="H1508" i="4"/>
  <c r="H1509" i="4"/>
  <c r="H1510" i="4"/>
  <c r="H1511" i="4"/>
  <c r="H1512" i="4"/>
  <c r="H1503" i="4"/>
  <c r="H1513" i="4"/>
  <c r="H1504" i="4"/>
  <c r="H1514" i="4"/>
  <c r="H1505" i="4"/>
  <c r="H1515" i="4"/>
  <c r="H1506" i="4"/>
  <c r="H1507" i="4"/>
  <c r="G1416" i="4"/>
  <c r="G1417" i="4"/>
  <c r="G1418" i="4"/>
  <c r="G1419" i="4"/>
  <c r="G1420" i="4"/>
  <c r="G1421" i="4"/>
  <c r="G1422" i="4"/>
  <c r="G1414" i="4"/>
  <c r="G1424" i="4"/>
  <c r="G1415" i="4"/>
  <c r="G1425" i="4"/>
  <c r="G1296" i="4"/>
  <c r="G1297" i="4"/>
  <c r="G1298" i="4"/>
  <c r="G1299" i="4"/>
  <c r="G1300" i="4"/>
  <c r="G1301" i="4"/>
  <c r="G1302" i="4"/>
  <c r="G1294" i="4"/>
  <c r="G1304" i="4"/>
  <c r="G1295" i="4"/>
  <c r="G1305" i="4"/>
  <c r="G1166" i="4"/>
  <c r="G1167" i="4"/>
  <c r="G1158" i="4"/>
  <c r="G1168" i="4"/>
  <c r="G1159" i="4"/>
  <c r="G1169" i="4"/>
  <c r="G1160" i="4"/>
  <c r="G1170" i="4"/>
  <c r="G1161" i="4"/>
  <c r="G1162" i="4"/>
  <c r="G1164" i="4"/>
  <c r="G1165" i="4"/>
  <c r="I1068" i="4"/>
  <c r="I1078" i="4"/>
  <c r="I1069" i="4"/>
  <c r="I1079" i="4"/>
  <c r="I1070" i="4"/>
  <c r="I1080" i="4"/>
  <c r="I1071" i="4"/>
  <c r="I1072" i="4"/>
  <c r="I1073" i="4"/>
  <c r="I1074" i="4"/>
  <c r="I1076" i="4"/>
  <c r="I1077" i="4"/>
  <c r="I1075" i="4"/>
  <c r="G1046" i="4"/>
  <c r="G1047" i="4"/>
  <c r="G1038" i="4"/>
  <c r="G1048" i="4"/>
  <c r="G1039" i="4"/>
  <c r="G1049" i="4"/>
  <c r="G1040" i="4"/>
  <c r="G1050" i="4"/>
  <c r="G1041" i="4"/>
  <c r="G1042" i="4"/>
  <c r="G1044" i="4"/>
  <c r="G1045" i="4"/>
  <c r="I958" i="4"/>
  <c r="I948" i="4"/>
  <c r="I959" i="4"/>
  <c r="I949" i="4"/>
  <c r="I960" i="4"/>
  <c r="I950" i="4"/>
  <c r="I951" i="4"/>
  <c r="I952" i="4"/>
  <c r="I953" i="4"/>
  <c r="I956" i="4"/>
  <c r="I957" i="4"/>
  <c r="I955" i="4"/>
  <c r="G927" i="4"/>
  <c r="G926" i="4"/>
  <c r="G924" i="4"/>
  <c r="G925" i="4"/>
  <c r="G928" i="4"/>
  <c r="G929" i="4"/>
  <c r="G918" i="4"/>
  <c r="G930" i="4"/>
  <c r="G919" i="4"/>
  <c r="G920" i="4"/>
  <c r="G922" i="4"/>
  <c r="G923" i="4"/>
  <c r="I838" i="4"/>
  <c r="I839" i="4"/>
  <c r="I840" i="4"/>
  <c r="I828" i="4"/>
  <c r="I829" i="4"/>
  <c r="I832" i="4"/>
  <c r="I833" i="4"/>
  <c r="I830" i="4"/>
  <c r="H755" i="4"/>
  <c r="H765" i="4"/>
  <c r="H761" i="4"/>
  <c r="H762" i="4"/>
  <c r="H763" i="4"/>
  <c r="H753" i="4"/>
  <c r="H764" i="4"/>
  <c r="H754" i="4"/>
  <c r="H756" i="4"/>
  <c r="H757" i="4"/>
  <c r="H758" i="4"/>
  <c r="H759" i="4"/>
  <c r="H760" i="4"/>
  <c r="I709" i="4"/>
  <c r="I710" i="4"/>
  <c r="I720" i="4"/>
  <c r="I717" i="4"/>
  <c r="G667" i="4"/>
  <c r="G668" i="4"/>
  <c r="G669" i="4"/>
  <c r="G670" i="4"/>
  <c r="G671" i="4"/>
  <c r="G672" i="4"/>
  <c r="G663" i="4"/>
  <c r="G673" i="4"/>
  <c r="G666" i="4"/>
  <c r="G664" i="4"/>
  <c r="G665" i="4"/>
  <c r="G674" i="4"/>
  <c r="H625" i="4"/>
  <c r="H626" i="4"/>
  <c r="H627" i="4"/>
  <c r="H618" i="4"/>
  <c r="H628" i="4"/>
  <c r="H619" i="4"/>
  <c r="H629" i="4"/>
  <c r="H620" i="4"/>
  <c r="H630" i="4"/>
  <c r="H621" i="4"/>
  <c r="H624" i="4"/>
  <c r="H622" i="4"/>
  <c r="H623" i="4"/>
  <c r="I577" i="4"/>
  <c r="I584" i="4"/>
  <c r="I573" i="4"/>
  <c r="I576" i="4"/>
  <c r="H505" i="4"/>
  <c r="H506" i="4"/>
  <c r="H507" i="4"/>
  <c r="H498" i="4"/>
  <c r="H508" i="4"/>
  <c r="H499" i="4"/>
  <c r="H509" i="4"/>
  <c r="H500" i="4"/>
  <c r="H510" i="4"/>
  <c r="H501" i="4"/>
  <c r="H504" i="4"/>
  <c r="H502" i="4"/>
  <c r="H503" i="4"/>
  <c r="I454" i="4"/>
  <c r="I462" i="4"/>
  <c r="I465" i="4"/>
  <c r="I455" i="4"/>
  <c r="G417" i="4"/>
  <c r="G408" i="4"/>
  <c r="G418" i="4"/>
  <c r="G409" i="4"/>
  <c r="G419" i="4"/>
  <c r="G410" i="4"/>
  <c r="G420" i="4"/>
  <c r="G411" i="4"/>
  <c r="G412" i="4"/>
  <c r="G413" i="4"/>
  <c r="G416" i="4"/>
  <c r="G414" i="4"/>
  <c r="G415" i="4"/>
  <c r="H385" i="4"/>
  <c r="H386" i="4"/>
  <c r="H387" i="4"/>
  <c r="H378" i="4"/>
  <c r="H388" i="4"/>
  <c r="H379" i="4"/>
  <c r="H389" i="4"/>
  <c r="H380" i="4"/>
  <c r="H390" i="4"/>
  <c r="H381" i="4"/>
  <c r="H384" i="4"/>
  <c r="H382" i="4"/>
  <c r="H383" i="4"/>
  <c r="I333" i="4"/>
  <c r="I339" i="4"/>
  <c r="I343" i="4"/>
  <c r="I344" i="4"/>
  <c r="G297" i="4"/>
  <c r="G288" i="4"/>
  <c r="G298" i="4"/>
  <c r="G289" i="4"/>
  <c r="G299" i="4"/>
  <c r="G290" i="4"/>
  <c r="G300" i="4"/>
  <c r="G291" i="4"/>
  <c r="G292" i="4"/>
  <c r="G293" i="4"/>
  <c r="G296" i="4"/>
  <c r="G294" i="4"/>
  <c r="G295" i="4"/>
  <c r="H265" i="4"/>
  <c r="H266" i="4"/>
  <c r="H267" i="4"/>
  <c r="H258" i="4"/>
  <c r="H268" i="4"/>
  <c r="H259" i="4"/>
  <c r="H269" i="4"/>
  <c r="H260" i="4"/>
  <c r="H270" i="4"/>
  <c r="H261" i="4"/>
  <c r="H263" i="4"/>
  <c r="H264" i="4"/>
  <c r="H262" i="4"/>
  <c r="G177" i="4"/>
  <c r="G168" i="4"/>
  <c r="G178" i="4"/>
  <c r="G169" i="4"/>
  <c r="G179" i="4"/>
  <c r="G170" i="4"/>
  <c r="G180" i="4"/>
  <c r="G171" i="4"/>
  <c r="G172" i="4"/>
  <c r="G173" i="4"/>
  <c r="G176" i="4"/>
  <c r="G174" i="4"/>
  <c r="H125" i="4"/>
  <c r="H135" i="4"/>
  <c r="H126" i="4"/>
  <c r="H127" i="4"/>
  <c r="H128" i="4"/>
  <c r="H129" i="4"/>
  <c r="H130" i="4"/>
  <c r="H131" i="4"/>
  <c r="H123" i="4"/>
  <c r="H133" i="4"/>
  <c r="H124" i="4"/>
  <c r="H134" i="4"/>
  <c r="H132" i="4"/>
  <c r="I66" i="4"/>
  <c r="I67" i="4"/>
  <c r="I68" i="4"/>
  <c r="I69" i="4"/>
  <c r="I71" i="4"/>
  <c r="I72" i="4"/>
  <c r="I63" i="4"/>
  <c r="I73" i="4"/>
  <c r="I65" i="4"/>
  <c r="I75" i="4"/>
  <c r="I64" i="4"/>
  <c r="I70" i="4"/>
  <c r="I74" i="4"/>
  <c r="G27" i="4"/>
  <c r="G18" i="4"/>
  <c r="G28" i="4"/>
  <c r="G19" i="4"/>
  <c r="G29" i="4"/>
  <c r="G20" i="4"/>
  <c r="G30" i="4"/>
  <c r="G21" i="4"/>
  <c r="G22" i="4"/>
  <c r="G23" i="4"/>
  <c r="G26" i="4"/>
  <c r="G24" i="4"/>
  <c r="G1944" i="4"/>
  <c r="G1894" i="4"/>
  <c r="G1844" i="4"/>
  <c r="G1794" i="4"/>
  <c r="G1744" i="4"/>
  <c r="G1694" i="4"/>
  <c r="G1633" i="4"/>
  <c r="G1533" i="4"/>
  <c r="G1473" i="4"/>
  <c r="G1413" i="4"/>
  <c r="G1273" i="4"/>
  <c r="G1213" i="4"/>
  <c r="G1153" i="4"/>
  <c r="G1093" i="4"/>
  <c r="I1879" i="4"/>
  <c r="I1889" i="4"/>
  <c r="I1880" i="4"/>
  <c r="I1890" i="4"/>
  <c r="I1881" i="4"/>
  <c r="I1882" i="4"/>
  <c r="I1883" i="4"/>
  <c r="I1884" i="4"/>
  <c r="I1885" i="4"/>
  <c r="I1887" i="4"/>
  <c r="I1878" i="4"/>
  <c r="I1888" i="4"/>
  <c r="I1886" i="4"/>
  <c r="I1749" i="4"/>
  <c r="I1750" i="4"/>
  <c r="I1751" i="4"/>
  <c r="I1752" i="4"/>
  <c r="I1743" i="4"/>
  <c r="I1753" i="4"/>
  <c r="I1744" i="4"/>
  <c r="I1754" i="4"/>
  <c r="I1745" i="4"/>
  <c r="I1755" i="4"/>
  <c r="I1746" i="4"/>
  <c r="I1747" i="4"/>
  <c r="I1748" i="4"/>
  <c r="G1586" i="4"/>
  <c r="G1587" i="4"/>
  <c r="G1578" i="4"/>
  <c r="G1588" i="4"/>
  <c r="G1579" i="4"/>
  <c r="G1589" i="4"/>
  <c r="G1580" i="4"/>
  <c r="G1590" i="4"/>
  <c r="G1581" i="4"/>
  <c r="G1582" i="4"/>
  <c r="G1584" i="4"/>
  <c r="G1585" i="4"/>
  <c r="G1346" i="4"/>
  <c r="G1347" i="4"/>
  <c r="G1338" i="4"/>
  <c r="G1348" i="4"/>
  <c r="G1339" i="4"/>
  <c r="G1349" i="4"/>
  <c r="G1340" i="4"/>
  <c r="G1350" i="4"/>
  <c r="G1341" i="4"/>
  <c r="G1342" i="4"/>
  <c r="G1344" i="4"/>
  <c r="G1345" i="4"/>
  <c r="I506" i="4"/>
  <c r="I509" i="4"/>
  <c r="I510" i="4"/>
  <c r="I498" i="4"/>
  <c r="I499" i="4"/>
  <c r="G1506" i="4"/>
  <c r="G1507" i="4"/>
  <c r="G1508" i="4"/>
  <c r="G1509" i="4"/>
  <c r="G1510" i="4"/>
  <c r="G1511" i="4"/>
  <c r="G1512" i="4"/>
  <c r="G1504" i="4"/>
  <c r="G1514" i="4"/>
  <c r="G1505" i="4"/>
  <c r="G1515" i="4"/>
  <c r="I1158" i="4"/>
  <c r="I1168" i="4"/>
  <c r="I1159" i="4"/>
  <c r="I1169" i="4"/>
  <c r="I1160" i="4"/>
  <c r="I1170" i="4"/>
  <c r="I1161" i="4"/>
  <c r="I1162" i="4"/>
  <c r="I1163" i="4"/>
  <c r="I1164" i="4"/>
  <c r="I1166" i="4"/>
  <c r="I1167" i="4"/>
  <c r="I1165" i="4"/>
  <c r="G1956" i="4"/>
  <c r="G1957" i="4"/>
  <c r="G1958" i="4"/>
  <c r="G1959" i="4"/>
  <c r="G1960" i="4"/>
  <c r="G1961" i="4"/>
  <c r="G1962" i="4"/>
  <c r="G1955" i="4"/>
  <c r="G1965" i="4"/>
  <c r="H1917" i="4"/>
  <c r="H1908" i="4"/>
  <c r="H1918" i="4"/>
  <c r="H1909" i="4"/>
  <c r="H1919" i="4"/>
  <c r="H1910" i="4"/>
  <c r="H1920" i="4"/>
  <c r="H1911" i="4"/>
  <c r="H1912" i="4"/>
  <c r="H1913" i="4"/>
  <c r="H1914" i="4"/>
  <c r="H1915" i="4"/>
  <c r="H1916" i="4"/>
  <c r="I1869" i="4"/>
  <c r="I1870" i="4"/>
  <c r="I1871" i="4"/>
  <c r="I1872" i="4"/>
  <c r="I1863" i="4"/>
  <c r="I1873" i="4"/>
  <c r="I1864" i="4"/>
  <c r="I1874" i="4"/>
  <c r="I1865" i="4"/>
  <c r="I1875" i="4"/>
  <c r="I1867" i="4"/>
  <c r="I1868" i="4"/>
  <c r="I1866" i="4"/>
  <c r="G1826" i="4"/>
  <c r="G1827" i="4"/>
  <c r="G1818" i="4"/>
  <c r="G1828" i="4"/>
  <c r="G1819" i="4"/>
  <c r="G1829" i="4"/>
  <c r="G1820" i="4"/>
  <c r="G1830" i="4"/>
  <c r="G1821" i="4"/>
  <c r="G1822" i="4"/>
  <c r="G1825" i="4"/>
  <c r="H1777" i="4"/>
  <c r="H1778" i="4"/>
  <c r="H1779" i="4"/>
  <c r="H1780" i="4"/>
  <c r="H1781" i="4"/>
  <c r="H1782" i="4"/>
  <c r="H1773" i="4"/>
  <c r="H1783" i="4"/>
  <c r="H1774" i="4"/>
  <c r="H1784" i="4"/>
  <c r="H1775" i="4"/>
  <c r="H1785" i="4"/>
  <c r="H1776" i="4"/>
  <c r="I1729" i="4"/>
  <c r="I1739" i="4"/>
  <c r="I1730" i="4"/>
  <c r="I1740" i="4"/>
  <c r="I1731" i="4"/>
  <c r="I1732" i="4"/>
  <c r="I1733" i="4"/>
  <c r="I1734" i="4"/>
  <c r="I1735" i="4"/>
  <c r="I1736" i="4"/>
  <c r="I1737" i="4"/>
  <c r="I1728" i="4"/>
  <c r="I1738" i="4"/>
  <c r="H1657" i="4"/>
  <c r="H1658" i="4"/>
  <c r="H1659" i="4"/>
  <c r="H1660" i="4"/>
  <c r="H1661" i="4"/>
  <c r="H1662" i="4"/>
  <c r="H1653" i="4"/>
  <c r="H1663" i="4"/>
  <c r="H1654" i="4"/>
  <c r="H1664" i="4"/>
  <c r="H1655" i="4"/>
  <c r="H1665" i="4"/>
  <c r="H1656" i="4"/>
  <c r="I1608" i="4"/>
  <c r="I1609" i="4"/>
  <c r="I1619" i="4"/>
  <c r="I1610" i="4"/>
  <c r="I1620" i="4"/>
  <c r="I1611" i="4"/>
  <c r="I1612" i="4"/>
  <c r="I1613" i="4"/>
  <c r="I1614" i="4"/>
  <c r="I1615" i="4"/>
  <c r="I1616" i="4"/>
  <c r="I1617" i="4"/>
  <c r="I1618" i="4"/>
  <c r="H1538" i="4"/>
  <c r="H1539" i="4"/>
  <c r="H1540" i="4"/>
  <c r="H1541" i="4"/>
  <c r="H1542" i="4"/>
  <c r="H1533" i="4"/>
  <c r="H1543" i="4"/>
  <c r="H1534" i="4"/>
  <c r="H1544" i="4"/>
  <c r="H1535" i="4"/>
  <c r="H1545" i="4"/>
  <c r="H1536" i="4"/>
  <c r="H1537" i="4"/>
  <c r="I1488" i="4"/>
  <c r="I1498" i="4"/>
  <c r="I1489" i="4"/>
  <c r="I1499" i="4"/>
  <c r="I1490" i="4"/>
  <c r="I1500" i="4"/>
  <c r="I1491" i="4"/>
  <c r="I1492" i="4"/>
  <c r="I1493" i="4"/>
  <c r="I1494" i="4"/>
  <c r="I1497" i="4"/>
  <c r="I1495" i="4"/>
  <c r="I1496" i="4"/>
  <c r="H1418" i="4"/>
  <c r="H1419" i="4"/>
  <c r="H1420" i="4"/>
  <c r="H1421" i="4"/>
  <c r="H1422" i="4"/>
  <c r="H1413" i="4"/>
  <c r="H1423" i="4"/>
  <c r="H1414" i="4"/>
  <c r="H1424" i="4"/>
  <c r="H1415" i="4"/>
  <c r="H1425" i="4"/>
  <c r="H1416" i="4"/>
  <c r="H1417" i="4"/>
  <c r="I1368" i="4"/>
  <c r="I1378" i="4"/>
  <c r="I1369" i="4"/>
  <c r="I1379" i="4"/>
  <c r="I1370" i="4"/>
  <c r="I1380" i="4"/>
  <c r="I1371" i="4"/>
  <c r="I1372" i="4"/>
  <c r="I1373" i="4"/>
  <c r="I1374" i="4"/>
  <c r="I1377" i="4"/>
  <c r="I1375" i="4"/>
  <c r="I1376" i="4"/>
  <c r="H1298" i="4"/>
  <c r="H1299" i="4"/>
  <c r="H1300" i="4"/>
  <c r="H1301" i="4"/>
  <c r="H1302" i="4"/>
  <c r="H1293" i="4"/>
  <c r="H1303" i="4"/>
  <c r="H1294" i="4"/>
  <c r="H1304" i="4"/>
  <c r="H1295" i="4"/>
  <c r="H1305" i="4"/>
  <c r="H1296" i="4"/>
  <c r="H1297" i="4"/>
  <c r="I1238" i="4"/>
  <c r="I1239" i="4"/>
  <c r="I1240" i="4"/>
  <c r="I1241" i="4"/>
  <c r="I1242" i="4"/>
  <c r="I1233" i="4"/>
  <c r="I1243" i="4"/>
  <c r="I1234" i="4"/>
  <c r="I1244" i="4"/>
  <c r="I1237" i="4"/>
  <c r="I1235" i="4"/>
  <c r="I1236" i="4"/>
  <c r="I1245" i="4"/>
  <c r="H1158" i="4"/>
  <c r="H1168" i="4"/>
  <c r="H1159" i="4"/>
  <c r="H1169" i="4"/>
  <c r="H1160" i="4"/>
  <c r="H1170" i="4"/>
  <c r="H1161" i="4"/>
  <c r="H1162" i="4"/>
  <c r="H1163" i="4"/>
  <c r="H1164" i="4"/>
  <c r="H1165" i="4"/>
  <c r="H1166" i="4"/>
  <c r="H1167" i="4"/>
  <c r="I1118" i="4"/>
  <c r="I1119" i="4"/>
  <c r="I1120" i="4"/>
  <c r="I1121" i="4"/>
  <c r="I1122" i="4"/>
  <c r="I1113" i="4"/>
  <c r="I1123" i="4"/>
  <c r="I1114" i="4"/>
  <c r="I1124" i="4"/>
  <c r="I1116" i="4"/>
  <c r="I1117" i="4"/>
  <c r="I1115" i="4"/>
  <c r="I1125" i="4"/>
  <c r="G1076" i="4"/>
  <c r="G1077" i="4"/>
  <c r="G1068" i="4"/>
  <c r="G1078" i="4"/>
  <c r="G1069" i="4"/>
  <c r="G1079" i="4"/>
  <c r="G1070" i="4"/>
  <c r="G1080" i="4"/>
  <c r="G1071" i="4"/>
  <c r="G1072" i="4"/>
  <c r="G1074" i="4"/>
  <c r="G1075" i="4"/>
  <c r="H1038" i="4"/>
  <c r="H1048" i="4"/>
  <c r="H1039" i="4"/>
  <c r="H1049" i="4"/>
  <c r="H1040" i="4"/>
  <c r="H1050" i="4"/>
  <c r="H1041" i="4"/>
  <c r="H1042" i="4"/>
  <c r="H1043" i="4"/>
  <c r="H1044" i="4"/>
  <c r="H1045" i="4"/>
  <c r="H1046" i="4"/>
  <c r="H1047" i="4"/>
  <c r="G956" i="4"/>
  <c r="G957" i="4"/>
  <c r="G948" i="4"/>
  <c r="G958" i="4"/>
  <c r="G949" i="4"/>
  <c r="G959" i="4"/>
  <c r="G950" i="4"/>
  <c r="G960" i="4"/>
  <c r="G951" i="4"/>
  <c r="G952" i="4"/>
  <c r="G954" i="4"/>
  <c r="G955" i="4"/>
  <c r="H918" i="4"/>
  <c r="H928" i="4"/>
  <c r="H919" i="4"/>
  <c r="H929" i="4"/>
  <c r="H920" i="4"/>
  <c r="H930" i="4"/>
  <c r="H921" i="4"/>
  <c r="H922" i="4"/>
  <c r="H923" i="4"/>
  <c r="H924" i="4"/>
  <c r="H925" i="4"/>
  <c r="H926" i="4"/>
  <c r="H927" i="4"/>
  <c r="G837" i="4"/>
  <c r="G828" i="4"/>
  <c r="G838" i="4"/>
  <c r="G836" i="4"/>
  <c r="G829" i="4"/>
  <c r="G830" i="4"/>
  <c r="G831" i="4"/>
  <c r="G832" i="4"/>
  <c r="G833" i="4"/>
  <c r="G834" i="4"/>
  <c r="G835" i="4"/>
  <c r="G840" i="4"/>
  <c r="I743" i="4"/>
  <c r="I744" i="4"/>
  <c r="I749" i="4"/>
  <c r="I750" i="4"/>
  <c r="I738" i="4"/>
  <c r="I740" i="4"/>
  <c r="I742" i="4"/>
  <c r="I739" i="4"/>
  <c r="G717" i="4"/>
  <c r="G708" i="4"/>
  <c r="G718" i="4"/>
  <c r="G709" i="4"/>
  <c r="G719" i="4"/>
  <c r="G710" i="4"/>
  <c r="G720" i="4"/>
  <c r="G711" i="4"/>
  <c r="G712" i="4"/>
  <c r="G713" i="4"/>
  <c r="G716" i="4"/>
  <c r="G714" i="4"/>
  <c r="G715" i="4"/>
  <c r="H665" i="4"/>
  <c r="H675" i="4"/>
  <c r="H666" i="4"/>
  <c r="H667" i="4"/>
  <c r="H668" i="4"/>
  <c r="H669" i="4"/>
  <c r="H670" i="4"/>
  <c r="H671" i="4"/>
  <c r="H664" i="4"/>
  <c r="H674" i="4"/>
  <c r="H663" i="4"/>
  <c r="H672" i="4"/>
  <c r="H673" i="4"/>
  <c r="I609" i="4"/>
  <c r="I610" i="4"/>
  <c r="I606" i="4"/>
  <c r="G577" i="4"/>
  <c r="G578" i="4"/>
  <c r="G579" i="4"/>
  <c r="G580" i="4"/>
  <c r="G581" i="4"/>
  <c r="G582" i="4"/>
  <c r="G573" i="4"/>
  <c r="G583" i="4"/>
  <c r="G576" i="4"/>
  <c r="G574" i="4"/>
  <c r="G584" i="4"/>
  <c r="G585" i="4"/>
  <c r="I484" i="4"/>
  <c r="I487" i="4"/>
  <c r="I488" i="4"/>
  <c r="I495" i="4"/>
  <c r="G457" i="4"/>
  <c r="G458" i="4"/>
  <c r="G459" i="4"/>
  <c r="G460" i="4"/>
  <c r="G461" i="4"/>
  <c r="G462" i="4"/>
  <c r="G453" i="4"/>
  <c r="G463" i="4"/>
  <c r="G456" i="4"/>
  <c r="G454" i="4"/>
  <c r="G455" i="4"/>
  <c r="G464" i="4"/>
  <c r="G465" i="4"/>
  <c r="H415" i="4"/>
  <c r="H416" i="4"/>
  <c r="H417" i="4"/>
  <c r="H408" i="4"/>
  <c r="H418" i="4"/>
  <c r="H409" i="4"/>
  <c r="H419" i="4"/>
  <c r="H410" i="4"/>
  <c r="H420" i="4"/>
  <c r="H411" i="4"/>
  <c r="H414" i="4"/>
  <c r="H413" i="4"/>
  <c r="H412" i="4"/>
  <c r="I365" i="4"/>
  <c r="I366" i="4"/>
  <c r="I373" i="4"/>
  <c r="G337" i="4"/>
  <c r="G338" i="4"/>
  <c r="G339" i="4"/>
  <c r="G340" i="4"/>
  <c r="G341" i="4"/>
  <c r="G342" i="4"/>
  <c r="G333" i="4"/>
  <c r="G343" i="4"/>
  <c r="G336" i="4"/>
  <c r="G344" i="4"/>
  <c r="G345" i="4"/>
  <c r="G334" i="4"/>
  <c r="G335" i="4"/>
  <c r="H295" i="4"/>
  <c r="H296" i="4"/>
  <c r="H297" i="4"/>
  <c r="H288" i="4"/>
  <c r="H298" i="4"/>
  <c r="H289" i="4"/>
  <c r="H299" i="4"/>
  <c r="H290" i="4"/>
  <c r="H300" i="4"/>
  <c r="H291" i="4"/>
  <c r="H293" i="4"/>
  <c r="H294" i="4"/>
  <c r="H292" i="4"/>
  <c r="I250" i="4"/>
  <c r="I254" i="4"/>
  <c r="I255" i="4"/>
  <c r="I243" i="4"/>
  <c r="H175" i="4"/>
  <c r="H176" i="4"/>
  <c r="H177" i="4"/>
  <c r="H168" i="4"/>
  <c r="H178" i="4"/>
  <c r="H169" i="4"/>
  <c r="H179" i="4"/>
  <c r="H170" i="4"/>
  <c r="H180" i="4"/>
  <c r="H171" i="4"/>
  <c r="H173" i="4"/>
  <c r="H174" i="4"/>
  <c r="H172" i="4"/>
  <c r="I110" i="4"/>
  <c r="I112" i="4"/>
  <c r="I114" i="4"/>
  <c r="I115" i="4"/>
  <c r="I117" i="4"/>
  <c r="I118" i="4"/>
  <c r="I119" i="4"/>
  <c r="I109" i="4"/>
  <c r="I116" i="4"/>
  <c r="I120" i="4"/>
  <c r="I108" i="4"/>
  <c r="G67" i="4"/>
  <c r="G68" i="4"/>
  <c r="G69" i="4"/>
  <c r="G70" i="4"/>
  <c r="G71" i="4"/>
  <c r="G72" i="4"/>
  <c r="G63" i="4"/>
  <c r="G73" i="4"/>
  <c r="G66" i="4"/>
  <c r="G64" i="4"/>
  <c r="G65" i="4"/>
  <c r="G74" i="4"/>
  <c r="H25" i="4"/>
  <c r="H26" i="4"/>
  <c r="H27" i="4"/>
  <c r="H18" i="4"/>
  <c r="H28" i="4"/>
  <c r="H19" i="4"/>
  <c r="H29" i="4"/>
  <c r="H20" i="4"/>
  <c r="H30" i="4"/>
  <c r="H21" i="4"/>
  <c r="H23" i="4"/>
  <c r="H24" i="4"/>
  <c r="H22" i="4"/>
  <c r="G1843" i="4"/>
  <c r="G1793" i="4"/>
  <c r="G1693" i="4"/>
  <c r="G225" i="4"/>
  <c r="H1548" i="4"/>
  <c r="H1558" i="4"/>
  <c r="H1549" i="4"/>
  <c r="H1559" i="4"/>
  <c r="H1550" i="4"/>
  <c r="H1560" i="4"/>
  <c r="H1551" i="4"/>
  <c r="H1552" i="4"/>
  <c r="H1553" i="4"/>
  <c r="H1554" i="4"/>
  <c r="H1555" i="4"/>
  <c r="H1556" i="4"/>
  <c r="H1557" i="4"/>
  <c r="H1308" i="4"/>
  <c r="H1318" i="4"/>
  <c r="H1309" i="4"/>
  <c r="H1319" i="4"/>
  <c r="H1310" i="4"/>
  <c r="H1320" i="4"/>
  <c r="H1311" i="4"/>
  <c r="H1312" i="4"/>
  <c r="H1313" i="4"/>
  <c r="H1314" i="4"/>
  <c r="H1315" i="4"/>
  <c r="H1316" i="4"/>
  <c r="H1317" i="4"/>
  <c r="G597" i="4"/>
  <c r="G588" i="4"/>
  <c r="G598" i="4"/>
  <c r="G589" i="4"/>
  <c r="G599" i="4"/>
  <c r="G590" i="4"/>
  <c r="G600" i="4"/>
  <c r="G591" i="4"/>
  <c r="G592" i="4"/>
  <c r="G593" i="4"/>
  <c r="G596" i="4"/>
  <c r="G594" i="4"/>
  <c r="G595" i="4"/>
  <c r="I1038" i="4"/>
  <c r="I1048" i="4"/>
  <c r="I1039" i="4"/>
  <c r="I1049" i="4"/>
  <c r="I1040" i="4"/>
  <c r="I1050" i="4"/>
  <c r="I1041" i="4"/>
  <c r="I1042" i="4"/>
  <c r="I1043" i="4"/>
  <c r="I1044" i="4"/>
  <c r="I1046" i="4"/>
  <c r="I1047" i="4"/>
  <c r="I1045" i="4"/>
  <c r="I929" i="4"/>
  <c r="I930" i="4"/>
  <c r="I918" i="4"/>
  <c r="I919" i="4"/>
  <c r="I920" i="4"/>
  <c r="I927" i="4"/>
  <c r="I928" i="4"/>
  <c r="I922" i="4"/>
  <c r="H848" i="4"/>
  <c r="H849" i="4"/>
  <c r="H850" i="4"/>
  <c r="H851" i="4"/>
  <c r="H852" i="4"/>
  <c r="H843" i="4"/>
  <c r="H853" i="4"/>
  <c r="H844" i="4"/>
  <c r="H854" i="4"/>
  <c r="H845" i="4"/>
  <c r="H855" i="4"/>
  <c r="H846" i="4"/>
  <c r="H847" i="4"/>
  <c r="G507" i="4"/>
  <c r="G498" i="4"/>
  <c r="G508" i="4"/>
  <c r="G499" i="4"/>
  <c r="G509" i="4"/>
  <c r="G500" i="4"/>
  <c r="G510" i="4"/>
  <c r="G501" i="4"/>
  <c r="G502" i="4"/>
  <c r="G503" i="4"/>
  <c r="G506" i="4"/>
  <c r="G504" i="4"/>
  <c r="G505" i="4"/>
  <c r="H1957" i="4"/>
  <c r="H1958" i="4"/>
  <c r="H1959" i="4"/>
  <c r="H1960" i="4"/>
  <c r="H1961" i="4"/>
  <c r="H1962" i="4"/>
  <c r="H1953" i="4"/>
  <c r="H1963" i="4"/>
  <c r="H1954" i="4"/>
  <c r="H1964" i="4"/>
  <c r="H1955" i="4"/>
  <c r="H1965" i="4"/>
  <c r="H1956" i="4"/>
  <c r="H1827" i="4"/>
  <c r="H1818" i="4"/>
  <c r="H1828" i="4"/>
  <c r="H1819" i="4"/>
  <c r="H1829" i="4"/>
  <c r="H1820" i="4"/>
  <c r="H1830" i="4"/>
  <c r="H1821" i="4"/>
  <c r="H1822" i="4"/>
  <c r="H1823" i="4"/>
  <c r="H1824" i="4"/>
  <c r="H1825" i="4"/>
  <c r="H1826" i="4"/>
  <c r="G1496" i="4"/>
  <c r="G1497" i="4"/>
  <c r="G1488" i="4"/>
  <c r="G1498" i="4"/>
  <c r="G1489" i="4"/>
  <c r="G1499" i="4"/>
  <c r="G1490" i="4"/>
  <c r="G1500" i="4"/>
  <c r="G1491" i="4"/>
  <c r="G1492" i="4"/>
  <c r="G1494" i="4"/>
  <c r="G1495" i="4"/>
  <c r="I1398" i="4"/>
  <c r="I1408" i="4"/>
  <c r="I1399" i="4"/>
  <c r="I1409" i="4"/>
  <c r="I1400" i="4"/>
  <c r="I1410" i="4"/>
  <c r="I1401" i="4"/>
  <c r="I1402" i="4"/>
  <c r="I1403" i="4"/>
  <c r="I1404" i="4"/>
  <c r="I1407" i="4"/>
  <c r="I1405" i="4"/>
  <c r="I1406" i="4"/>
  <c r="G1376" i="4"/>
  <c r="G1377" i="4"/>
  <c r="G1368" i="4"/>
  <c r="G1378" i="4"/>
  <c r="G1369" i="4"/>
  <c r="G1379" i="4"/>
  <c r="G1370" i="4"/>
  <c r="G1380" i="4"/>
  <c r="G1371" i="4"/>
  <c r="G1372" i="4"/>
  <c r="G1374" i="4"/>
  <c r="G1375" i="4"/>
  <c r="I1278" i="4"/>
  <c r="I1288" i="4"/>
  <c r="I1279" i="4"/>
  <c r="I1289" i="4"/>
  <c r="I1280" i="4"/>
  <c r="I1290" i="4"/>
  <c r="I1281" i="4"/>
  <c r="I1282" i="4"/>
  <c r="I1283" i="4"/>
  <c r="I1284" i="4"/>
  <c r="I1287" i="4"/>
  <c r="I1285" i="4"/>
  <c r="I1286" i="4"/>
  <c r="G1236" i="4"/>
  <c r="G1237" i="4"/>
  <c r="G1238" i="4"/>
  <c r="G1239" i="4"/>
  <c r="G1240" i="4"/>
  <c r="G1241" i="4"/>
  <c r="G1242" i="4"/>
  <c r="G1234" i="4"/>
  <c r="G1244" i="4"/>
  <c r="G1235" i="4"/>
  <c r="G1245" i="4"/>
  <c r="I1148" i="4"/>
  <c r="I1149" i="4"/>
  <c r="I1150" i="4"/>
  <c r="I1151" i="4"/>
  <c r="I1152" i="4"/>
  <c r="I1143" i="4"/>
  <c r="I1153" i="4"/>
  <c r="I1144" i="4"/>
  <c r="I1154" i="4"/>
  <c r="I1146" i="4"/>
  <c r="I1147" i="4"/>
  <c r="I1145" i="4"/>
  <c r="I1155" i="4"/>
  <c r="G1116" i="4"/>
  <c r="G1117" i="4"/>
  <c r="G1118" i="4"/>
  <c r="G1119" i="4"/>
  <c r="G1120" i="4"/>
  <c r="G1121" i="4"/>
  <c r="G1122" i="4"/>
  <c r="G1114" i="4"/>
  <c r="G1124" i="4"/>
  <c r="G1115" i="4"/>
  <c r="G1125" i="4"/>
  <c r="H1068" i="4"/>
  <c r="H1078" i="4"/>
  <c r="H1069" i="4"/>
  <c r="H1079" i="4"/>
  <c r="H1070" i="4"/>
  <c r="H1080" i="4"/>
  <c r="H1071" i="4"/>
  <c r="H1072" i="4"/>
  <c r="H1073" i="4"/>
  <c r="H1074" i="4"/>
  <c r="H1075" i="4"/>
  <c r="H1076" i="4"/>
  <c r="H1077" i="4"/>
  <c r="I1028" i="4"/>
  <c r="I1029" i="4"/>
  <c r="I1030" i="4"/>
  <c r="I1031" i="4"/>
  <c r="I1032" i="4"/>
  <c r="I1023" i="4"/>
  <c r="I1033" i="4"/>
  <c r="I1024" i="4"/>
  <c r="I1034" i="4"/>
  <c r="I1026" i="4"/>
  <c r="I1027" i="4"/>
  <c r="I1035" i="4"/>
  <c r="I1025" i="4"/>
  <c r="H948" i="4"/>
  <c r="H958" i="4"/>
  <c r="H949" i="4"/>
  <c r="H959" i="4"/>
  <c r="H950" i="4"/>
  <c r="H960" i="4"/>
  <c r="H951" i="4"/>
  <c r="H952" i="4"/>
  <c r="H953" i="4"/>
  <c r="H954" i="4"/>
  <c r="H955" i="4"/>
  <c r="H956" i="4"/>
  <c r="H957" i="4"/>
  <c r="I909" i="4"/>
  <c r="I910" i="4"/>
  <c r="I905" i="4"/>
  <c r="I907" i="4"/>
  <c r="I908" i="4"/>
  <c r="I906" i="4"/>
  <c r="H828" i="4"/>
  <c r="H838" i="4"/>
  <c r="H829" i="4"/>
  <c r="H839" i="4"/>
  <c r="H830" i="4"/>
  <c r="H840" i="4"/>
  <c r="H831" i="4"/>
  <c r="H832" i="4"/>
  <c r="H833" i="4"/>
  <c r="H834" i="4"/>
  <c r="H835" i="4"/>
  <c r="H836" i="4"/>
  <c r="H837" i="4"/>
  <c r="I783" i="4"/>
  <c r="I784" i="4"/>
  <c r="I785" i="4"/>
  <c r="I786" i="4"/>
  <c r="I787" i="4"/>
  <c r="I788" i="4"/>
  <c r="I794" i="4"/>
  <c r="I795" i="4"/>
  <c r="G747" i="4"/>
  <c r="G738" i="4"/>
  <c r="G748" i="4"/>
  <c r="G739" i="4"/>
  <c r="G749" i="4"/>
  <c r="G740" i="4"/>
  <c r="G750" i="4"/>
  <c r="G741" i="4"/>
  <c r="G742" i="4"/>
  <c r="G746" i="4"/>
  <c r="G743" i="4"/>
  <c r="G744" i="4"/>
  <c r="G745" i="4"/>
  <c r="H715" i="4"/>
  <c r="H716" i="4"/>
  <c r="H717" i="4"/>
  <c r="H708" i="4"/>
  <c r="H718" i="4"/>
  <c r="H709" i="4"/>
  <c r="H719" i="4"/>
  <c r="H710" i="4"/>
  <c r="H720" i="4"/>
  <c r="H711" i="4"/>
  <c r="H714" i="4"/>
  <c r="H713" i="4"/>
  <c r="H712" i="4"/>
  <c r="I654" i="4"/>
  <c r="I655" i="4"/>
  <c r="I650" i="4"/>
  <c r="G607" i="4"/>
  <c r="G608" i="4"/>
  <c r="G609" i="4"/>
  <c r="G610" i="4"/>
  <c r="G611" i="4"/>
  <c r="G612" i="4"/>
  <c r="G603" i="4"/>
  <c r="G613" i="4"/>
  <c r="G606" i="4"/>
  <c r="G604" i="4"/>
  <c r="G605" i="4"/>
  <c r="G614" i="4"/>
  <c r="G615" i="4"/>
  <c r="H575" i="4"/>
  <c r="H585" i="4"/>
  <c r="H576" i="4"/>
  <c r="H577" i="4"/>
  <c r="H578" i="4"/>
  <c r="H579" i="4"/>
  <c r="H580" i="4"/>
  <c r="H581" i="4"/>
  <c r="H574" i="4"/>
  <c r="H584" i="4"/>
  <c r="H573" i="4"/>
  <c r="H582" i="4"/>
  <c r="H583" i="4"/>
  <c r="I528" i="4"/>
  <c r="I533" i="4"/>
  <c r="I539" i="4"/>
  <c r="I532" i="4"/>
  <c r="G487" i="4"/>
  <c r="G488" i="4"/>
  <c r="G489" i="4"/>
  <c r="G490" i="4"/>
  <c r="G491" i="4"/>
  <c r="G492" i="4"/>
  <c r="G483" i="4"/>
  <c r="G493" i="4"/>
  <c r="G486" i="4"/>
  <c r="G494" i="4"/>
  <c r="G495" i="4"/>
  <c r="G484" i="4"/>
  <c r="G485" i="4"/>
  <c r="H455" i="4"/>
  <c r="H465" i="4"/>
  <c r="H456" i="4"/>
  <c r="H457" i="4"/>
  <c r="H458" i="4"/>
  <c r="H459" i="4"/>
  <c r="H460" i="4"/>
  <c r="H461" i="4"/>
  <c r="H454" i="4"/>
  <c r="H464" i="4"/>
  <c r="H463" i="4"/>
  <c r="H453" i="4"/>
  <c r="H462" i="4"/>
  <c r="G367" i="4"/>
  <c r="G368" i="4"/>
  <c r="G369" i="4"/>
  <c r="G370" i="4"/>
  <c r="G371" i="4"/>
  <c r="G372" i="4"/>
  <c r="G363" i="4"/>
  <c r="G373" i="4"/>
  <c r="G366" i="4"/>
  <c r="G364" i="4"/>
  <c r="G365" i="4"/>
  <c r="G374" i="4"/>
  <c r="H335" i="4"/>
  <c r="H345" i="4"/>
  <c r="H336" i="4"/>
  <c r="H337" i="4"/>
  <c r="H338" i="4"/>
  <c r="H339" i="4"/>
  <c r="H340" i="4"/>
  <c r="H341" i="4"/>
  <c r="H333" i="4"/>
  <c r="H343" i="4"/>
  <c r="H334" i="4"/>
  <c r="H344" i="4"/>
  <c r="H342" i="4"/>
  <c r="I273" i="4"/>
  <c r="I276" i="4"/>
  <c r="I277" i="4"/>
  <c r="G247" i="4"/>
  <c r="G248" i="4"/>
  <c r="G249" i="4"/>
  <c r="G250" i="4"/>
  <c r="G251" i="4"/>
  <c r="G252" i="4"/>
  <c r="G243" i="4"/>
  <c r="G253" i="4"/>
  <c r="G246" i="4"/>
  <c r="G244" i="4"/>
  <c r="G245" i="4"/>
  <c r="G254" i="4"/>
  <c r="G255" i="4"/>
  <c r="I154" i="4"/>
  <c r="I160" i="4"/>
  <c r="I165" i="4"/>
  <c r="G117" i="4"/>
  <c r="G108" i="4"/>
  <c r="G118" i="4"/>
  <c r="G109" i="4"/>
  <c r="G119" i="4"/>
  <c r="G110" i="4"/>
  <c r="G120" i="4"/>
  <c r="G111" i="4"/>
  <c r="G112" i="4"/>
  <c r="G113" i="4"/>
  <c r="G116" i="4"/>
  <c r="G114" i="4"/>
  <c r="G115" i="4"/>
  <c r="H65" i="4"/>
  <c r="H75" i="4"/>
  <c r="H66" i="4"/>
  <c r="H67" i="4"/>
  <c r="H68" i="4"/>
  <c r="H69" i="4"/>
  <c r="H70" i="4"/>
  <c r="H71" i="4"/>
  <c r="H63" i="4"/>
  <c r="H73" i="4"/>
  <c r="H64" i="4"/>
  <c r="H74" i="4"/>
  <c r="H72" i="4"/>
  <c r="G1934" i="4"/>
  <c r="G1884" i="4"/>
  <c r="G1834" i="4"/>
  <c r="G1784" i="4"/>
  <c r="G1684" i="4"/>
  <c r="G1073" i="4"/>
  <c r="G675" i="4"/>
  <c r="G175" i="4"/>
  <c r="H1927" i="4"/>
  <c r="H1928" i="4"/>
  <c r="H1929" i="4"/>
  <c r="H1930" i="4"/>
  <c r="H1931" i="4"/>
  <c r="H1932" i="4"/>
  <c r="H1923" i="4"/>
  <c r="H1933" i="4"/>
  <c r="H1924" i="4"/>
  <c r="H1934" i="4"/>
  <c r="H1925" i="4"/>
  <c r="H1935" i="4"/>
  <c r="H1926" i="4"/>
  <c r="H1797" i="4"/>
  <c r="H1788" i="4"/>
  <c r="H1798" i="4"/>
  <c r="H1789" i="4"/>
  <c r="H1799" i="4"/>
  <c r="H1790" i="4"/>
  <c r="H1800" i="4"/>
  <c r="H1791" i="4"/>
  <c r="H1792" i="4"/>
  <c r="H1793" i="4"/>
  <c r="H1794" i="4"/>
  <c r="H1795" i="4"/>
  <c r="H1796" i="4"/>
  <c r="H1677" i="4"/>
  <c r="H1668" i="4"/>
  <c r="H1678" i="4"/>
  <c r="H1669" i="4"/>
  <c r="H1679" i="4"/>
  <c r="H1670" i="4"/>
  <c r="H1680" i="4"/>
  <c r="H1671" i="4"/>
  <c r="H1672" i="4"/>
  <c r="H1673" i="4"/>
  <c r="H1674" i="4"/>
  <c r="H1675" i="4"/>
  <c r="H1676" i="4"/>
  <c r="G1206" i="4"/>
  <c r="G1207" i="4"/>
  <c r="G1208" i="4"/>
  <c r="G1209" i="4"/>
  <c r="G1210" i="4"/>
  <c r="G1211" i="4"/>
  <c r="G1212" i="4"/>
  <c r="G1204" i="4"/>
  <c r="G1214" i="4"/>
  <c r="G1205" i="4"/>
  <c r="G1215" i="4"/>
  <c r="G727" i="4"/>
  <c r="G728" i="4"/>
  <c r="G729" i="4"/>
  <c r="G730" i="4"/>
  <c r="G731" i="4"/>
  <c r="G732" i="4"/>
  <c r="G723" i="4"/>
  <c r="G733" i="4"/>
  <c r="G726" i="4"/>
  <c r="G724" i="4"/>
  <c r="G734" i="4"/>
  <c r="G735" i="4"/>
  <c r="I387" i="4"/>
  <c r="I388" i="4"/>
  <c r="I384" i="4"/>
  <c r="I1418" i="4"/>
  <c r="I1419" i="4"/>
  <c r="I1420" i="4"/>
  <c r="I1421" i="4"/>
  <c r="I1422" i="4"/>
  <c r="I1413" i="4"/>
  <c r="I1423" i="4"/>
  <c r="I1414" i="4"/>
  <c r="I1424" i="4"/>
  <c r="I1417" i="4"/>
  <c r="I1415" i="4"/>
  <c r="I1416" i="4"/>
  <c r="I1425" i="4"/>
  <c r="H1088" i="4"/>
  <c r="H1089" i="4"/>
  <c r="H1090" i="4"/>
  <c r="H1091" i="4"/>
  <c r="H1092" i="4"/>
  <c r="H1083" i="4"/>
  <c r="H1093" i="4"/>
  <c r="H1084" i="4"/>
  <c r="H1094" i="4"/>
  <c r="H1085" i="4"/>
  <c r="H1095" i="4"/>
  <c r="H1086" i="4"/>
  <c r="H1087" i="4"/>
  <c r="H968" i="4"/>
  <c r="H969" i="4"/>
  <c r="H970" i="4"/>
  <c r="H971" i="4"/>
  <c r="H972" i="4"/>
  <c r="H963" i="4"/>
  <c r="H973" i="4"/>
  <c r="H964" i="4"/>
  <c r="H974" i="4"/>
  <c r="H965" i="4"/>
  <c r="H975" i="4"/>
  <c r="H966" i="4"/>
  <c r="H967" i="4"/>
  <c r="G757" i="4"/>
  <c r="G758" i="4"/>
  <c r="G760" i="4"/>
  <c r="G761" i="4"/>
  <c r="G762" i="4"/>
  <c r="G756" i="4"/>
  <c r="G753" i="4"/>
  <c r="G754" i="4"/>
  <c r="G755" i="4"/>
  <c r="G759" i="4"/>
  <c r="G764" i="4"/>
  <c r="G765" i="4"/>
  <c r="I409" i="4"/>
  <c r="I410" i="4"/>
  <c r="I417" i="4"/>
  <c r="I420" i="4"/>
  <c r="G1866" i="4"/>
  <c r="G1867" i="4"/>
  <c r="G1868" i="4"/>
  <c r="G1869" i="4"/>
  <c r="G1870" i="4"/>
  <c r="G1871" i="4"/>
  <c r="G1872" i="4"/>
  <c r="G1865" i="4"/>
  <c r="G1875" i="4"/>
  <c r="G1736" i="4"/>
  <c r="G1737" i="4"/>
  <c r="G1728" i="4"/>
  <c r="G1738" i="4"/>
  <c r="G1729" i="4"/>
  <c r="G1739" i="4"/>
  <c r="G1730" i="4"/>
  <c r="G1740" i="4"/>
  <c r="G1731" i="4"/>
  <c r="G1732" i="4"/>
  <c r="G1735" i="4"/>
  <c r="I1639" i="4"/>
  <c r="I1649" i="4"/>
  <c r="I1640" i="4"/>
  <c r="I1650" i="4"/>
  <c r="I1641" i="4"/>
  <c r="I1642" i="4"/>
  <c r="I1643" i="4"/>
  <c r="I1644" i="4"/>
  <c r="I1645" i="4"/>
  <c r="I1646" i="4"/>
  <c r="I1647" i="4"/>
  <c r="I1638" i="4"/>
  <c r="I1648" i="4"/>
  <c r="G1616" i="4"/>
  <c r="G1617" i="4"/>
  <c r="G1608" i="4"/>
  <c r="G1618" i="4"/>
  <c r="G1609" i="4"/>
  <c r="G1619" i="4"/>
  <c r="G1610" i="4"/>
  <c r="G1620" i="4"/>
  <c r="G1611" i="4"/>
  <c r="G1612" i="4"/>
  <c r="G1614" i="4"/>
  <c r="G1615" i="4"/>
  <c r="I1939" i="4"/>
  <c r="I1949" i="4"/>
  <c r="I1940" i="4"/>
  <c r="I1950" i="4"/>
  <c r="I1941" i="4"/>
  <c r="I1942" i="4"/>
  <c r="I1943" i="4"/>
  <c r="I1944" i="4"/>
  <c r="I1945" i="4"/>
  <c r="I1938" i="4"/>
  <c r="I1948" i="4"/>
  <c r="I1946" i="4"/>
  <c r="I1947" i="4"/>
  <c r="H1867" i="4"/>
  <c r="H1868" i="4"/>
  <c r="H1869" i="4"/>
  <c r="H1870" i="4"/>
  <c r="H1871" i="4"/>
  <c r="H1872" i="4"/>
  <c r="H1863" i="4"/>
  <c r="H1873" i="4"/>
  <c r="H1864" i="4"/>
  <c r="H1874" i="4"/>
  <c r="H1865" i="4"/>
  <c r="H1875" i="4"/>
  <c r="H1866" i="4"/>
  <c r="I1809" i="4"/>
  <c r="I1810" i="4"/>
  <c r="I1811" i="4"/>
  <c r="I1812" i="4"/>
  <c r="I1803" i="4"/>
  <c r="I1813" i="4"/>
  <c r="I1804" i="4"/>
  <c r="I1814" i="4"/>
  <c r="I1805" i="4"/>
  <c r="I1815" i="4"/>
  <c r="I1806" i="4"/>
  <c r="I1807" i="4"/>
  <c r="I1808" i="4"/>
  <c r="H1737" i="4"/>
  <c r="H1728" i="4"/>
  <c r="H1738" i="4"/>
  <c r="H1729" i="4"/>
  <c r="H1739" i="4"/>
  <c r="H1730" i="4"/>
  <c r="H1740" i="4"/>
  <c r="H1731" i="4"/>
  <c r="H1732" i="4"/>
  <c r="H1733" i="4"/>
  <c r="H1734" i="4"/>
  <c r="H1735" i="4"/>
  <c r="H1736" i="4"/>
  <c r="I1689" i="4"/>
  <c r="I1690" i="4"/>
  <c r="I1691" i="4"/>
  <c r="I1692" i="4"/>
  <c r="I1683" i="4"/>
  <c r="I1693" i="4"/>
  <c r="I1684" i="4"/>
  <c r="I1694" i="4"/>
  <c r="I1685" i="4"/>
  <c r="I1695" i="4"/>
  <c r="I1686" i="4"/>
  <c r="I1687" i="4"/>
  <c r="I1688" i="4"/>
  <c r="G1646" i="4"/>
  <c r="G1647" i="4"/>
  <c r="G1638" i="4"/>
  <c r="G1648" i="4"/>
  <c r="G1639" i="4"/>
  <c r="G1649" i="4"/>
  <c r="G1640" i="4"/>
  <c r="G1650" i="4"/>
  <c r="G1641" i="4"/>
  <c r="G1642" i="4"/>
  <c r="G1644" i="4"/>
  <c r="G1645" i="4"/>
  <c r="H1608" i="4"/>
  <c r="H1618" i="4"/>
  <c r="H1609" i="4"/>
  <c r="H1619" i="4"/>
  <c r="H1610" i="4"/>
  <c r="H1620" i="4"/>
  <c r="H1611" i="4"/>
  <c r="H1612" i="4"/>
  <c r="H1613" i="4"/>
  <c r="H1614" i="4"/>
  <c r="H1615" i="4"/>
  <c r="H1616" i="4"/>
  <c r="H1617" i="4"/>
  <c r="I1568" i="4"/>
  <c r="I1569" i="4"/>
  <c r="I1570" i="4"/>
  <c r="I1571" i="4"/>
  <c r="I1572" i="4"/>
  <c r="I1573" i="4"/>
  <c r="I1574" i="4"/>
  <c r="I1575" i="4"/>
  <c r="I1563" i="4"/>
  <c r="I1564" i="4"/>
  <c r="I1565" i="4"/>
  <c r="I1566" i="4"/>
  <c r="I1567" i="4"/>
  <c r="H1488" i="4"/>
  <c r="H1498" i="4"/>
  <c r="H1489" i="4"/>
  <c r="H1499" i="4"/>
  <c r="H1490" i="4"/>
  <c r="H1500" i="4"/>
  <c r="H1491" i="4"/>
  <c r="H1492" i="4"/>
  <c r="H1493" i="4"/>
  <c r="H1494" i="4"/>
  <c r="H1495" i="4"/>
  <c r="H1496" i="4"/>
  <c r="H1497" i="4"/>
  <c r="I1448" i="4"/>
  <c r="I1449" i="4"/>
  <c r="I1450" i="4"/>
  <c r="I1451" i="4"/>
  <c r="I1452" i="4"/>
  <c r="I1443" i="4"/>
  <c r="I1453" i="4"/>
  <c r="I1444" i="4"/>
  <c r="I1454" i="4"/>
  <c r="I1447" i="4"/>
  <c r="I1445" i="4"/>
  <c r="I1446" i="4"/>
  <c r="I1455" i="4"/>
  <c r="G1406" i="4"/>
  <c r="G1407" i="4"/>
  <c r="G1398" i="4"/>
  <c r="G1408" i="4"/>
  <c r="G1399" i="4"/>
  <c r="G1409" i="4"/>
  <c r="G1400" i="4"/>
  <c r="G1410" i="4"/>
  <c r="G1401" i="4"/>
  <c r="G1402" i="4"/>
  <c r="G1404" i="4"/>
  <c r="G1405" i="4"/>
  <c r="H1368" i="4"/>
  <c r="H1378" i="4"/>
  <c r="H1369" i="4"/>
  <c r="H1379" i="4"/>
  <c r="H1370" i="4"/>
  <c r="H1380" i="4"/>
  <c r="H1371" i="4"/>
  <c r="H1372" i="4"/>
  <c r="H1373" i="4"/>
  <c r="H1374" i="4"/>
  <c r="H1375" i="4"/>
  <c r="H1376" i="4"/>
  <c r="H1377" i="4"/>
  <c r="G1286" i="4"/>
  <c r="G1287" i="4"/>
  <c r="G1278" i="4"/>
  <c r="G1288" i="4"/>
  <c r="G1279" i="4"/>
  <c r="G1289" i="4"/>
  <c r="G1280" i="4"/>
  <c r="G1290" i="4"/>
  <c r="G1281" i="4"/>
  <c r="G1282" i="4"/>
  <c r="G1284" i="4"/>
  <c r="G1285" i="4"/>
  <c r="H1238" i="4"/>
  <c r="H1239" i="4"/>
  <c r="H1240" i="4"/>
  <c r="H1241" i="4"/>
  <c r="H1242" i="4"/>
  <c r="H1233" i="4"/>
  <c r="H1243" i="4"/>
  <c r="H1234" i="4"/>
  <c r="H1244" i="4"/>
  <c r="H1235" i="4"/>
  <c r="H1245" i="4"/>
  <c r="H1236" i="4"/>
  <c r="H1237" i="4"/>
  <c r="G1146" i="4"/>
  <c r="G1147" i="4"/>
  <c r="G1148" i="4"/>
  <c r="G1149" i="4"/>
  <c r="G1150" i="4"/>
  <c r="G1151" i="4"/>
  <c r="G1152" i="4"/>
  <c r="G1144" i="4"/>
  <c r="G1154" i="4"/>
  <c r="G1145" i="4"/>
  <c r="G1155" i="4"/>
  <c r="H1118" i="4"/>
  <c r="H1119" i="4"/>
  <c r="H1120" i="4"/>
  <c r="H1121" i="4"/>
  <c r="H1122" i="4"/>
  <c r="H1113" i="4"/>
  <c r="H1123" i="4"/>
  <c r="H1114" i="4"/>
  <c r="H1124" i="4"/>
  <c r="H1115" i="4"/>
  <c r="H1125" i="4"/>
  <c r="H1116" i="4"/>
  <c r="H1117" i="4"/>
  <c r="G1026" i="4"/>
  <c r="G1027" i="4"/>
  <c r="G1028" i="4"/>
  <c r="G1029" i="4"/>
  <c r="G1030" i="4"/>
  <c r="G1031" i="4"/>
  <c r="G1032" i="4"/>
  <c r="G1024" i="4"/>
  <c r="G1034" i="4"/>
  <c r="G1025" i="4"/>
  <c r="G1035" i="4"/>
  <c r="G907" i="4"/>
  <c r="G906" i="4"/>
  <c r="G912" i="4"/>
  <c r="G913" i="4"/>
  <c r="G914" i="4"/>
  <c r="G903" i="4"/>
  <c r="G915" i="4"/>
  <c r="G904" i="4"/>
  <c r="G905" i="4"/>
  <c r="G908" i="4"/>
  <c r="G910" i="4"/>
  <c r="G911" i="4"/>
  <c r="I818" i="4"/>
  <c r="I819" i="4"/>
  <c r="I820" i="4"/>
  <c r="I822" i="4"/>
  <c r="I816" i="4"/>
  <c r="I817" i="4"/>
  <c r="G787" i="4"/>
  <c r="G788" i="4"/>
  <c r="G790" i="4"/>
  <c r="G791" i="4"/>
  <c r="G792" i="4"/>
  <c r="G786" i="4"/>
  <c r="G794" i="4"/>
  <c r="G795" i="4"/>
  <c r="G783" i="4"/>
  <c r="G784" i="4"/>
  <c r="G789" i="4"/>
  <c r="G793" i="4"/>
  <c r="H745" i="4"/>
  <c r="H739" i="4"/>
  <c r="H750" i="4"/>
  <c r="H740" i="4"/>
  <c r="H741" i="4"/>
  <c r="H742" i="4"/>
  <c r="H743" i="4"/>
  <c r="H744" i="4"/>
  <c r="H746" i="4"/>
  <c r="H747" i="4"/>
  <c r="H748" i="4"/>
  <c r="H738" i="4"/>
  <c r="H749" i="4"/>
  <c r="I695" i="4"/>
  <c r="I698" i="4"/>
  <c r="I699" i="4"/>
  <c r="G657" i="4"/>
  <c r="G648" i="4"/>
  <c r="G658" i="4"/>
  <c r="G649" i="4"/>
  <c r="G659" i="4"/>
  <c r="G650" i="4"/>
  <c r="G660" i="4"/>
  <c r="G651" i="4"/>
  <c r="G652" i="4"/>
  <c r="G653" i="4"/>
  <c r="G656" i="4"/>
  <c r="G654" i="4"/>
  <c r="G655" i="4"/>
  <c r="H605" i="4"/>
  <c r="H615" i="4"/>
  <c r="H606" i="4"/>
  <c r="H607" i="4"/>
  <c r="H608" i="4"/>
  <c r="H609" i="4"/>
  <c r="H610" i="4"/>
  <c r="H611" i="4"/>
  <c r="H604" i="4"/>
  <c r="H614" i="4"/>
  <c r="H613" i="4"/>
  <c r="H603" i="4"/>
  <c r="H612" i="4"/>
  <c r="I562" i="4"/>
  <c r="I565" i="4"/>
  <c r="I566" i="4"/>
  <c r="G537" i="4"/>
  <c r="G528" i="4"/>
  <c r="G538" i="4"/>
  <c r="G529" i="4"/>
  <c r="G539" i="4"/>
  <c r="G530" i="4"/>
  <c r="G540" i="4"/>
  <c r="G531" i="4"/>
  <c r="G532" i="4"/>
  <c r="G533" i="4"/>
  <c r="G536" i="4"/>
  <c r="G534" i="4"/>
  <c r="G535" i="4"/>
  <c r="H485" i="4"/>
  <c r="H495" i="4"/>
  <c r="H486" i="4"/>
  <c r="H487" i="4"/>
  <c r="H488" i="4"/>
  <c r="H489" i="4"/>
  <c r="H490" i="4"/>
  <c r="H491" i="4"/>
  <c r="H484" i="4"/>
  <c r="H494" i="4"/>
  <c r="H483" i="4"/>
  <c r="H492" i="4"/>
  <c r="H493" i="4"/>
  <c r="I439" i="4"/>
  <c r="I443" i="4"/>
  <c r="I444" i="4"/>
  <c r="I450" i="4"/>
  <c r="H365" i="4"/>
  <c r="H375" i="4"/>
  <c r="H366" i="4"/>
  <c r="H367" i="4"/>
  <c r="H368" i="4"/>
  <c r="H369" i="4"/>
  <c r="H370" i="4"/>
  <c r="H371" i="4"/>
  <c r="H363" i="4"/>
  <c r="H373" i="4"/>
  <c r="H364" i="4"/>
  <c r="H374" i="4"/>
  <c r="H372" i="4"/>
  <c r="I322" i="4"/>
  <c r="I328" i="4"/>
  <c r="G277" i="4"/>
  <c r="G278" i="4"/>
  <c r="G279" i="4"/>
  <c r="G280" i="4"/>
  <c r="G281" i="4"/>
  <c r="G282" i="4"/>
  <c r="G273" i="4"/>
  <c r="G283" i="4"/>
  <c r="G276" i="4"/>
  <c r="G274" i="4"/>
  <c r="G284" i="4"/>
  <c r="G285" i="4"/>
  <c r="H245" i="4"/>
  <c r="H255" i="4"/>
  <c r="H246" i="4"/>
  <c r="H247" i="4"/>
  <c r="H248" i="4"/>
  <c r="H249" i="4"/>
  <c r="H250" i="4"/>
  <c r="H251" i="4"/>
  <c r="H243" i="4"/>
  <c r="H253" i="4"/>
  <c r="H244" i="4"/>
  <c r="H254" i="4"/>
  <c r="H252" i="4"/>
  <c r="I209" i="4"/>
  <c r="I198" i="4"/>
  <c r="I205" i="4"/>
  <c r="G157" i="4"/>
  <c r="G158" i="4"/>
  <c r="G159" i="4"/>
  <c r="G160" i="4"/>
  <c r="G161" i="4"/>
  <c r="G162" i="4"/>
  <c r="G153" i="4"/>
  <c r="G163" i="4"/>
  <c r="G156" i="4"/>
  <c r="G154" i="4"/>
  <c r="G155" i="4"/>
  <c r="G164" i="4"/>
  <c r="G165" i="4"/>
  <c r="H115" i="4"/>
  <c r="H116" i="4"/>
  <c r="H117" i="4"/>
  <c r="H108" i="4"/>
  <c r="H118" i="4"/>
  <c r="H109" i="4"/>
  <c r="H119" i="4"/>
  <c r="H110" i="4"/>
  <c r="H120" i="4"/>
  <c r="H111" i="4"/>
  <c r="H113" i="4"/>
  <c r="H114" i="4"/>
  <c r="H112" i="4"/>
  <c r="I56" i="4"/>
  <c r="I57" i="4"/>
  <c r="I48" i="4"/>
  <c r="I58" i="4"/>
  <c r="I49" i="4"/>
  <c r="I59" i="4"/>
  <c r="I51" i="4"/>
  <c r="I52" i="4"/>
  <c r="I53" i="4"/>
  <c r="I55" i="4"/>
  <c r="I60" i="4"/>
  <c r="I50" i="4"/>
  <c r="I54" i="4"/>
  <c r="G1933" i="4"/>
  <c r="G1783" i="4"/>
  <c r="G1733" i="4"/>
  <c r="G1603" i="4"/>
  <c r="G125" i="4"/>
  <c r="I763" i="4"/>
  <c r="I764" i="4"/>
  <c r="I765" i="4"/>
  <c r="I753" i="4"/>
  <c r="I754" i="4"/>
  <c r="I760" i="4"/>
  <c r="I762" i="4"/>
  <c r="I755" i="4"/>
  <c r="H425" i="4"/>
  <c r="H435" i="4"/>
  <c r="H426" i="4"/>
  <c r="H427" i="4"/>
  <c r="H428" i="4"/>
  <c r="H429" i="4"/>
  <c r="H430" i="4"/>
  <c r="H431" i="4"/>
  <c r="H424" i="4"/>
  <c r="H434" i="4"/>
  <c r="H423" i="4"/>
  <c r="H432" i="4"/>
  <c r="H433" i="4"/>
  <c r="G1886" i="4"/>
  <c r="G1887" i="4"/>
  <c r="G1878" i="4"/>
  <c r="G1888" i="4"/>
  <c r="G1879" i="4"/>
  <c r="G1889" i="4"/>
  <c r="G1880" i="4"/>
  <c r="G1890" i="4"/>
  <c r="G1881" i="4"/>
  <c r="G1882" i="4"/>
  <c r="G1885" i="4"/>
  <c r="H1707" i="4"/>
  <c r="H1698" i="4"/>
  <c r="H1708" i="4"/>
  <c r="H1699" i="4"/>
  <c r="H1709" i="4"/>
  <c r="H1700" i="4"/>
  <c r="H1710" i="4"/>
  <c r="H1701" i="4"/>
  <c r="H1702" i="4"/>
  <c r="H1703" i="4"/>
  <c r="H1704" i="4"/>
  <c r="H1705" i="4"/>
  <c r="H1706" i="4"/>
  <c r="G1626" i="4"/>
  <c r="G1627" i="4"/>
  <c r="G1628" i="4"/>
  <c r="G1629" i="4"/>
  <c r="G1630" i="4"/>
  <c r="G1631" i="4"/>
  <c r="G1632" i="4"/>
  <c r="G1624" i="4"/>
  <c r="G1634" i="4"/>
  <c r="G1625" i="4"/>
  <c r="G1635" i="4"/>
  <c r="G1946" i="4"/>
  <c r="G1947" i="4"/>
  <c r="G1938" i="4"/>
  <c r="G1948" i="4"/>
  <c r="G1939" i="4"/>
  <c r="G1949" i="4"/>
  <c r="G1940" i="4"/>
  <c r="G1950" i="4"/>
  <c r="G1941" i="4"/>
  <c r="G1942" i="4"/>
  <c r="G1945" i="4"/>
  <c r="I1849" i="4"/>
  <c r="I1859" i="4"/>
  <c r="I1850" i="4"/>
  <c r="I1860" i="4"/>
  <c r="I1851" i="4"/>
  <c r="I1852" i="4"/>
  <c r="I1853" i="4"/>
  <c r="I1854" i="4"/>
  <c r="I1855" i="4"/>
  <c r="I1857" i="4"/>
  <c r="I1848" i="4"/>
  <c r="I1858" i="4"/>
  <c r="I1856" i="4"/>
  <c r="G1806" i="4"/>
  <c r="G1807" i="4"/>
  <c r="G1808" i="4"/>
  <c r="G1809" i="4"/>
  <c r="G1810" i="4"/>
  <c r="G1811" i="4"/>
  <c r="G1812" i="4"/>
  <c r="G1805" i="4"/>
  <c r="G1815" i="4"/>
  <c r="I1719" i="4"/>
  <c r="I1720" i="4"/>
  <c r="I1721" i="4"/>
  <c r="I1722" i="4"/>
  <c r="I1713" i="4"/>
  <c r="I1723" i="4"/>
  <c r="I1714" i="4"/>
  <c r="I1724" i="4"/>
  <c r="I1715" i="4"/>
  <c r="I1725" i="4"/>
  <c r="I1716" i="4"/>
  <c r="I1717" i="4"/>
  <c r="I1718" i="4"/>
  <c r="G1686" i="4"/>
  <c r="G1687" i="4"/>
  <c r="G1688" i="4"/>
  <c r="G1689" i="4"/>
  <c r="G1690" i="4"/>
  <c r="G1691" i="4"/>
  <c r="G1692" i="4"/>
  <c r="G1685" i="4"/>
  <c r="G1695" i="4"/>
  <c r="H1638" i="4"/>
  <c r="H1639" i="4"/>
  <c r="H1640" i="4"/>
  <c r="H1647" i="4"/>
  <c r="H1648" i="4"/>
  <c r="H1649" i="4"/>
  <c r="H1650" i="4"/>
  <c r="H1641" i="4"/>
  <c r="H1642" i="4"/>
  <c r="H1643" i="4"/>
  <c r="H1644" i="4"/>
  <c r="H1645" i="4"/>
  <c r="H1646" i="4"/>
  <c r="I1598" i="4"/>
  <c r="I1597" i="4"/>
  <c r="I1599" i="4"/>
  <c r="I1600" i="4"/>
  <c r="I1601" i="4"/>
  <c r="I1602" i="4"/>
  <c r="I1603" i="4"/>
  <c r="I1593" i="4"/>
  <c r="I1604" i="4"/>
  <c r="I1594" i="4"/>
  <c r="I1605" i="4"/>
  <c r="I1595" i="4"/>
  <c r="I1596" i="4"/>
  <c r="G1566" i="4"/>
  <c r="G1567" i="4"/>
  <c r="G1568" i="4"/>
  <c r="G1569" i="4"/>
  <c r="G1570" i="4"/>
  <c r="G1571" i="4"/>
  <c r="G1572" i="4"/>
  <c r="G1564" i="4"/>
  <c r="G1574" i="4"/>
  <c r="G1565" i="4"/>
  <c r="G1575" i="4"/>
  <c r="I1478" i="4"/>
  <c r="I1479" i="4"/>
  <c r="I1480" i="4"/>
  <c r="I1481" i="4"/>
  <c r="I1482" i="4"/>
  <c r="I1473" i="4"/>
  <c r="I1483" i="4"/>
  <c r="I1474" i="4"/>
  <c r="I1484" i="4"/>
  <c r="I1477" i="4"/>
  <c r="I1475" i="4"/>
  <c r="I1476" i="4"/>
  <c r="I1485" i="4"/>
  <c r="G1446" i="4"/>
  <c r="G1447" i="4"/>
  <c r="G1448" i="4"/>
  <c r="G1449" i="4"/>
  <c r="G1450" i="4"/>
  <c r="G1451" i="4"/>
  <c r="G1452" i="4"/>
  <c r="G1444" i="4"/>
  <c r="G1454" i="4"/>
  <c r="G1445" i="4"/>
  <c r="G1455" i="4"/>
  <c r="H1398" i="4"/>
  <c r="H1408" i="4"/>
  <c r="H1399" i="4"/>
  <c r="H1409" i="4"/>
  <c r="H1400" i="4"/>
  <c r="H1410" i="4"/>
  <c r="H1401" i="4"/>
  <c r="H1402" i="4"/>
  <c r="H1403" i="4"/>
  <c r="H1404" i="4"/>
  <c r="H1405" i="4"/>
  <c r="H1406" i="4"/>
  <c r="H1407" i="4"/>
  <c r="I1358" i="4"/>
  <c r="I1359" i="4"/>
  <c r="I1360" i="4"/>
  <c r="I1361" i="4"/>
  <c r="I1362" i="4"/>
  <c r="I1353" i="4"/>
  <c r="I1363" i="4"/>
  <c r="I1354" i="4"/>
  <c r="I1364" i="4"/>
  <c r="I1357" i="4"/>
  <c r="I1355" i="4"/>
  <c r="I1356" i="4"/>
  <c r="I1365" i="4"/>
  <c r="H1278" i="4"/>
  <c r="H1288" i="4"/>
  <c r="H1279" i="4"/>
  <c r="H1289" i="4"/>
  <c r="H1280" i="4"/>
  <c r="H1290" i="4"/>
  <c r="H1281" i="4"/>
  <c r="H1282" i="4"/>
  <c r="H1283" i="4"/>
  <c r="H1284" i="4"/>
  <c r="H1285" i="4"/>
  <c r="H1286" i="4"/>
  <c r="H1287" i="4"/>
  <c r="I1218" i="4"/>
  <c r="I1228" i="4"/>
  <c r="I1219" i="4"/>
  <c r="I1229" i="4"/>
  <c r="I1220" i="4"/>
  <c r="I1230" i="4"/>
  <c r="I1221" i="4"/>
  <c r="I1222" i="4"/>
  <c r="I1223" i="4"/>
  <c r="I1224" i="4"/>
  <c r="I1227" i="4"/>
  <c r="I1225" i="4"/>
  <c r="I1226" i="4"/>
  <c r="H1148" i="4"/>
  <c r="H1149" i="4"/>
  <c r="H1150" i="4"/>
  <c r="H1151" i="4"/>
  <c r="H1152" i="4"/>
  <c r="H1143" i="4"/>
  <c r="H1153" i="4"/>
  <c r="H1144" i="4"/>
  <c r="H1154" i="4"/>
  <c r="H1145" i="4"/>
  <c r="H1155" i="4"/>
  <c r="H1146" i="4"/>
  <c r="H1147" i="4"/>
  <c r="I1098" i="4"/>
  <c r="I1108" i="4"/>
  <c r="I1099" i="4"/>
  <c r="I1109" i="4"/>
  <c r="I1100" i="4"/>
  <c r="I1110" i="4"/>
  <c r="I1101" i="4"/>
  <c r="I1102" i="4"/>
  <c r="I1103" i="4"/>
  <c r="I1104" i="4"/>
  <c r="I1106" i="4"/>
  <c r="I1107" i="4"/>
  <c r="I1105" i="4"/>
  <c r="H1028" i="4"/>
  <c r="H1029" i="4"/>
  <c r="H1030" i="4"/>
  <c r="H1031" i="4"/>
  <c r="H1032" i="4"/>
  <c r="H1023" i="4"/>
  <c r="H1033" i="4"/>
  <c r="H1024" i="4"/>
  <c r="H1034" i="4"/>
  <c r="H1025" i="4"/>
  <c r="H1035" i="4"/>
  <c r="H1026" i="4"/>
  <c r="H1027" i="4"/>
  <c r="I978" i="4"/>
  <c r="I988" i="4"/>
  <c r="I979" i="4"/>
  <c r="I989" i="4"/>
  <c r="I980" i="4"/>
  <c r="I990" i="4"/>
  <c r="I981" i="4"/>
  <c r="I982" i="4"/>
  <c r="I983" i="4"/>
  <c r="I984" i="4"/>
  <c r="I986" i="4"/>
  <c r="I987" i="4"/>
  <c r="I985" i="4"/>
  <c r="H908" i="4"/>
  <c r="H909" i="4"/>
  <c r="H910" i="4"/>
  <c r="H911" i="4"/>
  <c r="H912" i="4"/>
  <c r="H903" i="4"/>
  <c r="H913" i="4"/>
  <c r="H904" i="4"/>
  <c r="H914" i="4"/>
  <c r="H905" i="4"/>
  <c r="H915" i="4"/>
  <c r="H906" i="4"/>
  <c r="H907" i="4"/>
  <c r="I860" i="4"/>
  <c r="I862" i="4"/>
  <c r="I863" i="4"/>
  <c r="I864" i="4"/>
  <c r="I865" i="4"/>
  <c r="I866" i="4"/>
  <c r="G817" i="4"/>
  <c r="G818" i="4"/>
  <c r="G816" i="4"/>
  <c r="G813" i="4"/>
  <c r="G814" i="4"/>
  <c r="G815" i="4"/>
  <c r="G819" i="4"/>
  <c r="G820" i="4"/>
  <c r="G821" i="4"/>
  <c r="G822" i="4"/>
  <c r="G824" i="4"/>
  <c r="G825" i="4"/>
  <c r="H785" i="4"/>
  <c r="H795" i="4"/>
  <c r="H783" i="4"/>
  <c r="H794" i="4"/>
  <c r="H784" i="4"/>
  <c r="H786" i="4"/>
  <c r="H787" i="4"/>
  <c r="H788" i="4"/>
  <c r="H789" i="4"/>
  <c r="H790" i="4"/>
  <c r="H791" i="4"/>
  <c r="H792" i="4"/>
  <c r="H793" i="4"/>
  <c r="G697" i="4"/>
  <c r="G698" i="4"/>
  <c r="G699" i="4"/>
  <c r="G700" i="4"/>
  <c r="G701" i="4"/>
  <c r="G702" i="4"/>
  <c r="G693" i="4"/>
  <c r="G703" i="4"/>
  <c r="G696" i="4"/>
  <c r="G694" i="4"/>
  <c r="G695" i="4"/>
  <c r="G704" i="4"/>
  <c r="G705" i="4"/>
  <c r="H655" i="4"/>
  <c r="H656" i="4"/>
  <c r="H657" i="4"/>
  <c r="H648" i="4"/>
  <c r="H658" i="4"/>
  <c r="H649" i="4"/>
  <c r="H659" i="4"/>
  <c r="H650" i="4"/>
  <c r="H660" i="4"/>
  <c r="H651" i="4"/>
  <c r="H654" i="4"/>
  <c r="H652" i="4"/>
  <c r="H653" i="4"/>
  <c r="G567" i="4"/>
  <c r="G558" i="4"/>
  <c r="G568" i="4"/>
  <c r="G559" i="4"/>
  <c r="G569" i="4"/>
  <c r="G560" i="4"/>
  <c r="G570" i="4"/>
  <c r="G561" i="4"/>
  <c r="G562" i="4"/>
  <c r="G563" i="4"/>
  <c r="G566" i="4"/>
  <c r="G564" i="4"/>
  <c r="G565" i="4"/>
  <c r="H535" i="4"/>
  <c r="H536" i="4"/>
  <c r="H537" i="4"/>
  <c r="H528" i="4"/>
  <c r="H538" i="4"/>
  <c r="H529" i="4"/>
  <c r="H539" i="4"/>
  <c r="H530" i="4"/>
  <c r="H540" i="4"/>
  <c r="H531" i="4"/>
  <c r="H534" i="4"/>
  <c r="H532" i="4"/>
  <c r="H533" i="4"/>
  <c r="I473" i="4"/>
  <c r="I476" i="4"/>
  <c r="I477" i="4"/>
  <c r="G447" i="4"/>
  <c r="G438" i="4"/>
  <c r="G448" i="4"/>
  <c r="G439" i="4"/>
  <c r="G449" i="4"/>
  <c r="G440" i="4"/>
  <c r="G450" i="4"/>
  <c r="G441" i="4"/>
  <c r="G442" i="4"/>
  <c r="G443" i="4"/>
  <c r="G446" i="4"/>
  <c r="G444" i="4"/>
  <c r="G445" i="4"/>
  <c r="I350" i="4"/>
  <c r="I354" i="4"/>
  <c r="G327" i="4"/>
  <c r="G318" i="4"/>
  <c r="G328" i="4"/>
  <c r="G319" i="4"/>
  <c r="G329" i="4"/>
  <c r="G320" i="4"/>
  <c r="G330" i="4"/>
  <c r="G321" i="4"/>
  <c r="G322" i="4"/>
  <c r="G323" i="4"/>
  <c r="G326" i="4"/>
  <c r="G324" i="4"/>
  <c r="H275" i="4"/>
  <c r="H285" i="4"/>
  <c r="H276" i="4"/>
  <c r="H277" i="4"/>
  <c r="H278" i="4"/>
  <c r="H279" i="4"/>
  <c r="H280" i="4"/>
  <c r="H281" i="4"/>
  <c r="H273" i="4"/>
  <c r="H283" i="4"/>
  <c r="H274" i="4"/>
  <c r="H284" i="4"/>
  <c r="H282" i="4"/>
  <c r="I228" i="4"/>
  <c r="I232" i="4"/>
  <c r="I233" i="4"/>
  <c r="I239" i="4"/>
  <c r="G207" i="4"/>
  <c r="G198" i="4"/>
  <c r="G208" i="4"/>
  <c r="G199" i="4"/>
  <c r="G209" i="4"/>
  <c r="G200" i="4"/>
  <c r="G210" i="4"/>
  <c r="G201" i="4"/>
  <c r="G202" i="4"/>
  <c r="G203" i="4"/>
  <c r="G206" i="4"/>
  <c r="G204" i="4"/>
  <c r="G205" i="4"/>
  <c r="H155" i="4"/>
  <c r="H165" i="4"/>
  <c r="H156" i="4"/>
  <c r="H157" i="4"/>
  <c r="H158" i="4"/>
  <c r="H159" i="4"/>
  <c r="H160" i="4"/>
  <c r="H161" i="4"/>
  <c r="H153" i="4"/>
  <c r="H163" i="4"/>
  <c r="H154" i="4"/>
  <c r="H164" i="4"/>
  <c r="H162" i="4"/>
  <c r="I99" i="4"/>
  <c r="I100" i="4"/>
  <c r="I102" i="4"/>
  <c r="I103" i="4"/>
  <c r="I94" i="4"/>
  <c r="I105" i="4"/>
  <c r="I95" i="4"/>
  <c r="I96" i="4"/>
  <c r="I98" i="4"/>
  <c r="I97" i="4"/>
  <c r="I104" i="4"/>
  <c r="G57" i="4"/>
  <c r="G48" i="4"/>
  <c r="G58" i="4"/>
  <c r="G49" i="4"/>
  <c r="G59" i="4"/>
  <c r="G50" i="4"/>
  <c r="G60" i="4"/>
  <c r="G51" i="4"/>
  <c r="G52" i="4"/>
  <c r="G53" i="4"/>
  <c r="G56" i="4"/>
  <c r="G54" i="4"/>
  <c r="G55" i="4"/>
  <c r="G1924" i="4"/>
  <c r="G1874" i="4"/>
  <c r="G1824" i="4"/>
  <c r="G1774" i="4"/>
  <c r="G1674" i="4"/>
  <c r="G575" i="4"/>
  <c r="G75" i="4"/>
  <c r="G1836" i="4"/>
  <c r="G1837" i="4"/>
  <c r="G1838" i="4"/>
  <c r="G1839" i="4"/>
  <c r="G1840" i="4"/>
  <c r="G1841" i="4"/>
  <c r="G1842" i="4"/>
  <c r="G1835" i="4"/>
  <c r="G1845" i="4"/>
  <c r="G1706" i="4"/>
  <c r="G1707" i="4"/>
  <c r="G1698" i="4"/>
  <c r="G1708" i="4"/>
  <c r="G1699" i="4"/>
  <c r="G1709" i="4"/>
  <c r="G1700" i="4"/>
  <c r="G1710" i="4"/>
  <c r="G1701" i="4"/>
  <c r="G1702" i="4"/>
  <c r="G1705" i="4"/>
  <c r="I1629" i="4"/>
  <c r="I1630" i="4"/>
  <c r="I1631" i="4"/>
  <c r="I1632" i="4"/>
  <c r="I1623" i="4"/>
  <c r="I1633" i="4"/>
  <c r="I1624" i="4"/>
  <c r="I1634" i="4"/>
  <c r="I1625" i="4"/>
  <c r="I1635" i="4"/>
  <c r="I1626" i="4"/>
  <c r="I1627" i="4"/>
  <c r="I1628" i="4"/>
  <c r="G966" i="4"/>
  <c r="G967" i="4"/>
  <c r="G968" i="4"/>
  <c r="G969" i="4"/>
  <c r="G970" i="4"/>
  <c r="G971" i="4"/>
  <c r="G972" i="4"/>
  <c r="G964" i="4"/>
  <c r="G974" i="4"/>
  <c r="G965" i="4"/>
  <c r="G975" i="4"/>
  <c r="G847" i="4"/>
  <c r="G846" i="4"/>
  <c r="G854" i="4"/>
  <c r="G843" i="4"/>
  <c r="G855" i="4"/>
  <c r="G844" i="4"/>
  <c r="G845" i="4"/>
  <c r="G848" i="4"/>
  <c r="G849" i="4"/>
  <c r="G850" i="4"/>
  <c r="G852" i="4"/>
  <c r="G853" i="4"/>
  <c r="H805" i="4"/>
  <c r="H806" i="4"/>
  <c r="H807" i="4"/>
  <c r="H808" i="4"/>
  <c r="H798" i="4"/>
  <c r="H809" i="4"/>
  <c r="H799" i="4"/>
  <c r="H810" i="4"/>
  <c r="H800" i="4"/>
  <c r="H801" i="4"/>
  <c r="H802" i="4"/>
  <c r="H803" i="4"/>
  <c r="H804" i="4"/>
  <c r="H1837" i="4"/>
  <c r="H1838" i="4"/>
  <c r="H1839" i="4"/>
  <c r="H1840" i="4"/>
  <c r="H1841" i="4"/>
  <c r="H1842" i="4"/>
  <c r="H1833" i="4"/>
  <c r="H1843" i="4"/>
  <c r="H1834" i="4"/>
  <c r="H1844" i="4"/>
  <c r="H1835" i="4"/>
  <c r="H1845" i="4"/>
  <c r="H1836" i="4"/>
  <c r="I1659" i="4"/>
  <c r="I1660" i="4"/>
  <c r="I1661" i="4"/>
  <c r="I1662" i="4"/>
  <c r="I1653" i="4"/>
  <c r="I1663" i="4"/>
  <c r="I1654" i="4"/>
  <c r="I1664" i="4"/>
  <c r="I1655" i="4"/>
  <c r="I1665" i="4"/>
  <c r="I1656" i="4"/>
  <c r="I1657" i="4"/>
  <c r="I1658" i="4"/>
  <c r="H1578" i="4"/>
  <c r="H1588" i="4"/>
  <c r="H1579" i="4"/>
  <c r="H1589" i="4"/>
  <c r="H1580" i="4"/>
  <c r="H1590" i="4"/>
  <c r="H1581" i="4"/>
  <c r="H1582" i="4"/>
  <c r="H1583" i="4"/>
  <c r="H1584" i="4"/>
  <c r="H1585" i="4"/>
  <c r="H1586" i="4"/>
  <c r="H1587" i="4"/>
  <c r="H1208" i="4"/>
  <c r="H1209" i="4"/>
  <c r="H1210" i="4"/>
  <c r="H1211" i="4"/>
  <c r="H1212" i="4"/>
  <c r="H1203" i="4"/>
  <c r="H1213" i="4"/>
  <c r="H1204" i="4"/>
  <c r="H1214" i="4"/>
  <c r="H1205" i="4"/>
  <c r="H1215" i="4"/>
  <c r="H1206" i="4"/>
  <c r="H1207" i="4"/>
  <c r="H595" i="4"/>
  <c r="H596" i="4"/>
  <c r="H597" i="4"/>
  <c r="H588" i="4"/>
  <c r="H598" i="4"/>
  <c r="H589" i="4"/>
  <c r="H599" i="4"/>
  <c r="H590" i="4"/>
  <c r="H600" i="4"/>
  <c r="H591" i="4"/>
  <c r="H594" i="4"/>
  <c r="H592" i="4"/>
  <c r="H593" i="4"/>
  <c r="H1947" i="4"/>
  <c r="H1938" i="4"/>
  <c r="H1948" i="4"/>
  <c r="H1939" i="4"/>
  <c r="H1949" i="4"/>
  <c r="H1940" i="4"/>
  <c r="H1950" i="4"/>
  <c r="H1941" i="4"/>
  <c r="H1942" i="4"/>
  <c r="H1943" i="4"/>
  <c r="H1944" i="4"/>
  <c r="H1945" i="4"/>
  <c r="H1946" i="4"/>
  <c r="H1807" i="4"/>
  <c r="H1808" i="4"/>
  <c r="H1809" i="4"/>
  <c r="H1810" i="4"/>
  <c r="H1811" i="4"/>
  <c r="H1812" i="4"/>
  <c r="H1803" i="4"/>
  <c r="H1813" i="4"/>
  <c r="H1804" i="4"/>
  <c r="H1814" i="4"/>
  <c r="H1805" i="4"/>
  <c r="H1815" i="4"/>
  <c r="H1806" i="4"/>
  <c r="G1716" i="4"/>
  <c r="G1717" i="4"/>
  <c r="G1718" i="4"/>
  <c r="G1719" i="4"/>
  <c r="G1720" i="4"/>
  <c r="G1721" i="4"/>
  <c r="G1722" i="4"/>
  <c r="G1715" i="4"/>
  <c r="G1725" i="4"/>
  <c r="G1596" i="4"/>
  <c r="G1597" i="4"/>
  <c r="G1598" i="4"/>
  <c r="G1599" i="4"/>
  <c r="G1600" i="4"/>
  <c r="G1601" i="4"/>
  <c r="G1602" i="4"/>
  <c r="G1594" i="4"/>
  <c r="G1604" i="4"/>
  <c r="G1595" i="4"/>
  <c r="G1605" i="4"/>
  <c r="H1448" i="4"/>
  <c r="H1449" i="4"/>
  <c r="H1450" i="4"/>
  <c r="H1451" i="4"/>
  <c r="H1452" i="4"/>
  <c r="H1443" i="4"/>
  <c r="H1453" i="4"/>
  <c r="H1444" i="4"/>
  <c r="H1454" i="4"/>
  <c r="H1445" i="4"/>
  <c r="H1455" i="4"/>
  <c r="H1446" i="4"/>
  <c r="H1447" i="4"/>
  <c r="I1268" i="4"/>
  <c r="I1269" i="4"/>
  <c r="I1270" i="4"/>
  <c r="I1271" i="4"/>
  <c r="I1272" i="4"/>
  <c r="I1263" i="4"/>
  <c r="I1273" i="4"/>
  <c r="I1264" i="4"/>
  <c r="I1274" i="4"/>
  <c r="I1267" i="4"/>
  <c r="I1265" i="4"/>
  <c r="I1266" i="4"/>
  <c r="I1275" i="4"/>
  <c r="G1106" i="4"/>
  <c r="G1107" i="4"/>
  <c r="G1098" i="4"/>
  <c r="G1108" i="4"/>
  <c r="G1099" i="4"/>
  <c r="G1109" i="4"/>
  <c r="G1100" i="4"/>
  <c r="G1110" i="4"/>
  <c r="G1101" i="4"/>
  <c r="G1102" i="4"/>
  <c r="G1104" i="4"/>
  <c r="G1105" i="4"/>
  <c r="I1008" i="4"/>
  <c r="I1018" i="4"/>
  <c r="I1009" i="4"/>
  <c r="I1019" i="4"/>
  <c r="I1010" i="4"/>
  <c r="I1020" i="4"/>
  <c r="I1011" i="4"/>
  <c r="I1012" i="4"/>
  <c r="I1013" i="4"/>
  <c r="I1014" i="4"/>
  <c r="I1016" i="4"/>
  <c r="I1017" i="4"/>
  <c r="I1015" i="4"/>
  <c r="G986" i="4"/>
  <c r="G987" i="4"/>
  <c r="G978" i="4"/>
  <c r="G988" i="4"/>
  <c r="G979" i="4"/>
  <c r="G989" i="4"/>
  <c r="G980" i="4"/>
  <c r="G990" i="4"/>
  <c r="G981" i="4"/>
  <c r="G982" i="4"/>
  <c r="G984" i="4"/>
  <c r="G985" i="4"/>
  <c r="I894" i="4"/>
  <c r="I895" i="4"/>
  <c r="I896" i="4"/>
  <c r="I897" i="4"/>
  <c r="I898" i="4"/>
  <c r="I899" i="4"/>
  <c r="I888" i="4"/>
  <c r="G867" i="4"/>
  <c r="G866" i="4"/>
  <c r="G868" i="4"/>
  <c r="G869" i="4"/>
  <c r="G858" i="4"/>
  <c r="G870" i="4"/>
  <c r="G859" i="4"/>
  <c r="G860" i="4"/>
  <c r="G861" i="4"/>
  <c r="G862" i="4"/>
  <c r="G864" i="4"/>
  <c r="G865" i="4"/>
  <c r="H815" i="4"/>
  <c r="H825" i="4"/>
  <c r="H817" i="4"/>
  <c r="H818" i="4"/>
  <c r="H819" i="4"/>
  <c r="H820" i="4"/>
  <c r="H821" i="4"/>
  <c r="H822" i="4"/>
  <c r="H823" i="4"/>
  <c r="H813" i="4"/>
  <c r="H824" i="4"/>
  <c r="H814" i="4"/>
  <c r="H816" i="4"/>
  <c r="I772" i="4"/>
  <c r="I773" i="4"/>
  <c r="I774" i="4"/>
  <c r="I776" i="4"/>
  <c r="I777" i="4"/>
  <c r="I775" i="4"/>
  <c r="H695" i="4"/>
  <c r="H705" i="4"/>
  <c r="H696" i="4"/>
  <c r="H697" i="4"/>
  <c r="H698" i="4"/>
  <c r="H699" i="4"/>
  <c r="H700" i="4"/>
  <c r="H701" i="4"/>
  <c r="H694" i="4"/>
  <c r="H704" i="4"/>
  <c r="H693" i="4"/>
  <c r="H702" i="4"/>
  <c r="H703" i="4"/>
  <c r="I633" i="4"/>
  <c r="I639" i="4"/>
  <c r="I644" i="4"/>
  <c r="I643" i="4"/>
  <c r="H565" i="4"/>
  <c r="H566" i="4"/>
  <c r="H567" i="4"/>
  <c r="H558" i="4"/>
  <c r="H568" i="4"/>
  <c r="H559" i="4"/>
  <c r="H569" i="4"/>
  <c r="H560" i="4"/>
  <c r="H570" i="4"/>
  <c r="H561" i="4"/>
  <c r="H564" i="4"/>
  <c r="H563" i="4"/>
  <c r="H562" i="4"/>
  <c r="I517" i="4"/>
  <c r="I520" i="4"/>
  <c r="I522" i="4"/>
  <c r="G477" i="4"/>
  <c r="G468" i="4"/>
  <c r="G478" i="4"/>
  <c r="G469" i="4"/>
  <c r="G479" i="4"/>
  <c r="G470" i="4"/>
  <c r="G480" i="4"/>
  <c r="G471" i="4"/>
  <c r="G472" i="4"/>
  <c r="G473" i="4"/>
  <c r="G476" i="4"/>
  <c r="G474" i="4"/>
  <c r="H445" i="4"/>
  <c r="H446" i="4"/>
  <c r="H447" i="4"/>
  <c r="H438" i="4"/>
  <c r="H448" i="4"/>
  <c r="H439" i="4"/>
  <c r="H449" i="4"/>
  <c r="H440" i="4"/>
  <c r="H450" i="4"/>
  <c r="H441" i="4"/>
  <c r="H444" i="4"/>
  <c r="H442" i="4"/>
  <c r="H443" i="4"/>
  <c r="I398" i="4"/>
  <c r="I399" i="4"/>
  <c r="G357" i="4"/>
  <c r="G348" i="4"/>
  <c r="G358" i="4"/>
  <c r="G349" i="4"/>
  <c r="G359" i="4"/>
  <c r="G350" i="4"/>
  <c r="G360" i="4"/>
  <c r="G351" i="4"/>
  <c r="G352" i="4"/>
  <c r="G353" i="4"/>
  <c r="G356" i="4"/>
  <c r="G354" i="4"/>
  <c r="G355" i="4"/>
  <c r="H325" i="4"/>
  <c r="H326" i="4"/>
  <c r="H327" i="4"/>
  <c r="H318" i="4"/>
  <c r="H328" i="4"/>
  <c r="H319" i="4"/>
  <c r="H329" i="4"/>
  <c r="H320" i="4"/>
  <c r="H330" i="4"/>
  <c r="H321" i="4"/>
  <c r="H323" i="4"/>
  <c r="H324" i="4"/>
  <c r="H322" i="4"/>
  <c r="G237" i="4"/>
  <c r="G228" i="4"/>
  <c r="G238" i="4"/>
  <c r="G229" i="4"/>
  <c r="G239" i="4"/>
  <c r="G230" i="4"/>
  <c r="G240" i="4"/>
  <c r="G231" i="4"/>
  <c r="G232" i="4"/>
  <c r="G233" i="4"/>
  <c r="G236" i="4"/>
  <c r="G234" i="4"/>
  <c r="G235" i="4"/>
  <c r="H205" i="4"/>
  <c r="H206" i="4"/>
  <c r="H207" i="4"/>
  <c r="H198" i="4"/>
  <c r="H208" i="4"/>
  <c r="H199" i="4"/>
  <c r="H209" i="4"/>
  <c r="H200" i="4"/>
  <c r="H210" i="4"/>
  <c r="H201" i="4"/>
  <c r="H203" i="4"/>
  <c r="H204" i="4"/>
  <c r="H202" i="4"/>
  <c r="I138" i="4"/>
  <c r="I143" i="4"/>
  <c r="I149" i="4"/>
  <c r="G97" i="4"/>
  <c r="G98" i="4"/>
  <c r="G99" i="4"/>
  <c r="G100" i="4"/>
  <c r="G101" i="4"/>
  <c r="G102" i="4"/>
  <c r="G93" i="4"/>
  <c r="G103" i="4"/>
  <c r="G96" i="4"/>
  <c r="G94" i="4"/>
  <c r="G95" i="4"/>
  <c r="G104" i="4"/>
  <c r="G105" i="4"/>
  <c r="H55" i="4"/>
  <c r="H56" i="4"/>
  <c r="H57" i="4"/>
  <c r="H48" i="4"/>
  <c r="H58" i="4"/>
  <c r="H49" i="4"/>
  <c r="H59" i="4"/>
  <c r="H50" i="4"/>
  <c r="H60" i="4"/>
  <c r="H51" i="4"/>
  <c r="H53" i="4"/>
  <c r="H54" i="4"/>
  <c r="H52" i="4"/>
  <c r="G1923" i="4"/>
  <c r="G1873" i="4"/>
  <c r="G1823" i="4"/>
  <c r="G1773" i="4"/>
  <c r="G1723" i="4"/>
  <c r="G1673" i="4"/>
  <c r="G1583" i="4"/>
  <c r="G851" i="4"/>
  <c r="G25" i="4"/>
  <c r="H1428" i="4"/>
  <c r="H1438" i="4"/>
  <c r="H1429" i="4"/>
  <c r="H1439" i="4"/>
  <c r="H1430" i="4"/>
  <c r="H1440" i="4"/>
  <c r="H1431" i="4"/>
  <c r="H1432" i="4"/>
  <c r="H1433" i="4"/>
  <c r="H1434" i="4"/>
  <c r="H1435" i="4"/>
  <c r="H1436" i="4"/>
  <c r="H1437" i="4"/>
  <c r="G1086" i="4"/>
  <c r="G1087" i="4"/>
  <c r="G1088" i="4"/>
  <c r="G1089" i="4"/>
  <c r="G1090" i="4"/>
  <c r="G1091" i="4"/>
  <c r="G1092" i="4"/>
  <c r="G1084" i="4"/>
  <c r="G1094" i="4"/>
  <c r="G1085" i="4"/>
  <c r="G1095" i="4"/>
  <c r="H685" i="4"/>
  <c r="H686" i="4"/>
  <c r="H687" i="4"/>
  <c r="H678" i="4"/>
  <c r="H688" i="4"/>
  <c r="H679" i="4"/>
  <c r="H689" i="4"/>
  <c r="H680" i="4"/>
  <c r="H690" i="4"/>
  <c r="H681" i="4"/>
  <c r="H684" i="4"/>
  <c r="H682" i="4"/>
  <c r="H683" i="4"/>
  <c r="H305" i="4"/>
  <c r="H315" i="4"/>
  <c r="H306" i="4"/>
  <c r="H307" i="4"/>
  <c r="H308" i="4"/>
  <c r="H309" i="4"/>
  <c r="H310" i="4"/>
  <c r="H311" i="4"/>
  <c r="H303" i="4"/>
  <c r="H313" i="4"/>
  <c r="H304" i="4"/>
  <c r="H314" i="4"/>
  <c r="H312" i="4"/>
  <c r="G1746" i="4"/>
  <c r="G1747" i="4"/>
  <c r="G1748" i="4"/>
  <c r="G1749" i="4"/>
  <c r="G1750" i="4"/>
  <c r="G1751" i="4"/>
  <c r="G1752" i="4"/>
  <c r="G1745" i="4"/>
  <c r="G1755" i="4"/>
  <c r="I1538" i="4"/>
  <c r="I1539" i="4"/>
  <c r="I1540" i="4"/>
  <c r="I1541" i="4"/>
  <c r="I1542" i="4"/>
  <c r="I1533" i="4"/>
  <c r="I1543" i="4"/>
  <c r="I1534" i="4"/>
  <c r="I1544" i="4"/>
  <c r="I1537" i="4"/>
  <c r="I1535" i="4"/>
  <c r="I1536" i="4"/>
  <c r="I1545" i="4"/>
  <c r="H1338" i="4"/>
  <c r="H1348" i="4"/>
  <c r="H1339" i="4"/>
  <c r="H1349" i="4"/>
  <c r="H1340" i="4"/>
  <c r="H1350" i="4"/>
  <c r="H1341" i="4"/>
  <c r="H1342" i="4"/>
  <c r="H1343" i="4"/>
  <c r="H1344" i="4"/>
  <c r="H1345" i="4"/>
  <c r="H1347" i="4"/>
  <c r="H1346" i="4"/>
  <c r="G627" i="4"/>
  <c r="G618" i="4"/>
  <c r="G628" i="4"/>
  <c r="G619" i="4"/>
  <c r="G629" i="4"/>
  <c r="G620" i="4"/>
  <c r="G630" i="4"/>
  <c r="G621" i="4"/>
  <c r="G622" i="4"/>
  <c r="G623" i="4"/>
  <c r="G626" i="4"/>
  <c r="G624" i="4"/>
  <c r="I1899" i="4"/>
  <c r="I1900" i="4"/>
  <c r="I1901" i="4"/>
  <c r="I1902" i="4"/>
  <c r="I1893" i="4"/>
  <c r="I1903" i="4"/>
  <c r="I1894" i="4"/>
  <c r="I1904" i="4"/>
  <c r="I1895" i="4"/>
  <c r="I1905" i="4"/>
  <c r="I1897" i="4"/>
  <c r="I1898" i="4"/>
  <c r="I1896" i="4"/>
  <c r="I1759" i="4"/>
  <c r="I1769" i="4"/>
  <c r="I1760" i="4"/>
  <c r="I1770" i="4"/>
  <c r="I1761" i="4"/>
  <c r="I1762" i="4"/>
  <c r="I1763" i="4"/>
  <c r="I1764" i="4"/>
  <c r="I1765" i="4"/>
  <c r="I1766" i="4"/>
  <c r="I1767" i="4"/>
  <c r="I1758" i="4"/>
  <c r="I1768" i="4"/>
  <c r="H1687" i="4"/>
  <c r="H1688" i="4"/>
  <c r="H1689" i="4"/>
  <c r="H1690" i="4"/>
  <c r="H1691" i="4"/>
  <c r="H1692" i="4"/>
  <c r="H1683" i="4"/>
  <c r="H1693" i="4"/>
  <c r="H1684" i="4"/>
  <c r="H1694" i="4"/>
  <c r="H1685" i="4"/>
  <c r="H1695" i="4"/>
  <c r="H1686" i="4"/>
  <c r="G1356" i="4"/>
  <c r="G1357" i="4"/>
  <c r="G1358" i="4"/>
  <c r="G1359" i="4"/>
  <c r="G1360" i="4"/>
  <c r="G1361" i="4"/>
  <c r="G1362" i="4"/>
  <c r="G1354" i="4"/>
  <c r="G1364" i="4"/>
  <c r="G1355" i="4"/>
  <c r="G1365" i="4"/>
  <c r="G1226" i="4"/>
  <c r="G1227" i="4"/>
  <c r="G1218" i="4"/>
  <c r="G1228" i="4"/>
  <c r="G1219" i="4"/>
  <c r="G1229" i="4"/>
  <c r="G1220" i="4"/>
  <c r="G1230" i="4"/>
  <c r="G1221" i="4"/>
  <c r="G1222" i="4"/>
  <c r="G1224" i="4"/>
  <c r="G1225" i="4"/>
  <c r="I1929" i="4"/>
  <c r="I1930" i="4"/>
  <c r="I1931" i="4"/>
  <c r="I1932" i="4"/>
  <c r="I1923" i="4"/>
  <c r="I1933" i="4"/>
  <c r="I1924" i="4"/>
  <c r="I1934" i="4"/>
  <c r="I1925" i="4"/>
  <c r="I1935" i="4"/>
  <c r="I1928" i="4"/>
  <c r="I1926" i="4"/>
  <c r="I1927" i="4"/>
  <c r="G1896" i="4"/>
  <c r="G1897" i="4"/>
  <c r="G1898" i="4"/>
  <c r="G1899" i="4"/>
  <c r="G1900" i="4"/>
  <c r="G1901" i="4"/>
  <c r="G1902" i="4"/>
  <c r="G1895" i="4"/>
  <c r="G1905" i="4"/>
  <c r="H1857" i="4"/>
  <c r="H1848" i="4"/>
  <c r="H1858" i="4"/>
  <c r="H1849" i="4"/>
  <c r="H1859" i="4"/>
  <c r="H1850" i="4"/>
  <c r="H1860" i="4"/>
  <c r="H1851" i="4"/>
  <c r="H1852" i="4"/>
  <c r="H1853" i="4"/>
  <c r="H1854" i="4"/>
  <c r="H1855" i="4"/>
  <c r="H1856" i="4"/>
  <c r="I1789" i="4"/>
  <c r="I1799" i="4"/>
  <c r="I1790" i="4"/>
  <c r="I1800" i="4"/>
  <c r="I1791" i="4"/>
  <c r="I1792" i="4"/>
  <c r="I1793" i="4"/>
  <c r="I1794" i="4"/>
  <c r="I1795" i="4"/>
  <c r="I1796" i="4"/>
  <c r="I1797" i="4"/>
  <c r="I1788" i="4"/>
  <c r="I1798" i="4"/>
  <c r="G1766" i="4"/>
  <c r="G1767" i="4"/>
  <c r="G1758" i="4"/>
  <c r="G1768" i="4"/>
  <c r="G1759" i="4"/>
  <c r="G1769" i="4"/>
  <c r="G1760" i="4"/>
  <c r="G1770" i="4"/>
  <c r="G1761" i="4"/>
  <c r="G1762" i="4"/>
  <c r="G1765" i="4"/>
  <c r="H1717" i="4"/>
  <c r="H1718" i="4"/>
  <c r="H1719" i="4"/>
  <c r="H1720" i="4"/>
  <c r="H1721" i="4"/>
  <c r="H1722" i="4"/>
  <c r="H1713" i="4"/>
  <c r="H1723" i="4"/>
  <c r="H1714" i="4"/>
  <c r="H1724" i="4"/>
  <c r="H1715" i="4"/>
  <c r="H1725" i="4"/>
  <c r="H1716" i="4"/>
  <c r="I1669" i="4"/>
  <c r="I1679" i="4"/>
  <c r="I1670" i="4"/>
  <c r="I1680" i="4"/>
  <c r="I1671" i="4"/>
  <c r="I1672" i="4"/>
  <c r="I1673" i="4"/>
  <c r="I1674" i="4"/>
  <c r="I1675" i="4"/>
  <c r="I1676" i="4"/>
  <c r="I1677" i="4"/>
  <c r="I1668" i="4"/>
  <c r="I1678" i="4"/>
  <c r="H1598" i="4"/>
  <c r="H1599" i="4"/>
  <c r="H1600" i="4"/>
  <c r="H1601" i="4"/>
  <c r="H1602" i="4"/>
  <c r="H1593" i="4"/>
  <c r="H1603" i="4"/>
  <c r="H1594" i="4"/>
  <c r="H1604" i="4"/>
  <c r="H1595" i="4"/>
  <c r="H1605" i="4"/>
  <c r="H1596" i="4"/>
  <c r="H1597" i="4"/>
  <c r="I1548" i="4"/>
  <c r="I1558" i="4"/>
  <c r="I1549" i="4"/>
  <c r="I1559" i="4"/>
  <c r="I1550" i="4"/>
  <c r="I1560" i="4"/>
  <c r="I1551" i="4"/>
  <c r="I1552" i="4"/>
  <c r="I1553" i="4"/>
  <c r="I1554" i="4"/>
  <c r="I1555" i="4"/>
  <c r="I1556" i="4"/>
  <c r="I1557" i="4"/>
  <c r="H1478" i="4"/>
  <c r="H1479" i="4"/>
  <c r="H1480" i="4"/>
  <c r="H1481" i="4"/>
  <c r="H1482" i="4"/>
  <c r="H1473" i="4"/>
  <c r="H1483" i="4"/>
  <c r="H1474" i="4"/>
  <c r="H1484" i="4"/>
  <c r="H1475" i="4"/>
  <c r="H1485" i="4"/>
  <c r="H1477" i="4"/>
  <c r="H1476" i="4"/>
  <c r="I1428" i="4"/>
  <c r="I1438" i="4"/>
  <c r="I1429" i="4"/>
  <c r="I1439" i="4"/>
  <c r="I1430" i="4"/>
  <c r="I1440" i="4"/>
  <c r="I1431" i="4"/>
  <c r="I1432" i="4"/>
  <c r="I1433" i="4"/>
  <c r="I1434" i="4"/>
  <c r="I1437" i="4"/>
  <c r="I1435" i="4"/>
  <c r="I1436" i="4"/>
  <c r="H1358" i="4"/>
  <c r="H1359" i="4"/>
  <c r="H1360" i="4"/>
  <c r="H1361" i="4"/>
  <c r="H1362" i="4"/>
  <c r="H1353" i="4"/>
  <c r="H1363" i="4"/>
  <c r="H1354" i="4"/>
  <c r="H1364" i="4"/>
  <c r="H1355" i="4"/>
  <c r="H1365" i="4"/>
  <c r="H1356" i="4"/>
  <c r="H1357" i="4"/>
  <c r="I1308" i="4"/>
  <c r="I1318" i="4"/>
  <c r="I1309" i="4"/>
  <c r="I1319" i="4"/>
  <c r="I1310" i="4"/>
  <c r="I1320" i="4"/>
  <c r="I1311" i="4"/>
  <c r="I1312" i="4"/>
  <c r="I1313" i="4"/>
  <c r="I1314" i="4"/>
  <c r="I1317" i="4"/>
  <c r="I1315" i="4"/>
  <c r="I1316" i="4"/>
  <c r="G1266" i="4"/>
  <c r="G1267" i="4"/>
  <c r="G1268" i="4"/>
  <c r="G1269" i="4"/>
  <c r="G1270" i="4"/>
  <c r="G1271" i="4"/>
  <c r="G1272" i="4"/>
  <c r="G1264" i="4"/>
  <c r="G1274" i="4"/>
  <c r="G1265" i="4"/>
  <c r="G1275" i="4"/>
  <c r="H1218" i="4"/>
  <c r="H1228" i="4"/>
  <c r="H1219" i="4"/>
  <c r="H1229" i="4"/>
  <c r="H1220" i="4"/>
  <c r="H1230" i="4"/>
  <c r="H1221" i="4"/>
  <c r="H1222" i="4"/>
  <c r="H1223" i="4"/>
  <c r="H1224" i="4"/>
  <c r="H1225" i="4"/>
  <c r="H1226" i="4"/>
  <c r="H1227" i="4"/>
  <c r="I1178" i="4"/>
  <c r="I1179" i="4"/>
  <c r="I1180" i="4"/>
  <c r="I1181" i="4"/>
  <c r="I1182" i="4"/>
  <c r="I1173" i="4"/>
  <c r="I1183" i="4"/>
  <c r="I1174" i="4"/>
  <c r="I1184" i="4"/>
  <c r="I1176" i="4"/>
  <c r="I1177" i="4"/>
  <c r="I1175" i="4"/>
  <c r="I1185" i="4"/>
  <c r="H1098" i="4"/>
  <c r="H1108" i="4"/>
  <c r="H1099" i="4"/>
  <c r="H1109" i="4"/>
  <c r="H1100" i="4"/>
  <c r="H1110" i="4"/>
  <c r="H1101" i="4"/>
  <c r="H1102" i="4"/>
  <c r="H1103" i="4"/>
  <c r="H1104" i="4"/>
  <c r="H1105" i="4"/>
  <c r="H1106" i="4"/>
  <c r="H1107" i="4"/>
  <c r="G1016" i="4"/>
  <c r="G1017" i="4"/>
  <c r="G1008" i="4"/>
  <c r="G1018" i="4"/>
  <c r="G1009" i="4"/>
  <c r="G1019" i="4"/>
  <c r="G1010" i="4"/>
  <c r="G1020" i="4"/>
  <c r="G1011" i="4"/>
  <c r="G1012" i="4"/>
  <c r="G1014" i="4"/>
  <c r="G1015" i="4"/>
  <c r="H978" i="4"/>
  <c r="H988" i="4"/>
  <c r="H979" i="4"/>
  <c r="H989" i="4"/>
  <c r="H980" i="4"/>
  <c r="H990" i="4"/>
  <c r="H981" i="4"/>
  <c r="H982" i="4"/>
  <c r="H983" i="4"/>
  <c r="H984" i="4"/>
  <c r="H985" i="4"/>
  <c r="H986" i="4"/>
  <c r="H987" i="4"/>
  <c r="G897" i="4"/>
  <c r="G896" i="4"/>
  <c r="G888" i="4"/>
  <c r="G900" i="4"/>
  <c r="G889" i="4"/>
  <c r="G890" i="4"/>
  <c r="G891" i="4"/>
  <c r="G892" i="4"/>
  <c r="G893" i="4"/>
  <c r="G894" i="4"/>
  <c r="G898" i="4"/>
  <c r="G899" i="4"/>
  <c r="H858" i="4"/>
  <c r="H868" i="4"/>
  <c r="H859" i="4"/>
  <c r="H869" i="4"/>
  <c r="H860" i="4"/>
  <c r="H870" i="4"/>
  <c r="H861" i="4"/>
  <c r="H862" i="4"/>
  <c r="H863" i="4"/>
  <c r="H864" i="4"/>
  <c r="H865" i="4"/>
  <c r="H866" i="4"/>
  <c r="H867" i="4"/>
  <c r="I798" i="4"/>
  <c r="I799" i="4"/>
  <c r="I805" i="4"/>
  <c r="I806" i="4"/>
  <c r="I807" i="4"/>
  <c r="I808" i="4"/>
  <c r="I809" i="4"/>
  <c r="I810" i="4"/>
  <c r="G777" i="4"/>
  <c r="G768" i="4"/>
  <c r="G778" i="4"/>
  <c r="G770" i="4"/>
  <c r="G780" i="4"/>
  <c r="G771" i="4"/>
  <c r="G772" i="4"/>
  <c r="G776" i="4"/>
  <c r="G769" i="4"/>
  <c r="G773" i="4"/>
  <c r="G774" i="4"/>
  <c r="G775" i="4"/>
  <c r="G779" i="4"/>
  <c r="I688" i="4"/>
  <c r="I684" i="4"/>
  <c r="I687" i="4"/>
  <c r="G637" i="4"/>
  <c r="G638" i="4"/>
  <c r="G639" i="4"/>
  <c r="G640" i="4"/>
  <c r="G641" i="4"/>
  <c r="G642" i="4"/>
  <c r="G633" i="4"/>
  <c r="G643" i="4"/>
  <c r="G636" i="4"/>
  <c r="G644" i="4"/>
  <c r="G645" i="4"/>
  <c r="G634" i="4"/>
  <c r="G635" i="4"/>
  <c r="I543" i="4"/>
  <c r="I544" i="4"/>
  <c r="I550" i="4"/>
  <c r="I554" i="4"/>
  <c r="I555" i="4"/>
  <c r="G517" i="4"/>
  <c r="G518" i="4"/>
  <c r="G519" i="4"/>
  <c r="G520" i="4"/>
  <c r="G521" i="4"/>
  <c r="G522" i="4"/>
  <c r="G513" i="4"/>
  <c r="G523" i="4"/>
  <c r="G516" i="4"/>
  <c r="G514" i="4"/>
  <c r="G515" i="4"/>
  <c r="G524" i="4"/>
  <c r="H475" i="4"/>
  <c r="H476" i="4"/>
  <c r="H477" i="4"/>
  <c r="H468" i="4"/>
  <c r="H478" i="4"/>
  <c r="H469" i="4"/>
  <c r="H479" i="4"/>
  <c r="H470" i="4"/>
  <c r="H480" i="4"/>
  <c r="H471" i="4"/>
  <c r="H474" i="4"/>
  <c r="H472" i="4"/>
  <c r="H473" i="4"/>
  <c r="I433" i="4"/>
  <c r="I428" i="4"/>
  <c r="G397" i="4"/>
  <c r="G398" i="4"/>
  <c r="G399" i="4"/>
  <c r="G400" i="4"/>
  <c r="G401" i="4"/>
  <c r="G402" i="4"/>
  <c r="G393" i="4"/>
  <c r="G403" i="4"/>
  <c r="G396" i="4"/>
  <c r="G394" i="4"/>
  <c r="G395" i="4"/>
  <c r="G404" i="4"/>
  <c r="G405" i="4"/>
  <c r="H355" i="4"/>
  <c r="H356" i="4"/>
  <c r="H357" i="4"/>
  <c r="H348" i="4"/>
  <c r="H358" i="4"/>
  <c r="H349" i="4"/>
  <c r="H359" i="4"/>
  <c r="H350" i="4"/>
  <c r="H360" i="4"/>
  <c r="H351" i="4"/>
  <c r="H353" i="4"/>
  <c r="H354" i="4"/>
  <c r="H352" i="4"/>
  <c r="I306" i="4"/>
  <c r="I309" i="4"/>
  <c r="I310" i="4"/>
  <c r="H235" i="4"/>
  <c r="H236" i="4"/>
  <c r="H237" i="4"/>
  <c r="H228" i="4"/>
  <c r="H238" i="4"/>
  <c r="H229" i="4"/>
  <c r="H239" i="4"/>
  <c r="H230" i="4"/>
  <c r="H240" i="4"/>
  <c r="H231" i="4"/>
  <c r="H233" i="4"/>
  <c r="H234" i="4"/>
  <c r="H232" i="4"/>
  <c r="I183" i="4"/>
  <c r="I186" i="4"/>
  <c r="I187" i="4"/>
  <c r="I194" i="4"/>
  <c r="G147" i="4"/>
  <c r="G138" i="4"/>
  <c r="G148" i="4"/>
  <c r="G139" i="4"/>
  <c r="G149" i="4"/>
  <c r="G140" i="4"/>
  <c r="G150" i="4"/>
  <c r="G141" i="4"/>
  <c r="G142" i="4"/>
  <c r="G143" i="4"/>
  <c r="G146" i="4"/>
  <c r="G144" i="4"/>
  <c r="G145" i="4"/>
  <c r="H95" i="4"/>
  <c r="H105" i="4"/>
  <c r="H96" i="4"/>
  <c r="H97" i="4"/>
  <c r="H98" i="4"/>
  <c r="H99" i="4"/>
  <c r="H100" i="4"/>
  <c r="H101" i="4"/>
  <c r="H93" i="4"/>
  <c r="H103" i="4"/>
  <c r="H94" i="4"/>
  <c r="H104" i="4"/>
  <c r="H102" i="4"/>
  <c r="I36" i="4"/>
  <c r="I37" i="4"/>
  <c r="I38" i="4"/>
  <c r="I39" i="4"/>
  <c r="I41" i="4"/>
  <c r="I42" i="4"/>
  <c r="I33" i="4"/>
  <c r="I43" i="4"/>
  <c r="I35" i="4"/>
  <c r="I45" i="4"/>
  <c r="I34" i="4"/>
  <c r="I40" i="4"/>
  <c r="I44" i="4"/>
  <c r="G1964" i="4"/>
  <c r="G1914" i="4"/>
  <c r="G1864" i="4"/>
  <c r="G1814" i="4"/>
  <c r="G1764" i="4"/>
  <c r="G1714" i="4"/>
  <c r="G1664" i="4"/>
  <c r="G1573" i="4"/>
  <c r="G1513" i="4"/>
  <c r="G1453" i="4"/>
  <c r="G1313" i="4"/>
  <c r="G921" i="4"/>
  <c r="G839" i="4"/>
  <c r="G475" i="4"/>
  <c r="I395" i="4"/>
  <c r="I145" i="4"/>
  <c r="I156" i="4"/>
  <c r="I178" i="4"/>
  <c r="I189" i="4"/>
  <c r="I200" i="4"/>
  <c r="I224" i="4"/>
  <c r="I235" i="4"/>
  <c r="I246" i="4"/>
  <c r="I268" i="4"/>
  <c r="I279" i="4"/>
  <c r="I290" i="4"/>
  <c r="I313" i="4"/>
  <c r="I324" i="4"/>
  <c r="I335" i="4"/>
  <c r="I357" i="4"/>
  <c r="I368" i="4"/>
  <c r="I379" i="4"/>
  <c r="I390" i="4"/>
  <c r="I402" i="4"/>
  <c r="I413" i="4"/>
  <c r="I424" i="4"/>
  <c r="I435" i="4"/>
  <c r="I446" i="4"/>
  <c r="I457" i="4"/>
  <c r="I468" i="4"/>
  <c r="I479" i="4"/>
  <c r="I490" i="4"/>
  <c r="I502" i="4"/>
  <c r="I513" i="4"/>
  <c r="I524" i="4"/>
  <c r="I535" i="4"/>
  <c r="I546" i="4"/>
  <c r="I568" i="4"/>
  <c r="I579" i="4"/>
  <c r="I590" i="4"/>
  <c r="I613" i="4"/>
  <c r="I624" i="4"/>
  <c r="I635" i="4"/>
  <c r="I657" i="4"/>
  <c r="I668" i="4"/>
  <c r="I679" i="4"/>
  <c r="I690" i="4"/>
  <c r="I702" i="4"/>
  <c r="I713" i="4"/>
  <c r="I724" i="4"/>
  <c r="I735" i="4"/>
  <c r="I746" i="4"/>
  <c r="I757" i="4"/>
  <c r="I768" i="4"/>
  <c r="I779" i="4"/>
  <c r="I790" i="4"/>
  <c r="I802" i="4"/>
  <c r="I813" i="4"/>
  <c r="I824" i="4"/>
  <c r="I835" i="4"/>
  <c r="I846" i="4"/>
  <c r="I868" i="4"/>
  <c r="I879" i="4"/>
  <c r="I890" i="4"/>
  <c r="I913" i="4"/>
  <c r="I924" i="4"/>
  <c r="I934" i="4"/>
  <c r="I944" i="4"/>
  <c r="I954" i="4"/>
  <c r="I146" i="4"/>
  <c r="I157" i="4"/>
  <c r="I168" i="4"/>
  <c r="I179" i="4"/>
  <c r="I190" i="4"/>
  <c r="I202" i="4"/>
  <c r="I214" i="4"/>
  <c r="I225" i="4"/>
  <c r="I236" i="4"/>
  <c r="I247" i="4"/>
  <c r="I258" i="4"/>
  <c r="I269" i="4"/>
  <c r="I280" i="4"/>
  <c r="I292" i="4"/>
  <c r="I303" i="4"/>
  <c r="I314" i="4"/>
  <c r="I325" i="4"/>
  <c r="I336" i="4"/>
  <c r="I358" i="4"/>
  <c r="I369" i="4"/>
  <c r="I380" i="4"/>
  <c r="I403" i="4"/>
  <c r="I414" i="4"/>
  <c r="I425" i="4"/>
  <c r="I447" i="4"/>
  <c r="I458" i="4"/>
  <c r="I469" i="4"/>
  <c r="I480" i="4"/>
  <c r="I492" i="4"/>
  <c r="I503" i="4"/>
  <c r="I514" i="4"/>
  <c r="I525" i="4"/>
  <c r="I536" i="4"/>
  <c r="I547" i="4"/>
  <c r="I558" i="4"/>
  <c r="I569" i="4"/>
  <c r="I580" i="4"/>
  <c r="I592" i="4"/>
  <c r="I603" i="4"/>
  <c r="I614" i="4"/>
  <c r="I625" i="4"/>
  <c r="I636" i="4"/>
  <c r="I658" i="4"/>
  <c r="I669" i="4"/>
  <c r="I680" i="4"/>
  <c r="I703" i="4"/>
  <c r="I714" i="4"/>
  <c r="I725" i="4"/>
  <c r="I747" i="4"/>
  <c r="I758" i="4"/>
  <c r="I769" i="4"/>
  <c r="I780" i="4"/>
  <c r="I792" i="4"/>
  <c r="I803" i="4"/>
  <c r="I814" i="4"/>
  <c r="I825" i="4"/>
  <c r="I836" i="4"/>
  <c r="I847" i="4"/>
  <c r="I858" i="4"/>
  <c r="I869" i="4"/>
  <c r="I880" i="4"/>
  <c r="I892" i="4"/>
  <c r="I903" i="4"/>
  <c r="I914" i="4"/>
  <c r="I925" i="4"/>
  <c r="I935" i="4"/>
  <c r="I945" i="4"/>
  <c r="I147" i="4"/>
  <c r="I158" i="4"/>
  <c r="I169" i="4"/>
  <c r="I180" i="4"/>
  <c r="I192" i="4"/>
  <c r="I203" i="4"/>
  <c r="I215" i="4"/>
  <c r="I237" i="4"/>
  <c r="I248" i="4"/>
  <c r="I259" i="4"/>
  <c r="I270" i="4"/>
  <c r="I282" i="4"/>
  <c r="I293" i="4"/>
  <c r="I304" i="4"/>
  <c r="I315" i="4"/>
  <c r="I326" i="4"/>
  <c r="I337" i="4"/>
  <c r="I348" i="4"/>
  <c r="I359" i="4"/>
  <c r="I370" i="4"/>
  <c r="I382" i="4"/>
  <c r="I393" i="4"/>
  <c r="I404" i="4"/>
  <c r="I415" i="4"/>
  <c r="I426" i="4"/>
  <c r="I448" i="4"/>
  <c r="I459" i="4"/>
  <c r="I470" i="4"/>
  <c r="I493" i="4"/>
  <c r="I504" i="4"/>
  <c r="I515" i="4"/>
  <c r="I537" i="4"/>
  <c r="I548" i="4"/>
  <c r="I559" i="4"/>
  <c r="I570" i="4"/>
  <c r="I582" i="4"/>
  <c r="I593" i="4"/>
  <c r="I604" i="4"/>
  <c r="I615" i="4"/>
  <c r="I626" i="4"/>
  <c r="I637" i="4"/>
  <c r="I648" i="4"/>
  <c r="I659" i="4"/>
  <c r="I670" i="4"/>
  <c r="I682" i="4"/>
  <c r="I693" i="4"/>
  <c r="I704" i="4"/>
  <c r="I715" i="4"/>
  <c r="I726" i="4"/>
  <c r="I748" i="4"/>
  <c r="I759" i="4"/>
  <c r="I770" i="4"/>
  <c r="I793" i="4"/>
  <c r="I804" i="4"/>
  <c r="I815" i="4"/>
  <c r="I837" i="4"/>
  <c r="I848" i="4"/>
  <c r="I859" i="4"/>
  <c r="I870" i="4"/>
  <c r="I882" i="4"/>
  <c r="I893" i="4"/>
  <c r="I904" i="4"/>
  <c r="I915" i="4"/>
  <c r="I926" i="4"/>
  <c r="I936" i="4"/>
  <c r="I148" i="4"/>
  <c r="I159" i="4"/>
  <c r="I170" i="4"/>
  <c r="I193" i="4"/>
  <c r="I204" i="4"/>
  <c r="I216" i="4"/>
  <c r="I238" i="4"/>
  <c r="I249" i="4"/>
  <c r="I260" i="4"/>
  <c r="I283" i="4"/>
  <c r="I294" i="4"/>
  <c r="I305" i="4"/>
  <c r="I327" i="4"/>
  <c r="I338" i="4"/>
  <c r="I349" i="4"/>
  <c r="I360" i="4"/>
  <c r="I372" i="4"/>
  <c r="I383" i="4"/>
  <c r="I394" i="4"/>
  <c r="I405" i="4"/>
  <c r="I416" i="4"/>
  <c r="I427" i="4"/>
  <c r="I438" i="4"/>
  <c r="I449" i="4"/>
  <c r="I460" i="4"/>
  <c r="I472" i="4"/>
  <c r="I483" i="4"/>
  <c r="I494" i="4"/>
  <c r="I505" i="4"/>
  <c r="I516" i="4"/>
  <c r="I538" i="4"/>
  <c r="I549" i="4"/>
  <c r="I560" i="4"/>
  <c r="I583" i="4"/>
  <c r="I594" i="4"/>
  <c r="I605" i="4"/>
  <c r="I627" i="4"/>
  <c r="I638" i="4"/>
  <c r="I649" i="4"/>
  <c r="I660" i="4"/>
  <c r="I672" i="4"/>
  <c r="I683" i="4"/>
  <c r="I694" i="4"/>
  <c r="I705" i="4"/>
  <c r="I716" i="4"/>
  <c r="I139" i="4"/>
  <c r="I150" i="4"/>
  <c r="I162" i="4"/>
  <c r="I173" i="4"/>
  <c r="I184" i="4"/>
  <c r="I195" i="4"/>
  <c r="I206" i="4"/>
  <c r="I218" i="4"/>
  <c r="I229" i="4"/>
  <c r="I240" i="4"/>
  <c r="I252" i="4"/>
  <c r="I263" i="4"/>
  <c r="I274" i="4"/>
  <c r="I285" i="4"/>
  <c r="I296" i="4"/>
  <c r="I307" i="4"/>
  <c r="I318" i="4"/>
  <c r="I329" i="4"/>
  <c r="I340" i="4"/>
  <c r="I352" i="4"/>
  <c r="I363" i="4"/>
  <c r="I374" i="4"/>
  <c r="I385" i="4"/>
  <c r="I396" i="4"/>
  <c r="I418" i="4"/>
  <c r="I429" i="4"/>
  <c r="I440" i="4"/>
  <c r="I463" i="4"/>
  <c r="I474" i="4"/>
  <c r="I485" i="4"/>
  <c r="I507" i="4"/>
  <c r="I518" i="4"/>
  <c r="I529" i="4"/>
  <c r="I540" i="4"/>
  <c r="I552" i="4"/>
  <c r="I563" i="4"/>
  <c r="I574" i="4"/>
  <c r="I585" i="4"/>
  <c r="I596" i="4"/>
  <c r="I607" i="4"/>
  <c r="I618" i="4"/>
  <c r="I629" i="4"/>
  <c r="I640" i="4"/>
  <c r="I652" i="4"/>
  <c r="I663" i="4"/>
  <c r="I674" i="4"/>
  <c r="I685" i="4"/>
  <c r="I696" i="4"/>
  <c r="I718" i="4"/>
  <c r="I140" i="4"/>
  <c r="I163" i="4"/>
  <c r="I174" i="4"/>
  <c r="I185" i="4"/>
  <c r="I207" i="4"/>
  <c r="I219" i="4"/>
  <c r="I230" i="4"/>
  <c r="I253" i="4"/>
  <c r="I264" i="4"/>
  <c r="I275" i="4"/>
  <c r="I297" i="4"/>
  <c r="I308" i="4"/>
  <c r="I319" i="4"/>
  <c r="I330" i="4"/>
  <c r="I342" i="4"/>
  <c r="I353" i="4"/>
  <c r="I364" i="4"/>
  <c r="I375" i="4"/>
  <c r="I386" i="4"/>
  <c r="I397" i="4"/>
  <c r="I408" i="4"/>
  <c r="I419" i="4"/>
  <c r="I430" i="4"/>
  <c r="I442" i="4"/>
  <c r="I453" i="4"/>
  <c r="I464" i="4"/>
  <c r="I475" i="4"/>
  <c r="I486" i="4"/>
  <c r="I508" i="4"/>
  <c r="I519" i="4"/>
  <c r="I530" i="4"/>
  <c r="I553" i="4"/>
  <c r="I564" i="4"/>
  <c r="I575" i="4"/>
  <c r="I597" i="4"/>
  <c r="I608" i="4"/>
  <c r="I619" i="4"/>
  <c r="I630" i="4"/>
  <c r="I642" i="4"/>
  <c r="I653" i="4"/>
  <c r="I664" i="4"/>
  <c r="I675" i="4"/>
  <c r="I686" i="4"/>
  <c r="I697" i="4"/>
  <c r="I708" i="4"/>
  <c r="I719" i="4"/>
  <c r="I142" i="4"/>
  <c r="I153" i="4"/>
  <c r="I164" i="4"/>
  <c r="I144" i="4"/>
  <c r="I155" i="4"/>
  <c r="I177" i="4"/>
  <c r="I188" i="4"/>
  <c r="I199" i="4"/>
  <c r="I210" i="4"/>
  <c r="I223" i="4"/>
  <c r="I234" i="4"/>
  <c r="I245" i="4"/>
  <c r="I267" i="4"/>
  <c r="I278" i="4"/>
  <c r="I289" i="4"/>
  <c r="I300" i="4"/>
  <c r="I312" i="4"/>
  <c r="I323" i="4"/>
  <c r="I334" i="4"/>
  <c r="I345" i="4"/>
  <c r="I356" i="4"/>
  <c r="I367" i="4"/>
  <c r="I378" i="4"/>
  <c r="I389" i="4"/>
  <c r="I400" i="4"/>
  <c r="I412" i="4"/>
  <c r="I423" i="4"/>
  <c r="I434" i="4"/>
  <c r="I445" i="4"/>
  <c r="I456" i="4"/>
  <c r="I478" i="4"/>
  <c r="I489" i="4"/>
  <c r="I500" i="4"/>
  <c r="I523" i="4"/>
  <c r="I534" i="4"/>
  <c r="I545" i="4"/>
  <c r="I567" i="4"/>
  <c r="I578" i="4"/>
  <c r="I589" i="4"/>
  <c r="I600" i="4"/>
  <c r="I612" i="4"/>
  <c r="I623" i="4"/>
  <c r="I634" i="4"/>
  <c r="I645" i="4"/>
  <c r="I656" i="4"/>
  <c r="I667" i="4"/>
  <c r="I678" i="4"/>
  <c r="I689" i="4"/>
  <c r="I700" i="4"/>
  <c r="I712" i="4"/>
  <c r="I723" i="4"/>
  <c r="I734" i="4"/>
  <c r="I745" i="4"/>
  <c r="I756" i="4"/>
  <c r="I778" i="4"/>
  <c r="I789" i="4"/>
  <c r="I800" i="4"/>
  <c r="I823" i="4"/>
  <c r="I834" i="4"/>
  <c r="I845" i="4"/>
  <c r="I867" i="4"/>
  <c r="I878" i="4"/>
  <c r="I889" i="4"/>
  <c r="I900" i="4"/>
  <c r="I912" i="4"/>
  <c r="I923" i="4"/>
  <c r="I933" i="4"/>
  <c r="I943" i="4"/>
  <c r="I921" i="4"/>
  <c r="I911" i="4"/>
  <c r="I891" i="4"/>
  <c r="I881" i="4"/>
  <c r="I861" i="4"/>
  <c r="I851" i="4"/>
  <c r="I831" i="4"/>
  <c r="I432" i="4"/>
  <c r="I355" i="4"/>
  <c r="I320" i="4"/>
  <c r="I284" i="4"/>
  <c r="I244" i="4"/>
  <c r="I208" i="4"/>
  <c r="I172" i="4"/>
  <c r="I213" i="4"/>
  <c r="I113" i="4"/>
  <c r="I93" i="4"/>
  <c r="I821" i="4"/>
  <c r="I801" i="4"/>
  <c r="I791" i="4"/>
  <c r="I771" i="4"/>
  <c r="I761" i="4"/>
  <c r="I741" i="4"/>
  <c r="I731" i="4"/>
  <c r="I711" i="4"/>
  <c r="I701" i="4"/>
  <c r="I681" i="4"/>
  <c r="I671" i="4"/>
  <c r="I651" i="4"/>
  <c r="I641" i="4"/>
  <c r="I621" i="4"/>
  <c r="I611" i="4"/>
  <c r="I591" i="4"/>
  <c r="I581" i="4"/>
  <c r="I561" i="4"/>
  <c r="I551" i="4"/>
  <c r="I531" i="4"/>
  <c r="I521" i="4"/>
  <c r="I501" i="4"/>
  <c r="I491" i="4"/>
  <c r="I471" i="4"/>
  <c r="I461" i="4"/>
  <c r="I441" i="4"/>
  <c r="I431" i="4"/>
  <c r="I411" i="4"/>
  <c r="I401" i="4"/>
  <c r="I381" i="4"/>
  <c r="I371" i="4"/>
  <c r="I351" i="4"/>
  <c r="I341" i="4"/>
  <c r="I321" i="4"/>
  <c r="I311" i="4"/>
  <c r="I291" i="4"/>
  <c r="I281" i="4"/>
  <c r="I261" i="4"/>
  <c r="I251" i="4"/>
  <c r="I231" i="4"/>
  <c r="I221" i="4"/>
  <c r="I201" i="4"/>
  <c r="I191" i="4"/>
  <c r="I171" i="4"/>
  <c r="I161" i="4"/>
  <c r="I141" i="4"/>
  <c r="I131" i="4"/>
  <c r="I111" i="4"/>
  <c r="I101" i="4"/>
  <c r="I81" i="4"/>
  <c r="G15" i="4"/>
  <c r="G5" i="4"/>
  <c r="H10" i="4"/>
  <c r="I7" i="4"/>
  <c r="G14" i="4"/>
  <c r="G4" i="4"/>
  <c r="H9" i="4"/>
  <c r="I6" i="4"/>
  <c r="G13" i="4"/>
  <c r="H3" i="4"/>
  <c r="H8" i="4"/>
  <c r="I15" i="4"/>
  <c r="I5" i="4"/>
  <c r="G12" i="4"/>
  <c r="H7" i="4"/>
  <c r="I14" i="4"/>
  <c r="I4" i="4"/>
  <c r="G11" i="4"/>
  <c r="H6" i="4"/>
  <c r="I13" i="4"/>
  <c r="G10" i="4"/>
  <c r="H15" i="4"/>
  <c r="H5" i="4"/>
  <c r="I12" i="4"/>
  <c r="G9" i="4"/>
  <c r="H14" i="4"/>
  <c r="H4" i="4"/>
  <c r="I11" i="4"/>
  <c r="G3" i="4"/>
  <c r="G8" i="4"/>
  <c r="H13" i="4"/>
  <c r="I3" i="4"/>
  <c r="I10" i="4"/>
  <c r="G7" i="4"/>
  <c r="H12" i="4"/>
  <c r="I9" i="4"/>
  <c r="E2" i="5"/>
  <c r="G2" i="5" s="1"/>
  <c r="F2" i="5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2" i="7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E3" i="6"/>
  <c r="M3" i="6" s="1"/>
  <c r="E4" i="6"/>
  <c r="M4" i="6" s="1"/>
  <c r="E5" i="6"/>
  <c r="M5" i="6" s="1"/>
  <c r="E6" i="6"/>
  <c r="M6" i="6" s="1"/>
  <c r="E7" i="6"/>
  <c r="M7" i="6" s="1"/>
  <c r="E8" i="6"/>
  <c r="M8" i="6" s="1"/>
  <c r="E9" i="6"/>
  <c r="M9" i="6" s="1"/>
  <c r="E10" i="6"/>
  <c r="M10" i="6" s="1"/>
  <c r="E11" i="6"/>
  <c r="M11" i="6" s="1"/>
  <c r="E12" i="6"/>
  <c r="M12" i="6" s="1"/>
  <c r="E13" i="6"/>
  <c r="M13" i="6" s="1"/>
  <c r="E14" i="6"/>
  <c r="M14" i="6" s="1"/>
  <c r="E15" i="6"/>
  <c r="M15" i="6" s="1"/>
  <c r="E16" i="6"/>
  <c r="M16" i="6" s="1"/>
  <c r="E17" i="6"/>
  <c r="M17" i="6" s="1"/>
  <c r="E18" i="6"/>
  <c r="M18" i="6" s="1"/>
  <c r="E19" i="6"/>
  <c r="M19" i="6" s="1"/>
  <c r="E20" i="6"/>
  <c r="M20" i="6" s="1"/>
  <c r="E21" i="6"/>
  <c r="M21" i="6" s="1"/>
  <c r="E22" i="6"/>
  <c r="M22" i="6" s="1"/>
  <c r="E23" i="6"/>
  <c r="M23" i="6" s="1"/>
  <c r="E24" i="6"/>
  <c r="M24" i="6" s="1"/>
  <c r="E25" i="6"/>
  <c r="M25" i="6" s="1"/>
  <c r="E26" i="6"/>
  <c r="M26" i="6" s="1"/>
  <c r="E27" i="6"/>
  <c r="M27" i="6" s="1"/>
  <c r="E28" i="6"/>
  <c r="M28" i="6" s="1"/>
  <c r="E29" i="6"/>
  <c r="M29" i="6" s="1"/>
  <c r="E30" i="6"/>
  <c r="M30" i="6" s="1"/>
  <c r="E31" i="6"/>
  <c r="M31" i="6" s="1"/>
  <c r="E32" i="6"/>
  <c r="M32" i="6" s="1"/>
  <c r="E33" i="6"/>
  <c r="M33" i="6" s="1"/>
  <c r="E34" i="6"/>
  <c r="M34" i="6" s="1"/>
  <c r="E35" i="6"/>
  <c r="M35" i="6" s="1"/>
  <c r="E36" i="6"/>
  <c r="M36" i="6" s="1"/>
  <c r="E37" i="6"/>
  <c r="M37" i="6" s="1"/>
  <c r="E38" i="6"/>
  <c r="M38" i="6" s="1"/>
  <c r="E39" i="6"/>
  <c r="M39" i="6" s="1"/>
  <c r="E40" i="6"/>
  <c r="M40" i="6" s="1"/>
  <c r="E41" i="6"/>
  <c r="M41" i="6" s="1"/>
  <c r="E42" i="6"/>
  <c r="M42" i="6" s="1"/>
  <c r="E43" i="6"/>
  <c r="M43" i="6" s="1"/>
  <c r="E44" i="6"/>
  <c r="M44" i="6" s="1"/>
  <c r="E45" i="6"/>
  <c r="M45" i="6" s="1"/>
  <c r="E46" i="6"/>
  <c r="M46" i="6" s="1"/>
  <c r="E47" i="6"/>
  <c r="M47" i="6" s="1"/>
  <c r="E48" i="6"/>
  <c r="M48" i="6" s="1"/>
  <c r="E49" i="6"/>
  <c r="M49" i="6" s="1"/>
  <c r="E50" i="6"/>
  <c r="M50" i="6" s="1"/>
  <c r="E51" i="6"/>
  <c r="M51" i="6" s="1"/>
  <c r="E52" i="6"/>
  <c r="M52" i="6" s="1"/>
  <c r="E53" i="6"/>
  <c r="M53" i="6" s="1"/>
  <c r="E54" i="6"/>
  <c r="M54" i="6" s="1"/>
  <c r="E55" i="6"/>
  <c r="M55" i="6" s="1"/>
  <c r="E56" i="6"/>
  <c r="M56" i="6" s="1"/>
  <c r="E57" i="6"/>
  <c r="M57" i="6" s="1"/>
  <c r="E58" i="6"/>
  <c r="M58" i="6" s="1"/>
  <c r="E59" i="6"/>
  <c r="M59" i="6" s="1"/>
  <c r="E60" i="6"/>
  <c r="M60" i="6" s="1"/>
  <c r="E61" i="6"/>
  <c r="M61" i="6" s="1"/>
  <c r="E62" i="6"/>
  <c r="M62" i="6" s="1"/>
  <c r="E63" i="6"/>
  <c r="M63" i="6" s="1"/>
  <c r="E64" i="6"/>
  <c r="M64" i="6" s="1"/>
  <c r="E65" i="6"/>
  <c r="M65" i="6" s="1"/>
  <c r="E66" i="6"/>
  <c r="M66" i="6" s="1"/>
  <c r="E67" i="6"/>
  <c r="M67" i="6" s="1"/>
  <c r="E68" i="6"/>
  <c r="M68" i="6" s="1"/>
  <c r="E69" i="6"/>
  <c r="M69" i="6" s="1"/>
  <c r="E70" i="6"/>
  <c r="M70" i="6" s="1"/>
  <c r="E71" i="6"/>
  <c r="M71" i="6" s="1"/>
  <c r="E72" i="6"/>
  <c r="M72" i="6" s="1"/>
  <c r="E73" i="6"/>
  <c r="M73" i="6" s="1"/>
  <c r="E74" i="6"/>
  <c r="M74" i="6" s="1"/>
  <c r="E75" i="6"/>
  <c r="M75" i="6" s="1"/>
  <c r="E76" i="6"/>
  <c r="M76" i="6" s="1"/>
  <c r="E77" i="6"/>
  <c r="M77" i="6" s="1"/>
  <c r="E78" i="6"/>
  <c r="M78" i="6" s="1"/>
  <c r="E79" i="6"/>
  <c r="M79" i="6" s="1"/>
  <c r="E80" i="6"/>
  <c r="M80" i="6" s="1"/>
  <c r="E81" i="6"/>
  <c r="M81" i="6" s="1"/>
  <c r="E82" i="6"/>
  <c r="M82" i="6" s="1"/>
  <c r="E83" i="6"/>
  <c r="M83" i="6" s="1"/>
  <c r="E84" i="6"/>
  <c r="M84" i="6" s="1"/>
  <c r="E85" i="6"/>
  <c r="M85" i="6" s="1"/>
  <c r="E86" i="6"/>
  <c r="M86" i="6" s="1"/>
  <c r="E87" i="6"/>
  <c r="M87" i="6" s="1"/>
  <c r="E88" i="6"/>
  <c r="M88" i="6" s="1"/>
  <c r="E89" i="6"/>
  <c r="M89" i="6" s="1"/>
  <c r="E90" i="6"/>
  <c r="M90" i="6" s="1"/>
  <c r="E91" i="6"/>
  <c r="M91" i="6" s="1"/>
  <c r="E92" i="6"/>
  <c r="M92" i="6" s="1"/>
  <c r="E93" i="6"/>
  <c r="M93" i="6" s="1"/>
  <c r="E94" i="6"/>
  <c r="M94" i="6" s="1"/>
  <c r="E95" i="6"/>
  <c r="M95" i="6" s="1"/>
  <c r="E96" i="6"/>
  <c r="M96" i="6" s="1"/>
  <c r="E97" i="6"/>
  <c r="M97" i="6" s="1"/>
  <c r="E98" i="6"/>
  <c r="M98" i="6" s="1"/>
  <c r="E99" i="6"/>
  <c r="M99" i="6" s="1"/>
  <c r="E100" i="6"/>
  <c r="M100" i="6" s="1"/>
  <c r="E101" i="6"/>
  <c r="M101" i="6" s="1"/>
  <c r="E102" i="6"/>
  <c r="M102" i="6" s="1"/>
  <c r="E103" i="6"/>
  <c r="M103" i="6" s="1"/>
  <c r="E104" i="6"/>
  <c r="M104" i="6" s="1"/>
  <c r="E105" i="6"/>
  <c r="M105" i="6" s="1"/>
  <c r="E106" i="6"/>
  <c r="M106" i="6" s="1"/>
  <c r="E107" i="6"/>
  <c r="M107" i="6" s="1"/>
  <c r="E108" i="6"/>
  <c r="M108" i="6" s="1"/>
  <c r="E109" i="6"/>
  <c r="M109" i="6" s="1"/>
  <c r="E110" i="6"/>
  <c r="M110" i="6" s="1"/>
  <c r="E111" i="6"/>
  <c r="M111" i="6" s="1"/>
  <c r="E112" i="6"/>
  <c r="M112" i="6" s="1"/>
  <c r="E113" i="6"/>
  <c r="M113" i="6" s="1"/>
  <c r="E114" i="6"/>
  <c r="M114" i="6" s="1"/>
  <c r="E115" i="6"/>
  <c r="M115" i="6" s="1"/>
  <c r="E116" i="6"/>
  <c r="M116" i="6" s="1"/>
  <c r="E117" i="6"/>
  <c r="M117" i="6" s="1"/>
  <c r="E118" i="6"/>
  <c r="M118" i="6" s="1"/>
  <c r="E119" i="6"/>
  <c r="M119" i="6" s="1"/>
  <c r="E120" i="6"/>
  <c r="M120" i="6" s="1"/>
  <c r="E121" i="6"/>
  <c r="M121" i="6" s="1"/>
  <c r="E122" i="6"/>
  <c r="M122" i="6" s="1"/>
  <c r="E123" i="6"/>
  <c r="M123" i="6" s="1"/>
  <c r="E124" i="6"/>
  <c r="M124" i="6" s="1"/>
  <c r="E125" i="6"/>
  <c r="M125" i="6" s="1"/>
  <c r="E126" i="6"/>
  <c r="M126" i="6" s="1"/>
  <c r="E127" i="6"/>
  <c r="M127" i="6" s="1"/>
  <c r="E128" i="6"/>
  <c r="M128" i="6" s="1"/>
  <c r="E129" i="6"/>
  <c r="M129" i="6" s="1"/>
  <c r="E130" i="6"/>
  <c r="M130" i="6" s="1"/>
  <c r="E131" i="6"/>
  <c r="M131" i="6" s="1"/>
  <c r="E132" i="6"/>
  <c r="M132" i="6" s="1"/>
  <c r="E133" i="6"/>
  <c r="M133" i="6" s="1"/>
  <c r="E134" i="6"/>
  <c r="M134" i="6" s="1"/>
  <c r="E135" i="6"/>
  <c r="M135" i="6" s="1"/>
  <c r="E136" i="6"/>
  <c r="M136" i="6" s="1"/>
  <c r="E137" i="6"/>
  <c r="M137" i="6" s="1"/>
  <c r="E138" i="6"/>
  <c r="M138" i="6" s="1"/>
  <c r="E139" i="6"/>
  <c r="M139" i="6" s="1"/>
  <c r="E140" i="6"/>
  <c r="M140" i="6" s="1"/>
  <c r="E141" i="6"/>
  <c r="M141" i="6" s="1"/>
  <c r="E142" i="6"/>
  <c r="M142" i="6" s="1"/>
  <c r="E143" i="6"/>
  <c r="M143" i="6" s="1"/>
  <c r="E144" i="6"/>
  <c r="M144" i="6" s="1"/>
  <c r="E145" i="6"/>
  <c r="M145" i="6" s="1"/>
  <c r="E146" i="6"/>
  <c r="M146" i="6" s="1"/>
  <c r="E147" i="6"/>
  <c r="M147" i="6" s="1"/>
  <c r="E148" i="6"/>
  <c r="M148" i="6" s="1"/>
  <c r="E149" i="6"/>
  <c r="M149" i="6" s="1"/>
  <c r="E150" i="6"/>
  <c r="M150" i="6" s="1"/>
  <c r="E151" i="6"/>
  <c r="M151" i="6" s="1"/>
  <c r="E152" i="6"/>
  <c r="M152" i="6" s="1"/>
  <c r="E153" i="6"/>
  <c r="M153" i="6" s="1"/>
  <c r="E154" i="6"/>
  <c r="M154" i="6" s="1"/>
  <c r="E155" i="6"/>
  <c r="M155" i="6" s="1"/>
  <c r="E156" i="6"/>
  <c r="M156" i="6" s="1"/>
  <c r="E157" i="6"/>
  <c r="M157" i="6" s="1"/>
  <c r="E158" i="6"/>
  <c r="M158" i="6" s="1"/>
  <c r="E159" i="6"/>
  <c r="M159" i="6" s="1"/>
  <c r="E160" i="6"/>
  <c r="M160" i="6" s="1"/>
  <c r="E161" i="6"/>
  <c r="M161" i="6" s="1"/>
  <c r="E162" i="6"/>
  <c r="M162" i="6" s="1"/>
  <c r="E163" i="6"/>
  <c r="M163" i="6" s="1"/>
  <c r="E164" i="6"/>
  <c r="M164" i="6" s="1"/>
  <c r="E165" i="6"/>
  <c r="M165" i="6" s="1"/>
  <c r="E166" i="6"/>
  <c r="M166" i="6" s="1"/>
  <c r="E167" i="6"/>
  <c r="M167" i="6" s="1"/>
  <c r="E168" i="6"/>
  <c r="M168" i="6" s="1"/>
  <c r="E169" i="6"/>
  <c r="M169" i="6" s="1"/>
  <c r="E170" i="6"/>
  <c r="M170" i="6" s="1"/>
  <c r="E171" i="6"/>
  <c r="M171" i="6" s="1"/>
  <c r="E172" i="6"/>
  <c r="M172" i="6" s="1"/>
  <c r="E173" i="6"/>
  <c r="M173" i="6" s="1"/>
  <c r="E174" i="6"/>
  <c r="M174" i="6" s="1"/>
  <c r="E175" i="6"/>
  <c r="M175" i="6" s="1"/>
  <c r="E176" i="6"/>
  <c r="M176" i="6" s="1"/>
  <c r="E177" i="6"/>
  <c r="M177" i="6" s="1"/>
  <c r="E178" i="6"/>
  <c r="M178" i="6" s="1"/>
  <c r="E179" i="6"/>
  <c r="M179" i="6" s="1"/>
  <c r="E180" i="6"/>
  <c r="M180" i="6" s="1"/>
  <c r="E181" i="6"/>
  <c r="M181" i="6" s="1"/>
  <c r="E182" i="6"/>
  <c r="M182" i="6" s="1"/>
  <c r="E183" i="6"/>
  <c r="M183" i="6" s="1"/>
  <c r="E184" i="6"/>
  <c r="M184" i="6" s="1"/>
  <c r="E185" i="6"/>
  <c r="M185" i="6" s="1"/>
  <c r="E186" i="6"/>
  <c r="M186" i="6" s="1"/>
  <c r="E187" i="6"/>
  <c r="M187" i="6" s="1"/>
  <c r="E188" i="6"/>
  <c r="M188" i="6" s="1"/>
  <c r="E189" i="6"/>
  <c r="M189" i="6" s="1"/>
  <c r="E190" i="6"/>
  <c r="M190" i="6" s="1"/>
  <c r="E191" i="6"/>
  <c r="M191" i="6" s="1"/>
  <c r="E192" i="6"/>
  <c r="M192" i="6" s="1"/>
  <c r="E193" i="6"/>
  <c r="M193" i="6" s="1"/>
  <c r="E194" i="6"/>
  <c r="M194" i="6" s="1"/>
  <c r="E195" i="6"/>
  <c r="M195" i="6" s="1"/>
  <c r="E196" i="6"/>
  <c r="M196" i="6" s="1"/>
  <c r="E197" i="6"/>
  <c r="M197" i="6" s="1"/>
  <c r="E198" i="6"/>
  <c r="M198" i="6" s="1"/>
  <c r="E199" i="6"/>
  <c r="M199" i="6" s="1"/>
  <c r="E200" i="6"/>
  <c r="M200" i="6" s="1"/>
  <c r="E201" i="6"/>
  <c r="M201" i="6" s="1"/>
  <c r="E202" i="6"/>
  <c r="M202" i="6" s="1"/>
  <c r="E203" i="6"/>
  <c r="M203" i="6" s="1"/>
  <c r="E204" i="6"/>
  <c r="M204" i="6" s="1"/>
  <c r="E205" i="6"/>
  <c r="M205" i="6" s="1"/>
  <c r="E206" i="6"/>
  <c r="M206" i="6" s="1"/>
  <c r="E207" i="6"/>
  <c r="M207" i="6" s="1"/>
  <c r="E208" i="6"/>
  <c r="M208" i="6" s="1"/>
  <c r="E209" i="6"/>
  <c r="M209" i="6" s="1"/>
  <c r="E210" i="6"/>
  <c r="M210" i="6" s="1"/>
  <c r="E211" i="6"/>
  <c r="M211" i="6" s="1"/>
  <c r="E212" i="6"/>
  <c r="M212" i="6" s="1"/>
  <c r="E213" i="6"/>
  <c r="M213" i="6" s="1"/>
  <c r="E214" i="6"/>
  <c r="M214" i="6" s="1"/>
  <c r="E215" i="6"/>
  <c r="M215" i="6" s="1"/>
  <c r="E216" i="6"/>
  <c r="M216" i="6" s="1"/>
  <c r="E217" i="6"/>
  <c r="M217" i="6" s="1"/>
  <c r="E218" i="6"/>
  <c r="M218" i="6" s="1"/>
  <c r="E219" i="6"/>
  <c r="M219" i="6" s="1"/>
  <c r="E220" i="6"/>
  <c r="M220" i="6" s="1"/>
  <c r="E221" i="6"/>
  <c r="M221" i="6" s="1"/>
  <c r="E222" i="6"/>
  <c r="M222" i="6" s="1"/>
  <c r="E223" i="6"/>
  <c r="M223" i="6" s="1"/>
  <c r="E224" i="6"/>
  <c r="M224" i="6" s="1"/>
  <c r="E225" i="6"/>
  <c r="M225" i="6" s="1"/>
  <c r="E226" i="6"/>
  <c r="M226" i="6" s="1"/>
  <c r="E227" i="6"/>
  <c r="M227" i="6" s="1"/>
  <c r="E228" i="6"/>
  <c r="M228" i="6" s="1"/>
  <c r="E229" i="6"/>
  <c r="M229" i="6" s="1"/>
  <c r="E230" i="6"/>
  <c r="M230" i="6" s="1"/>
  <c r="E231" i="6"/>
  <c r="M231" i="6" s="1"/>
  <c r="E232" i="6"/>
  <c r="M232" i="6" s="1"/>
  <c r="E233" i="6"/>
  <c r="M233" i="6" s="1"/>
  <c r="E234" i="6"/>
  <c r="M234" i="6" s="1"/>
  <c r="E235" i="6"/>
  <c r="M235" i="6" s="1"/>
  <c r="E236" i="6"/>
  <c r="M236" i="6" s="1"/>
  <c r="E237" i="6"/>
  <c r="M237" i="6" s="1"/>
  <c r="E238" i="6"/>
  <c r="M238" i="6" s="1"/>
  <c r="E239" i="6"/>
  <c r="M239" i="6" s="1"/>
  <c r="E240" i="6"/>
  <c r="M240" i="6" s="1"/>
  <c r="E241" i="6"/>
  <c r="M241" i="6" s="1"/>
  <c r="E242" i="6"/>
  <c r="M242" i="6" s="1"/>
  <c r="E243" i="6"/>
  <c r="M243" i="6" s="1"/>
  <c r="E244" i="6"/>
  <c r="M244" i="6" s="1"/>
  <c r="E245" i="6"/>
  <c r="M245" i="6" s="1"/>
  <c r="E246" i="6"/>
  <c r="M246" i="6" s="1"/>
  <c r="E247" i="6"/>
  <c r="M247" i="6" s="1"/>
  <c r="E248" i="6"/>
  <c r="M248" i="6" s="1"/>
  <c r="E249" i="6"/>
  <c r="M249" i="6" s="1"/>
  <c r="E250" i="6"/>
  <c r="M250" i="6" s="1"/>
  <c r="E251" i="6"/>
  <c r="M251" i="6" s="1"/>
  <c r="E252" i="6"/>
  <c r="M252" i="6" s="1"/>
  <c r="E253" i="6"/>
  <c r="M253" i="6" s="1"/>
  <c r="E254" i="6"/>
  <c r="M254" i="6" s="1"/>
  <c r="E255" i="6"/>
  <c r="M255" i="6" s="1"/>
  <c r="E256" i="6"/>
  <c r="M256" i="6" s="1"/>
  <c r="E257" i="6"/>
  <c r="M257" i="6" s="1"/>
  <c r="E258" i="6"/>
  <c r="M258" i="6" s="1"/>
  <c r="E259" i="6"/>
  <c r="M259" i="6" s="1"/>
  <c r="E260" i="6"/>
  <c r="M260" i="6" s="1"/>
  <c r="E261" i="6"/>
  <c r="M261" i="6" s="1"/>
  <c r="E262" i="6"/>
  <c r="M262" i="6" s="1"/>
  <c r="E263" i="6"/>
  <c r="M263" i="6" s="1"/>
  <c r="E264" i="6"/>
  <c r="M264" i="6" s="1"/>
  <c r="E265" i="6"/>
  <c r="M265" i="6" s="1"/>
  <c r="E266" i="6"/>
  <c r="M266" i="6" s="1"/>
  <c r="E267" i="6"/>
  <c r="M267" i="6" s="1"/>
  <c r="E268" i="6"/>
  <c r="M268" i="6" s="1"/>
  <c r="E269" i="6"/>
  <c r="M269" i="6" s="1"/>
  <c r="E270" i="6"/>
  <c r="M270" i="6" s="1"/>
  <c r="E271" i="6"/>
  <c r="M271" i="6" s="1"/>
  <c r="E272" i="6"/>
  <c r="M272" i="6" s="1"/>
  <c r="E273" i="6"/>
  <c r="M273" i="6" s="1"/>
  <c r="E274" i="6"/>
  <c r="M274" i="6" s="1"/>
  <c r="E275" i="6"/>
  <c r="M275" i="6" s="1"/>
  <c r="E276" i="6"/>
  <c r="M276" i="6" s="1"/>
  <c r="E277" i="6"/>
  <c r="M277" i="6" s="1"/>
  <c r="E278" i="6"/>
  <c r="M278" i="6" s="1"/>
  <c r="E279" i="6"/>
  <c r="M279" i="6" s="1"/>
  <c r="E280" i="6"/>
  <c r="M280" i="6" s="1"/>
  <c r="E281" i="6"/>
  <c r="M281" i="6" s="1"/>
  <c r="E282" i="6"/>
  <c r="M282" i="6" s="1"/>
  <c r="E283" i="6"/>
  <c r="M283" i="6" s="1"/>
  <c r="E284" i="6"/>
  <c r="M284" i="6" s="1"/>
  <c r="E285" i="6"/>
  <c r="M285" i="6" s="1"/>
  <c r="E286" i="6"/>
  <c r="M286" i="6" s="1"/>
  <c r="E287" i="6"/>
  <c r="M287" i="6" s="1"/>
  <c r="E288" i="6"/>
  <c r="M288" i="6" s="1"/>
  <c r="E289" i="6"/>
  <c r="M289" i="6" s="1"/>
  <c r="E290" i="6"/>
  <c r="M290" i="6" s="1"/>
  <c r="E291" i="6"/>
  <c r="M291" i="6" s="1"/>
  <c r="E292" i="6"/>
  <c r="M292" i="6" s="1"/>
  <c r="E293" i="6"/>
  <c r="M293" i="6" s="1"/>
  <c r="E294" i="6"/>
  <c r="M294" i="6" s="1"/>
  <c r="E295" i="6"/>
  <c r="M295" i="6" s="1"/>
  <c r="E296" i="6"/>
  <c r="M296" i="6" s="1"/>
  <c r="E297" i="6"/>
  <c r="M297" i="6" s="1"/>
  <c r="E298" i="6"/>
  <c r="M298" i="6" s="1"/>
  <c r="E299" i="6"/>
  <c r="M299" i="6" s="1"/>
  <c r="E300" i="6"/>
  <c r="M300" i="6" s="1"/>
  <c r="E301" i="6"/>
  <c r="M301" i="6" s="1"/>
  <c r="E302" i="6"/>
  <c r="M302" i="6" s="1"/>
  <c r="E303" i="6"/>
  <c r="M303" i="6" s="1"/>
  <c r="E304" i="6"/>
  <c r="M304" i="6" s="1"/>
  <c r="E305" i="6"/>
  <c r="M305" i="6" s="1"/>
  <c r="E306" i="6"/>
  <c r="M306" i="6" s="1"/>
  <c r="E307" i="6"/>
  <c r="M307" i="6" s="1"/>
  <c r="E308" i="6"/>
  <c r="M308" i="6" s="1"/>
  <c r="E309" i="6"/>
  <c r="M309" i="6" s="1"/>
  <c r="E310" i="6"/>
  <c r="M310" i="6" s="1"/>
  <c r="E311" i="6"/>
  <c r="M311" i="6" s="1"/>
  <c r="E312" i="6"/>
  <c r="M312" i="6" s="1"/>
  <c r="E313" i="6"/>
  <c r="M313" i="6" s="1"/>
  <c r="E314" i="6"/>
  <c r="M314" i="6" s="1"/>
  <c r="E315" i="6"/>
  <c r="M315" i="6" s="1"/>
  <c r="E316" i="6"/>
  <c r="M316" i="6" s="1"/>
  <c r="E317" i="6"/>
  <c r="M317" i="6" s="1"/>
  <c r="E318" i="6"/>
  <c r="M318" i="6" s="1"/>
  <c r="E319" i="6"/>
  <c r="M319" i="6" s="1"/>
  <c r="E320" i="6"/>
  <c r="M320" i="6" s="1"/>
  <c r="E321" i="6"/>
  <c r="M321" i="6" s="1"/>
  <c r="E322" i="6"/>
  <c r="M322" i="6" s="1"/>
  <c r="E323" i="6"/>
  <c r="M323" i="6" s="1"/>
  <c r="E324" i="6"/>
  <c r="M324" i="6" s="1"/>
  <c r="E325" i="6"/>
  <c r="M325" i="6" s="1"/>
  <c r="E326" i="6"/>
  <c r="M326" i="6" s="1"/>
  <c r="E327" i="6"/>
  <c r="M327" i="6" s="1"/>
  <c r="E328" i="6"/>
  <c r="M328" i="6" s="1"/>
  <c r="E329" i="6"/>
  <c r="M329" i="6" s="1"/>
  <c r="E330" i="6"/>
  <c r="M330" i="6" s="1"/>
  <c r="E331" i="6"/>
  <c r="M331" i="6" s="1"/>
  <c r="E332" i="6"/>
  <c r="M332" i="6" s="1"/>
  <c r="E333" i="6"/>
  <c r="M333" i="6" s="1"/>
  <c r="E334" i="6"/>
  <c r="M334" i="6" s="1"/>
  <c r="E335" i="6"/>
  <c r="M335" i="6" s="1"/>
  <c r="E336" i="6"/>
  <c r="M336" i="6" s="1"/>
  <c r="E337" i="6"/>
  <c r="M337" i="6" s="1"/>
  <c r="E338" i="6"/>
  <c r="M338" i="6" s="1"/>
  <c r="E339" i="6"/>
  <c r="M339" i="6" s="1"/>
  <c r="E340" i="6"/>
  <c r="M340" i="6" s="1"/>
  <c r="E341" i="6"/>
  <c r="M341" i="6" s="1"/>
  <c r="E342" i="6"/>
  <c r="M342" i="6" s="1"/>
  <c r="E343" i="6"/>
  <c r="M343" i="6" s="1"/>
  <c r="E344" i="6"/>
  <c r="M344" i="6" s="1"/>
  <c r="E345" i="6"/>
  <c r="M345" i="6" s="1"/>
  <c r="E346" i="6"/>
  <c r="M346" i="6" s="1"/>
  <c r="E347" i="6"/>
  <c r="M347" i="6" s="1"/>
  <c r="E348" i="6"/>
  <c r="M348" i="6" s="1"/>
  <c r="E349" i="6"/>
  <c r="M349" i="6" s="1"/>
  <c r="E350" i="6"/>
  <c r="M350" i="6" s="1"/>
  <c r="E351" i="6"/>
  <c r="M351" i="6" s="1"/>
  <c r="E352" i="6"/>
  <c r="M352" i="6" s="1"/>
  <c r="E353" i="6"/>
  <c r="M353" i="6" s="1"/>
  <c r="E354" i="6"/>
  <c r="M354" i="6" s="1"/>
  <c r="E355" i="6"/>
  <c r="M355" i="6" s="1"/>
  <c r="E356" i="6"/>
  <c r="M356" i="6" s="1"/>
  <c r="E357" i="6"/>
  <c r="M357" i="6" s="1"/>
  <c r="E358" i="6"/>
  <c r="M358" i="6" s="1"/>
  <c r="E359" i="6"/>
  <c r="M359" i="6" s="1"/>
  <c r="E360" i="6"/>
  <c r="M360" i="6" s="1"/>
  <c r="E361" i="6"/>
  <c r="M361" i="6" s="1"/>
  <c r="E362" i="6"/>
  <c r="M362" i="6" s="1"/>
  <c r="E363" i="6"/>
  <c r="M363" i="6" s="1"/>
  <c r="E364" i="6"/>
  <c r="M364" i="6" s="1"/>
  <c r="E365" i="6"/>
  <c r="M365" i="6" s="1"/>
  <c r="E366" i="6"/>
  <c r="M366" i="6" s="1"/>
  <c r="E367" i="6"/>
  <c r="M367" i="6" s="1"/>
  <c r="E368" i="6"/>
  <c r="M368" i="6" s="1"/>
  <c r="E369" i="6"/>
  <c r="M369" i="6" s="1"/>
  <c r="E370" i="6"/>
  <c r="M370" i="6" s="1"/>
  <c r="E371" i="6"/>
  <c r="M371" i="6" s="1"/>
  <c r="E372" i="6"/>
  <c r="M372" i="6" s="1"/>
  <c r="E373" i="6"/>
  <c r="M373" i="6" s="1"/>
  <c r="E374" i="6"/>
  <c r="M374" i="6" s="1"/>
  <c r="E375" i="6"/>
  <c r="M375" i="6" s="1"/>
  <c r="E376" i="6"/>
  <c r="M376" i="6" s="1"/>
  <c r="E377" i="6"/>
  <c r="M377" i="6" s="1"/>
  <c r="E378" i="6"/>
  <c r="M378" i="6" s="1"/>
  <c r="E379" i="6"/>
  <c r="M379" i="6" s="1"/>
  <c r="E380" i="6"/>
  <c r="M380" i="6" s="1"/>
  <c r="E381" i="6"/>
  <c r="M381" i="6" s="1"/>
  <c r="E382" i="6"/>
  <c r="M382" i="6" s="1"/>
  <c r="E383" i="6"/>
  <c r="M383" i="6" s="1"/>
  <c r="E384" i="6"/>
  <c r="M384" i="6" s="1"/>
  <c r="E385" i="6"/>
  <c r="M385" i="6" s="1"/>
  <c r="E386" i="6"/>
  <c r="M386" i="6" s="1"/>
  <c r="E387" i="6"/>
  <c r="M387" i="6" s="1"/>
  <c r="E388" i="6"/>
  <c r="M388" i="6" s="1"/>
  <c r="E389" i="6"/>
  <c r="M389" i="6" s="1"/>
  <c r="E390" i="6"/>
  <c r="M390" i="6" s="1"/>
  <c r="E391" i="6"/>
  <c r="M391" i="6" s="1"/>
  <c r="E392" i="6"/>
  <c r="M392" i="6" s="1"/>
  <c r="E393" i="6"/>
  <c r="M393" i="6" s="1"/>
  <c r="E394" i="6"/>
  <c r="M394" i="6" s="1"/>
  <c r="E395" i="6"/>
  <c r="M395" i="6" s="1"/>
  <c r="E396" i="6"/>
  <c r="M396" i="6" s="1"/>
  <c r="E397" i="6"/>
  <c r="M397" i="6" s="1"/>
  <c r="E398" i="6"/>
  <c r="M398" i="6" s="1"/>
  <c r="E399" i="6"/>
  <c r="M399" i="6" s="1"/>
  <c r="E400" i="6"/>
  <c r="M400" i="6" s="1"/>
  <c r="E401" i="6"/>
  <c r="M401" i="6" s="1"/>
  <c r="E402" i="6"/>
  <c r="M402" i="6" s="1"/>
  <c r="E403" i="6"/>
  <c r="M403" i="6" s="1"/>
  <c r="E404" i="6"/>
  <c r="M404" i="6" s="1"/>
  <c r="E405" i="6"/>
  <c r="M405" i="6" s="1"/>
  <c r="E406" i="6"/>
  <c r="M406" i="6" s="1"/>
  <c r="E407" i="6"/>
  <c r="M407" i="6" s="1"/>
  <c r="E408" i="6"/>
  <c r="M408" i="6" s="1"/>
  <c r="E409" i="6"/>
  <c r="M409" i="6" s="1"/>
  <c r="E410" i="6"/>
  <c r="M410" i="6" s="1"/>
  <c r="E411" i="6"/>
  <c r="M411" i="6" s="1"/>
  <c r="E412" i="6"/>
  <c r="M412" i="6" s="1"/>
  <c r="E413" i="6"/>
  <c r="M413" i="6" s="1"/>
  <c r="E414" i="6"/>
  <c r="M414" i="6" s="1"/>
  <c r="E415" i="6"/>
  <c r="M415" i="6" s="1"/>
  <c r="E416" i="6"/>
  <c r="M416" i="6" s="1"/>
  <c r="E417" i="6"/>
  <c r="M417" i="6" s="1"/>
  <c r="E418" i="6"/>
  <c r="M418" i="6" s="1"/>
  <c r="E419" i="6"/>
  <c r="M419" i="6" s="1"/>
  <c r="E420" i="6"/>
  <c r="M420" i="6" s="1"/>
  <c r="E421" i="6"/>
  <c r="M421" i="6" s="1"/>
  <c r="E422" i="6"/>
  <c r="M422" i="6" s="1"/>
  <c r="E423" i="6"/>
  <c r="M423" i="6" s="1"/>
  <c r="E424" i="6"/>
  <c r="M424" i="6" s="1"/>
  <c r="E425" i="6"/>
  <c r="M425" i="6" s="1"/>
  <c r="E426" i="6"/>
  <c r="M426" i="6" s="1"/>
  <c r="E427" i="6"/>
  <c r="M427" i="6" s="1"/>
  <c r="E428" i="6"/>
  <c r="M428" i="6" s="1"/>
  <c r="E429" i="6"/>
  <c r="M429" i="6" s="1"/>
  <c r="E430" i="6"/>
  <c r="M430" i="6" s="1"/>
  <c r="E431" i="6"/>
  <c r="M431" i="6" s="1"/>
  <c r="E432" i="6"/>
  <c r="M432" i="6" s="1"/>
  <c r="E433" i="6"/>
  <c r="M433" i="6" s="1"/>
  <c r="E434" i="6"/>
  <c r="M434" i="6" s="1"/>
  <c r="E435" i="6"/>
  <c r="M435" i="6" s="1"/>
  <c r="E436" i="6"/>
  <c r="M436" i="6" s="1"/>
  <c r="E437" i="6"/>
  <c r="M437" i="6" s="1"/>
  <c r="E438" i="6"/>
  <c r="M438" i="6" s="1"/>
  <c r="E439" i="6"/>
  <c r="M439" i="6" s="1"/>
  <c r="E440" i="6"/>
  <c r="M440" i="6" s="1"/>
  <c r="E441" i="6"/>
  <c r="M441" i="6" s="1"/>
  <c r="E442" i="6"/>
  <c r="M442" i="6" s="1"/>
  <c r="E443" i="6"/>
  <c r="M443" i="6" s="1"/>
  <c r="E444" i="6"/>
  <c r="M444" i="6" s="1"/>
  <c r="E445" i="6"/>
  <c r="M445" i="6" s="1"/>
  <c r="E446" i="6"/>
  <c r="M446" i="6" s="1"/>
  <c r="E447" i="6"/>
  <c r="M447" i="6" s="1"/>
  <c r="E448" i="6"/>
  <c r="M448" i="6" s="1"/>
  <c r="E449" i="6"/>
  <c r="M449" i="6" s="1"/>
  <c r="E450" i="6"/>
  <c r="M450" i="6" s="1"/>
  <c r="E451" i="6"/>
  <c r="M451" i="6" s="1"/>
  <c r="E452" i="6"/>
  <c r="M452" i="6" s="1"/>
  <c r="E453" i="6"/>
  <c r="M453" i="6" s="1"/>
  <c r="E454" i="6"/>
  <c r="M454" i="6" s="1"/>
  <c r="E455" i="6"/>
  <c r="M455" i="6" s="1"/>
  <c r="E456" i="6"/>
  <c r="M456" i="6" s="1"/>
  <c r="E457" i="6"/>
  <c r="M457" i="6" s="1"/>
  <c r="E458" i="6"/>
  <c r="M458" i="6" s="1"/>
  <c r="E459" i="6"/>
  <c r="M459" i="6" s="1"/>
  <c r="E460" i="6"/>
  <c r="M460" i="6" s="1"/>
  <c r="E461" i="6"/>
  <c r="M461" i="6" s="1"/>
  <c r="E462" i="6"/>
  <c r="M462" i="6" s="1"/>
  <c r="E463" i="6"/>
  <c r="M463" i="6" s="1"/>
  <c r="E464" i="6"/>
  <c r="M464" i="6" s="1"/>
  <c r="E465" i="6"/>
  <c r="M465" i="6" s="1"/>
  <c r="E466" i="6"/>
  <c r="M466" i="6" s="1"/>
  <c r="E467" i="6"/>
  <c r="M467" i="6" s="1"/>
  <c r="E468" i="6"/>
  <c r="M468" i="6" s="1"/>
  <c r="E469" i="6"/>
  <c r="E470" i="6"/>
  <c r="M470" i="6" s="1"/>
  <c r="E471" i="6"/>
  <c r="M471" i="6" s="1"/>
  <c r="E472" i="6"/>
  <c r="M472" i="6" s="1"/>
  <c r="E473" i="6"/>
  <c r="M473" i="6" s="1"/>
  <c r="E474" i="6"/>
  <c r="M474" i="6" s="1"/>
  <c r="E475" i="6"/>
  <c r="M475" i="6" s="1"/>
  <c r="E476" i="6"/>
  <c r="M476" i="6" s="1"/>
  <c r="E477" i="6"/>
  <c r="M477" i="6" s="1"/>
  <c r="E478" i="6"/>
  <c r="M478" i="6" s="1"/>
  <c r="E479" i="6"/>
  <c r="E480" i="6"/>
  <c r="M480" i="6" s="1"/>
  <c r="E481" i="6"/>
  <c r="M481" i="6" s="1"/>
  <c r="E482" i="6"/>
  <c r="M482" i="6" s="1"/>
  <c r="E483" i="6"/>
  <c r="M483" i="6" s="1"/>
  <c r="E484" i="6"/>
  <c r="M484" i="6" s="1"/>
  <c r="E485" i="6"/>
  <c r="M485" i="6" s="1"/>
  <c r="E486" i="6"/>
  <c r="M486" i="6" s="1"/>
  <c r="E487" i="6"/>
  <c r="M487" i="6" s="1"/>
  <c r="E488" i="6"/>
  <c r="M488" i="6" s="1"/>
  <c r="E489" i="6"/>
  <c r="E490" i="6"/>
  <c r="M490" i="6" s="1"/>
  <c r="E491" i="6"/>
  <c r="M491" i="6" s="1"/>
  <c r="E492" i="6"/>
  <c r="M492" i="6" s="1"/>
  <c r="E493" i="6"/>
  <c r="M493" i="6" s="1"/>
  <c r="E494" i="6"/>
  <c r="M494" i="6" s="1"/>
  <c r="E495" i="6"/>
  <c r="M495" i="6" s="1"/>
  <c r="E496" i="6"/>
  <c r="M496" i="6" s="1"/>
  <c r="E497" i="6"/>
  <c r="M497" i="6" s="1"/>
  <c r="E498" i="6"/>
  <c r="M498" i="6" s="1"/>
  <c r="E499" i="6"/>
  <c r="E500" i="6"/>
  <c r="M500" i="6" s="1"/>
  <c r="E501" i="6"/>
  <c r="M501" i="6" s="1"/>
  <c r="E502" i="6"/>
  <c r="M502" i="6" s="1"/>
  <c r="E503" i="6"/>
  <c r="M503" i="6" s="1"/>
  <c r="E504" i="6"/>
  <c r="M504" i="6" s="1"/>
  <c r="E505" i="6"/>
  <c r="M505" i="6" s="1"/>
  <c r="E506" i="6"/>
  <c r="M506" i="6" s="1"/>
  <c r="E507" i="6"/>
  <c r="M507" i="6" s="1"/>
  <c r="E508" i="6"/>
  <c r="M508" i="6" s="1"/>
  <c r="E509" i="6"/>
  <c r="E510" i="6"/>
  <c r="M510" i="6" s="1"/>
  <c r="E511" i="6"/>
  <c r="M511" i="6" s="1"/>
  <c r="E512" i="6"/>
  <c r="M512" i="6" s="1"/>
  <c r="E513" i="6"/>
  <c r="M513" i="6" s="1"/>
  <c r="E514" i="6"/>
  <c r="M514" i="6" s="1"/>
  <c r="E515" i="6"/>
  <c r="M515" i="6" s="1"/>
  <c r="E516" i="6"/>
  <c r="M516" i="6" s="1"/>
  <c r="E517" i="6"/>
  <c r="M517" i="6" s="1"/>
  <c r="E518" i="6"/>
  <c r="M518" i="6" s="1"/>
  <c r="E519" i="6"/>
  <c r="E520" i="6"/>
  <c r="M520" i="6" s="1"/>
  <c r="E521" i="6"/>
  <c r="M521" i="6" s="1"/>
  <c r="E522" i="6"/>
  <c r="M522" i="6" s="1"/>
  <c r="E523" i="6"/>
  <c r="M523" i="6" s="1"/>
  <c r="E524" i="6"/>
  <c r="M524" i="6" s="1"/>
  <c r="E525" i="6"/>
  <c r="M525" i="6" s="1"/>
  <c r="E526" i="6"/>
  <c r="M526" i="6" s="1"/>
  <c r="E527" i="6"/>
  <c r="M527" i="6" s="1"/>
  <c r="E528" i="6"/>
  <c r="M528" i="6" s="1"/>
  <c r="E529" i="6"/>
  <c r="E530" i="6"/>
  <c r="M530" i="6" s="1"/>
  <c r="E531" i="6"/>
  <c r="M531" i="6" s="1"/>
  <c r="E532" i="6"/>
  <c r="M532" i="6" s="1"/>
  <c r="E533" i="6"/>
  <c r="M533" i="6" s="1"/>
  <c r="E534" i="6"/>
  <c r="M534" i="6" s="1"/>
  <c r="E535" i="6"/>
  <c r="M535" i="6" s="1"/>
  <c r="E536" i="6"/>
  <c r="M536" i="6" s="1"/>
  <c r="E537" i="6"/>
  <c r="M537" i="6" s="1"/>
  <c r="E538" i="6"/>
  <c r="M538" i="6" s="1"/>
  <c r="E539" i="6"/>
  <c r="E540" i="6"/>
  <c r="M540" i="6" s="1"/>
  <c r="E541" i="6"/>
  <c r="M541" i="6" s="1"/>
  <c r="E542" i="6"/>
  <c r="M542" i="6" s="1"/>
  <c r="E543" i="6"/>
  <c r="M543" i="6" s="1"/>
  <c r="E544" i="6"/>
  <c r="M544" i="6" s="1"/>
  <c r="E545" i="6"/>
  <c r="M545" i="6" s="1"/>
  <c r="E546" i="6"/>
  <c r="M546" i="6" s="1"/>
  <c r="E547" i="6"/>
  <c r="M547" i="6" s="1"/>
  <c r="E548" i="6"/>
  <c r="M548" i="6" s="1"/>
  <c r="E549" i="6"/>
  <c r="E550" i="6"/>
  <c r="M550" i="6" s="1"/>
  <c r="E551" i="6"/>
  <c r="M551" i="6" s="1"/>
  <c r="E552" i="6"/>
  <c r="M552" i="6" s="1"/>
  <c r="E553" i="6"/>
  <c r="M553" i="6" s="1"/>
  <c r="E554" i="6"/>
  <c r="M554" i="6" s="1"/>
  <c r="E555" i="6"/>
  <c r="M555" i="6" s="1"/>
  <c r="E556" i="6"/>
  <c r="M556" i="6" s="1"/>
  <c r="E557" i="6"/>
  <c r="M557" i="6" s="1"/>
  <c r="E558" i="6"/>
  <c r="M558" i="6" s="1"/>
  <c r="E559" i="6"/>
  <c r="E560" i="6"/>
  <c r="M560" i="6" s="1"/>
  <c r="E561" i="6"/>
  <c r="M561" i="6" s="1"/>
  <c r="E562" i="6"/>
  <c r="M562" i="6" s="1"/>
  <c r="E563" i="6"/>
  <c r="M563" i="6" s="1"/>
  <c r="E564" i="6"/>
  <c r="M564" i="6" s="1"/>
  <c r="E565" i="6"/>
  <c r="M565" i="6" s="1"/>
  <c r="E566" i="6"/>
  <c r="M566" i="6" s="1"/>
  <c r="E567" i="6"/>
  <c r="M567" i="6" s="1"/>
  <c r="E568" i="6"/>
  <c r="M568" i="6" s="1"/>
  <c r="E569" i="6"/>
  <c r="E570" i="6"/>
  <c r="M570" i="6" s="1"/>
  <c r="E571" i="6"/>
  <c r="M571" i="6" s="1"/>
  <c r="E572" i="6"/>
  <c r="M572" i="6" s="1"/>
  <c r="E573" i="6"/>
  <c r="M573" i="6" s="1"/>
  <c r="E574" i="6"/>
  <c r="M574" i="6" s="1"/>
  <c r="E575" i="6"/>
  <c r="M575" i="6" s="1"/>
  <c r="E576" i="6"/>
  <c r="M576" i="6" s="1"/>
  <c r="E577" i="6"/>
  <c r="M577" i="6" s="1"/>
  <c r="E578" i="6"/>
  <c r="M578" i="6" s="1"/>
  <c r="E579" i="6"/>
  <c r="E580" i="6"/>
  <c r="M580" i="6" s="1"/>
  <c r="E581" i="6"/>
  <c r="M581" i="6" s="1"/>
  <c r="E582" i="6"/>
  <c r="M582" i="6" s="1"/>
  <c r="E583" i="6"/>
  <c r="M583" i="6" s="1"/>
  <c r="E584" i="6"/>
  <c r="M584" i="6" s="1"/>
  <c r="E585" i="6"/>
  <c r="M585" i="6" s="1"/>
  <c r="E586" i="6"/>
  <c r="M586" i="6" s="1"/>
  <c r="E587" i="6"/>
  <c r="M587" i="6" s="1"/>
  <c r="E588" i="6"/>
  <c r="M588" i="6" s="1"/>
  <c r="E589" i="6"/>
  <c r="E590" i="6"/>
  <c r="M590" i="6" s="1"/>
  <c r="E591" i="6"/>
  <c r="M591" i="6" s="1"/>
  <c r="E592" i="6"/>
  <c r="M592" i="6" s="1"/>
  <c r="E593" i="6"/>
  <c r="M593" i="6" s="1"/>
  <c r="E594" i="6"/>
  <c r="M594" i="6" s="1"/>
  <c r="E595" i="6"/>
  <c r="M595" i="6" s="1"/>
  <c r="E596" i="6"/>
  <c r="M596" i="6" s="1"/>
  <c r="E597" i="6"/>
  <c r="M597" i="6" s="1"/>
  <c r="E598" i="6"/>
  <c r="M598" i="6" s="1"/>
  <c r="E599" i="6"/>
  <c r="E600" i="6"/>
  <c r="M600" i="6" s="1"/>
  <c r="E601" i="6"/>
  <c r="M601" i="6" s="1"/>
  <c r="E602" i="6"/>
  <c r="M602" i="6" s="1"/>
  <c r="E603" i="6"/>
  <c r="M603" i="6" s="1"/>
  <c r="E604" i="6"/>
  <c r="M604" i="6" s="1"/>
  <c r="E605" i="6"/>
  <c r="M605" i="6" s="1"/>
  <c r="E606" i="6"/>
  <c r="M606" i="6" s="1"/>
  <c r="E607" i="6"/>
  <c r="M607" i="6" s="1"/>
  <c r="E608" i="6"/>
  <c r="M608" i="6" s="1"/>
  <c r="E609" i="6"/>
  <c r="E610" i="6"/>
  <c r="M610" i="6" s="1"/>
  <c r="E611" i="6"/>
  <c r="M611" i="6" s="1"/>
  <c r="E612" i="6"/>
  <c r="M612" i="6" s="1"/>
  <c r="E613" i="6"/>
  <c r="M613" i="6" s="1"/>
  <c r="E614" i="6"/>
  <c r="M614" i="6" s="1"/>
  <c r="E615" i="6"/>
  <c r="M615" i="6" s="1"/>
  <c r="E616" i="6"/>
  <c r="M616" i="6" s="1"/>
  <c r="E617" i="6"/>
  <c r="M617" i="6" s="1"/>
  <c r="E618" i="6"/>
  <c r="M618" i="6" s="1"/>
  <c r="E619" i="6"/>
  <c r="E620" i="6"/>
  <c r="M620" i="6" s="1"/>
  <c r="E621" i="6"/>
  <c r="M621" i="6" s="1"/>
  <c r="E622" i="6"/>
  <c r="M622" i="6" s="1"/>
  <c r="E623" i="6"/>
  <c r="M623" i="6" s="1"/>
  <c r="E624" i="6"/>
  <c r="M624" i="6" s="1"/>
  <c r="E625" i="6"/>
  <c r="M625" i="6" s="1"/>
  <c r="E626" i="6"/>
  <c r="M626" i="6" s="1"/>
  <c r="E627" i="6"/>
  <c r="M627" i="6" s="1"/>
  <c r="E628" i="6"/>
  <c r="M628" i="6" s="1"/>
  <c r="E629" i="6"/>
  <c r="E630" i="6"/>
  <c r="M630" i="6" s="1"/>
  <c r="E631" i="6"/>
  <c r="M631" i="6" s="1"/>
  <c r="E632" i="6"/>
  <c r="M632" i="6" s="1"/>
  <c r="E633" i="6"/>
  <c r="M633" i="6" s="1"/>
  <c r="E634" i="6"/>
  <c r="M634" i="6" s="1"/>
  <c r="E635" i="6"/>
  <c r="M635" i="6" s="1"/>
  <c r="E636" i="6"/>
  <c r="M636" i="6" s="1"/>
  <c r="E637" i="6"/>
  <c r="M637" i="6" s="1"/>
  <c r="E638" i="6"/>
  <c r="M638" i="6" s="1"/>
  <c r="E639" i="6"/>
  <c r="E640" i="6"/>
  <c r="M640" i="6" s="1"/>
  <c r="E641" i="6"/>
  <c r="M641" i="6" s="1"/>
  <c r="E642" i="6"/>
  <c r="M642" i="6" s="1"/>
  <c r="E643" i="6"/>
  <c r="M643" i="6" s="1"/>
  <c r="E644" i="6"/>
  <c r="M644" i="6" s="1"/>
  <c r="E645" i="6"/>
  <c r="M645" i="6" s="1"/>
  <c r="E646" i="6"/>
  <c r="M646" i="6" s="1"/>
  <c r="E647" i="6"/>
  <c r="M647" i="6" s="1"/>
  <c r="E648" i="6"/>
  <c r="M648" i="6" s="1"/>
  <c r="E649" i="6"/>
  <c r="E650" i="6"/>
  <c r="M650" i="6" s="1"/>
  <c r="E651" i="6"/>
  <c r="M651" i="6" s="1"/>
  <c r="E652" i="6"/>
  <c r="M652" i="6" s="1"/>
  <c r="E653" i="6"/>
  <c r="M653" i="6" s="1"/>
  <c r="E654" i="6"/>
  <c r="M654" i="6" s="1"/>
  <c r="E655" i="6"/>
  <c r="M655" i="6" s="1"/>
  <c r="E656" i="6"/>
  <c r="M656" i="6" s="1"/>
  <c r="E657" i="6"/>
  <c r="M657" i="6" s="1"/>
  <c r="E658" i="6"/>
  <c r="M658" i="6" s="1"/>
  <c r="E659" i="6"/>
  <c r="E660" i="6"/>
  <c r="M660" i="6" s="1"/>
  <c r="E661" i="6"/>
  <c r="M661" i="6" s="1"/>
  <c r="E662" i="6"/>
  <c r="M662" i="6" s="1"/>
  <c r="E663" i="6"/>
  <c r="M663" i="6" s="1"/>
  <c r="E664" i="6"/>
  <c r="M664" i="6" s="1"/>
  <c r="E665" i="6"/>
  <c r="M665" i="6" s="1"/>
  <c r="E666" i="6"/>
  <c r="M666" i="6" s="1"/>
  <c r="E667" i="6"/>
  <c r="M667" i="6" s="1"/>
  <c r="E668" i="6"/>
  <c r="M668" i="6" s="1"/>
  <c r="E669" i="6"/>
  <c r="E670" i="6"/>
  <c r="M670" i="6" s="1"/>
  <c r="E671" i="6"/>
  <c r="M671" i="6" s="1"/>
  <c r="E672" i="6"/>
  <c r="M672" i="6" s="1"/>
  <c r="E673" i="6"/>
  <c r="M673" i="6" s="1"/>
  <c r="E674" i="6"/>
  <c r="M674" i="6" s="1"/>
  <c r="E675" i="6"/>
  <c r="M675" i="6" s="1"/>
  <c r="E676" i="6"/>
  <c r="M676" i="6" s="1"/>
  <c r="E677" i="6"/>
  <c r="M677" i="6" s="1"/>
  <c r="E678" i="6"/>
  <c r="M678" i="6" s="1"/>
  <c r="E679" i="6"/>
  <c r="E680" i="6"/>
  <c r="M680" i="6" s="1"/>
  <c r="E681" i="6"/>
  <c r="M681" i="6" s="1"/>
  <c r="E682" i="6"/>
  <c r="M682" i="6" s="1"/>
  <c r="E683" i="6"/>
  <c r="M683" i="6" s="1"/>
  <c r="E684" i="6"/>
  <c r="M684" i="6" s="1"/>
  <c r="E685" i="6"/>
  <c r="M685" i="6" s="1"/>
  <c r="E686" i="6"/>
  <c r="M686" i="6" s="1"/>
  <c r="E687" i="6"/>
  <c r="M687" i="6" s="1"/>
  <c r="E688" i="6"/>
  <c r="M688" i="6" s="1"/>
  <c r="E689" i="6"/>
  <c r="E690" i="6"/>
  <c r="M690" i="6" s="1"/>
  <c r="E691" i="6"/>
  <c r="M691" i="6" s="1"/>
  <c r="E692" i="6"/>
  <c r="M692" i="6" s="1"/>
  <c r="E693" i="6"/>
  <c r="M693" i="6" s="1"/>
  <c r="E694" i="6"/>
  <c r="M694" i="6" s="1"/>
  <c r="E695" i="6"/>
  <c r="M695" i="6" s="1"/>
  <c r="E696" i="6"/>
  <c r="M696" i="6" s="1"/>
  <c r="E697" i="6"/>
  <c r="M697" i="6" s="1"/>
  <c r="E698" i="6"/>
  <c r="M698" i="6" s="1"/>
  <c r="E699" i="6"/>
  <c r="E700" i="6"/>
  <c r="M700" i="6" s="1"/>
  <c r="E701" i="6"/>
  <c r="M701" i="6" s="1"/>
  <c r="E702" i="6"/>
  <c r="M702" i="6" s="1"/>
  <c r="E703" i="6"/>
  <c r="M703" i="6" s="1"/>
  <c r="E704" i="6"/>
  <c r="M704" i="6" s="1"/>
  <c r="E705" i="6"/>
  <c r="M705" i="6" s="1"/>
  <c r="E706" i="6"/>
  <c r="M706" i="6" s="1"/>
  <c r="E707" i="6"/>
  <c r="M707" i="6" s="1"/>
  <c r="E708" i="6"/>
  <c r="M708" i="6" s="1"/>
  <c r="E709" i="6"/>
  <c r="E710" i="6"/>
  <c r="M710" i="6" s="1"/>
  <c r="E711" i="6"/>
  <c r="M711" i="6" s="1"/>
  <c r="E712" i="6"/>
  <c r="M712" i="6" s="1"/>
  <c r="E713" i="6"/>
  <c r="M713" i="6" s="1"/>
  <c r="E714" i="6"/>
  <c r="M714" i="6" s="1"/>
  <c r="E715" i="6"/>
  <c r="M715" i="6" s="1"/>
  <c r="E716" i="6"/>
  <c r="M716" i="6" s="1"/>
  <c r="E717" i="6"/>
  <c r="M717" i="6" s="1"/>
  <c r="E718" i="6"/>
  <c r="M718" i="6" s="1"/>
  <c r="E719" i="6"/>
  <c r="E720" i="6"/>
  <c r="M720" i="6" s="1"/>
  <c r="E721" i="6"/>
  <c r="M721" i="6" s="1"/>
  <c r="E722" i="6"/>
  <c r="M722" i="6" s="1"/>
  <c r="E723" i="6"/>
  <c r="M723" i="6" s="1"/>
  <c r="E724" i="6"/>
  <c r="M724" i="6" s="1"/>
  <c r="E725" i="6"/>
  <c r="M725" i="6" s="1"/>
  <c r="E726" i="6"/>
  <c r="M726" i="6" s="1"/>
  <c r="E727" i="6"/>
  <c r="M727" i="6" s="1"/>
  <c r="E728" i="6"/>
  <c r="M728" i="6" s="1"/>
  <c r="E729" i="6"/>
  <c r="E730" i="6"/>
  <c r="M730" i="6" s="1"/>
  <c r="E731" i="6"/>
  <c r="M731" i="6" s="1"/>
  <c r="E732" i="6"/>
  <c r="M732" i="6" s="1"/>
  <c r="E733" i="6"/>
  <c r="M733" i="6" s="1"/>
  <c r="E734" i="6"/>
  <c r="M734" i="6" s="1"/>
  <c r="E735" i="6"/>
  <c r="M735" i="6" s="1"/>
  <c r="E736" i="6"/>
  <c r="M736" i="6" s="1"/>
  <c r="E737" i="6"/>
  <c r="M737" i="6" s="1"/>
  <c r="E738" i="6"/>
  <c r="M738" i="6" s="1"/>
  <c r="E739" i="6"/>
  <c r="E740" i="6"/>
  <c r="M740" i="6" s="1"/>
  <c r="E741" i="6"/>
  <c r="M741" i="6" s="1"/>
  <c r="E742" i="6"/>
  <c r="M742" i="6" s="1"/>
  <c r="E743" i="6"/>
  <c r="M743" i="6" s="1"/>
  <c r="E744" i="6"/>
  <c r="M744" i="6" s="1"/>
  <c r="E745" i="6"/>
  <c r="M745" i="6" s="1"/>
  <c r="E746" i="6"/>
  <c r="M746" i="6" s="1"/>
  <c r="E747" i="6"/>
  <c r="M747" i="6" s="1"/>
  <c r="E748" i="6"/>
  <c r="M748" i="6" s="1"/>
  <c r="E749" i="6"/>
  <c r="E750" i="6"/>
  <c r="M750" i="6" s="1"/>
  <c r="E751" i="6"/>
  <c r="M751" i="6" s="1"/>
  <c r="E752" i="6"/>
  <c r="M752" i="6" s="1"/>
  <c r="E753" i="6"/>
  <c r="M753" i="6" s="1"/>
  <c r="E754" i="6"/>
  <c r="M754" i="6" s="1"/>
  <c r="E755" i="6"/>
  <c r="M755" i="6" s="1"/>
  <c r="E756" i="6"/>
  <c r="M756" i="6" s="1"/>
  <c r="E757" i="6"/>
  <c r="M757" i="6" s="1"/>
  <c r="E758" i="6"/>
  <c r="M758" i="6" s="1"/>
  <c r="E759" i="6"/>
  <c r="E760" i="6"/>
  <c r="M760" i="6" s="1"/>
  <c r="E761" i="6"/>
  <c r="M761" i="6" s="1"/>
  <c r="E762" i="6"/>
  <c r="M762" i="6" s="1"/>
  <c r="E763" i="6"/>
  <c r="M763" i="6" s="1"/>
  <c r="E764" i="6"/>
  <c r="M764" i="6" s="1"/>
  <c r="E765" i="6"/>
  <c r="M765" i="6" s="1"/>
  <c r="E766" i="6"/>
  <c r="M766" i="6" s="1"/>
  <c r="E767" i="6"/>
  <c r="M767" i="6" s="1"/>
  <c r="E768" i="6"/>
  <c r="M768" i="6" s="1"/>
  <c r="E769" i="6"/>
  <c r="E770" i="6"/>
  <c r="M770" i="6" s="1"/>
  <c r="E771" i="6"/>
  <c r="M771" i="6" s="1"/>
  <c r="E772" i="6"/>
  <c r="M772" i="6" s="1"/>
  <c r="E773" i="6"/>
  <c r="M773" i="6" s="1"/>
  <c r="E774" i="6"/>
  <c r="M774" i="6" s="1"/>
  <c r="E775" i="6"/>
  <c r="M775" i="6" s="1"/>
  <c r="E776" i="6"/>
  <c r="M776" i="6" s="1"/>
  <c r="E777" i="6"/>
  <c r="M777" i="6" s="1"/>
  <c r="E778" i="6"/>
  <c r="M778" i="6" s="1"/>
  <c r="E779" i="6"/>
  <c r="E780" i="6"/>
  <c r="M780" i="6" s="1"/>
  <c r="E781" i="6"/>
  <c r="M781" i="6" s="1"/>
  <c r="E782" i="6"/>
  <c r="M782" i="6" s="1"/>
  <c r="E783" i="6"/>
  <c r="M783" i="6" s="1"/>
  <c r="E784" i="6"/>
  <c r="M784" i="6" s="1"/>
  <c r="E785" i="6"/>
  <c r="M785" i="6" s="1"/>
  <c r="E786" i="6"/>
  <c r="M786" i="6" s="1"/>
  <c r="E787" i="6"/>
  <c r="M787" i="6" s="1"/>
  <c r="E788" i="6"/>
  <c r="M788" i="6" s="1"/>
  <c r="E789" i="6"/>
  <c r="E790" i="6"/>
  <c r="M790" i="6" s="1"/>
  <c r="E791" i="6"/>
  <c r="M791" i="6" s="1"/>
  <c r="E792" i="6"/>
  <c r="M792" i="6" s="1"/>
  <c r="E793" i="6"/>
  <c r="M793" i="6" s="1"/>
  <c r="E794" i="6"/>
  <c r="M794" i="6" s="1"/>
  <c r="E795" i="6"/>
  <c r="M795" i="6" s="1"/>
  <c r="E796" i="6"/>
  <c r="M796" i="6" s="1"/>
  <c r="E797" i="6"/>
  <c r="M797" i="6" s="1"/>
  <c r="E798" i="6"/>
  <c r="M798" i="6" s="1"/>
  <c r="E799" i="6"/>
  <c r="E800" i="6"/>
  <c r="M800" i="6" s="1"/>
  <c r="E801" i="6"/>
  <c r="M801" i="6" s="1"/>
  <c r="E802" i="6"/>
  <c r="M802" i="6" s="1"/>
  <c r="E803" i="6"/>
  <c r="M803" i="6" s="1"/>
  <c r="E804" i="6"/>
  <c r="M804" i="6" s="1"/>
  <c r="E805" i="6"/>
  <c r="M805" i="6" s="1"/>
  <c r="E806" i="6"/>
  <c r="M806" i="6" s="1"/>
  <c r="E807" i="6"/>
  <c r="M807" i="6" s="1"/>
  <c r="E808" i="6"/>
  <c r="M808" i="6" s="1"/>
  <c r="E809" i="6"/>
  <c r="E810" i="6"/>
  <c r="M810" i="6" s="1"/>
  <c r="E811" i="6"/>
  <c r="M811" i="6" s="1"/>
  <c r="E812" i="6"/>
  <c r="M812" i="6" s="1"/>
  <c r="E813" i="6"/>
  <c r="M813" i="6" s="1"/>
  <c r="E814" i="6"/>
  <c r="M814" i="6" s="1"/>
  <c r="E815" i="6"/>
  <c r="M815" i="6" s="1"/>
  <c r="E816" i="6"/>
  <c r="M816" i="6" s="1"/>
  <c r="E817" i="6"/>
  <c r="M817" i="6" s="1"/>
  <c r="E818" i="6"/>
  <c r="M818" i="6" s="1"/>
  <c r="E819" i="6"/>
  <c r="E820" i="6"/>
  <c r="M820" i="6" s="1"/>
  <c r="E821" i="6"/>
  <c r="M821" i="6" s="1"/>
  <c r="E822" i="6"/>
  <c r="M822" i="6" s="1"/>
  <c r="E823" i="6"/>
  <c r="M823" i="6" s="1"/>
  <c r="E824" i="6"/>
  <c r="M824" i="6" s="1"/>
  <c r="E825" i="6"/>
  <c r="M825" i="6" s="1"/>
  <c r="E826" i="6"/>
  <c r="M826" i="6" s="1"/>
  <c r="E827" i="6"/>
  <c r="M827" i="6" s="1"/>
  <c r="E828" i="6"/>
  <c r="M828" i="6" s="1"/>
  <c r="E829" i="6"/>
  <c r="E830" i="6"/>
  <c r="M830" i="6" s="1"/>
  <c r="E831" i="6"/>
  <c r="M831" i="6" s="1"/>
  <c r="E832" i="6"/>
  <c r="M832" i="6" s="1"/>
  <c r="E833" i="6"/>
  <c r="M833" i="6" s="1"/>
  <c r="E834" i="6"/>
  <c r="M834" i="6" s="1"/>
  <c r="E835" i="6"/>
  <c r="M835" i="6" s="1"/>
  <c r="E836" i="6"/>
  <c r="M836" i="6" s="1"/>
  <c r="E837" i="6"/>
  <c r="M837" i="6" s="1"/>
  <c r="E838" i="6"/>
  <c r="M838" i="6" s="1"/>
  <c r="E839" i="6"/>
  <c r="E840" i="6"/>
  <c r="M840" i="6" s="1"/>
  <c r="E841" i="6"/>
  <c r="M841" i="6" s="1"/>
  <c r="E842" i="6"/>
  <c r="M842" i="6" s="1"/>
  <c r="E843" i="6"/>
  <c r="M843" i="6" s="1"/>
  <c r="E844" i="6"/>
  <c r="M844" i="6" s="1"/>
  <c r="E845" i="6"/>
  <c r="M845" i="6" s="1"/>
  <c r="E846" i="6"/>
  <c r="M846" i="6" s="1"/>
  <c r="E847" i="6"/>
  <c r="M847" i="6" s="1"/>
  <c r="E848" i="6"/>
  <c r="M848" i="6" s="1"/>
  <c r="E849" i="6"/>
  <c r="E850" i="6"/>
  <c r="M850" i="6" s="1"/>
  <c r="E851" i="6"/>
  <c r="M851" i="6" s="1"/>
  <c r="E852" i="6"/>
  <c r="M852" i="6" s="1"/>
  <c r="E853" i="6"/>
  <c r="M853" i="6" s="1"/>
  <c r="E854" i="6"/>
  <c r="M854" i="6" s="1"/>
  <c r="E855" i="6"/>
  <c r="M855" i="6" s="1"/>
  <c r="E856" i="6"/>
  <c r="M856" i="6" s="1"/>
  <c r="E857" i="6"/>
  <c r="M857" i="6" s="1"/>
  <c r="E858" i="6"/>
  <c r="M858" i="6" s="1"/>
  <c r="E859" i="6"/>
  <c r="E860" i="6"/>
  <c r="M860" i="6" s="1"/>
  <c r="E861" i="6"/>
  <c r="M861" i="6" s="1"/>
  <c r="E862" i="6"/>
  <c r="M862" i="6" s="1"/>
  <c r="E863" i="6"/>
  <c r="M863" i="6" s="1"/>
  <c r="E864" i="6"/>
  <c r="M864" i="6" s="1"/>
  <c r="E865" i="6"/>
  <c r="M865" i="6" s="1"/>
  <c r="E866" i="6"/>
  <c r="M866" i="6" s="1"/>
  <c r="E867" i="6"/>
  <c r="M867" i="6" s="1"/>
  <c r="E868" i="6"/>
  <c r="M868" i="6" s="1"/>
  <c r="E869" i="6"/>
  <c r="E870" i="6"/>
  <c r="M870" i="6" s="1"/>
  <c r="E871" i="6"/>
  <c r="M871" i="6" s="1"/>
  <c r="E872" i="6"/>
  <c r="M872" i="6" s="1"/>
  <c r="E873" i="6"/>
  <c r="M873" i="6" s="1"/>
  <c r="E874" i="6"/>
  <c r="M874" i="6" s="1"/>
  <c r="E875" i="6"/>
  <c r="M875" i="6" s="1"/>
  <c r="E876" i="6"/>
  <c r="M876" i="6" s="1"/>
  <c r="E877" i="6"/>
  <c r="M877" i="6" s="1"/>
  <c r="E878" i="6"/>
  <c r="M878" i="6" s="1"/>
  <c r="E879" i="6"/>
  <c r="E880" i="6"/>
  <c r="M880" i="6" s="1"/>
  <c r="E881" i="6"/>
  <c r="M881" i="6" s="1"/>
  <c r="E882" i="6"/>
  <c r="M882" i="6" s="1"/>
  <c r="E883" i="6"/>
  <c r="M883" i="6" s="1"/>
  <c r="E884" i="6"/>
  <c r="M884" i="6" s="1"/>
  <c r="E885" i="6"/>
  <c r="M885" i="6" s="1"/>
  <c r="E886" i="6"/>
  <c r="M886" i="6" s="1"/>
  <c r="E887" i="6"/>
  <c r="M887" i="6" s="1"/>
  <c r="E888" i="6"/>
  <c r="M888" i="6" s="1"/>
  <c r="E889" i="6"/>
  <c r="E890" i="6"/>
  <c r="M890" i="6" s="1"/>
  <c r="E891" i="6"/>
  <c r="M891" i="6" s="1"/>
  <c r="E892" i="6"/>
  <c r="M892" i="6" s="1"/>
  <c r="E893" i="6"/>
  <c r="M893" i="6" s="1"/>
  <c r="E894" i="6"/>
  <c r="M894" i="6" s="1"/>
  <c r="E895" i="6"/>
  <c r="M895" i="6" s="1"/>
  <c r="E896" i="6"/>
  <c r="M896" i="6" s="1"/>
  <c r="E897" i="6"/>
  <c r="M897" i="6" s="1"/>
  <c r="E898" i="6"/>
  <c r="M898" i="6" s="1"/>
  <c r="E899" i="6"/>
  <c r="E900" i="6"/>
  <c r="M900" i="6" s="1"/>
  <c r="E901" i="6"/>
  <c r="M901" i="6" s="1"/>
  <c r="E902" i="6"/>
  <c r="M902" i="6" s="1"/>
  <c r="E903" i="6"/>
  <c r="M903" i="6" s="1"/>
  <c r="E904" i="6"/>
  <c r="M904" i="6" s="1"/>
  <c r="E905" i="6"/>
  <c r="M905" i="6" s="1"/>
  <c r="E906" i="6"/>
  <c r="M906" i="6" s="1"/>
  <c r="E907" i="6"/>
  <c r="M907" i="6" s="1"/>
  <c r="E908" i="6"/>
  <c r="M908" i="6" s="1"/>
  <c r="E909" i="6"/>
  <c r="E910" i="6"/>
  <c r="M910" i="6" s="1"/>
  <c r="E911" i="6"/>
  <c r="M911" i="6" s="1"/>
  <c r="E912" i="6"/>
  <c r="M912" i="6" s="1"/>
  <c r="E913" i="6"/>
  <c r="M913" i="6" s="1"/>
  <c r="E914" i="6"/>
  <c r="M914" i="6" s="1"/>
  <c r="E915" i="6"/>
  <c r="M915" i="6" s="1"/>
  <c r="E916" i="6"/>
  <c r="M916" i="6" s="1"/>
  <c r="E917" i="6"/>
  <c r="M917" i="6" s="1"/>
  <c r="E918" i="6"/>
  <c r="M918" i="6" s="1"/>
  <c r="E919" i="6"/>
  <c r="E920" i="6"/>
  <c r="M920" i="6" s="1"/>
  <c r="E921" i="6"/>
  <c r="M921" i="6" s="1"/>
  <c r="E922" i="6"/>
  <c r="M922" i="6" s="1"/>
  <c r="E923" i="6"/>
  <c r="M923" i="6" s="1"/>
  <c r="E924" i="6"/>
  <c r="M924" i="6" s="1"/>
  <c r="E925" i="6"/>
  <c r="M925" i="6" s="1"/>
  <c r="E926" i="6"/>
  <c r="M926" i="6" s="1"/>
  <c r="E927" i="6"/>
  <c r="M927" i="6" s="1"/>
  <c r="E928" i="6"/>
  <c r="M928" i="6" s="1"/>
  <c r="E929" i="6"/>
  <c r="E930" i="6"/>
  <c r="M930" i="6" s="1"/>
  <c r="E931" i="6"/>
  <c r="M931" i="6" s="1"/>
  <c r="E932" i="6"/>
  <c r="M932" i="6" s="1"/>
  <c r="E933" i="6"/>
  <c r="M933" i="6" s="1"/>
  <c r="E934" i="6"/>
  <c r="M934" i="6" s="1"/>
  <c r="E935" i="6"/>
  <c r="M935" i="6" s="1"/>
  <c r="E936" i="6"/>
  <c r="M936" i="6" s="1"/>
  <c r="E937" i="6"/>
  <c r="M937" i="6" s="1"/>
  <c r="E938" i="6"/>
  <c r="M938" i="6" s="1"/>
  <c r="E939" i="6"/>
  <c r="E940" i="6"/>
  <c r="M940" i="6" s="1"/>
  <c r="E941" i="6"/>
  <c r="M941" i="6" s="1"/>
  <c r="E942" i="6"/>
  <c r="M942" i="6" s="1"/>
  <c r="E943" i="6"/>
  <c r="M943" i="6" s="1"/>
  <c r="E944" i="6"/>
  <c r="M944" i="6" s="1"/>
  <c r="E945" i="6"/>
  <c r="M945" i="6" s="1"/>
  <c r="E946" i="6"/>
  <c r="M946" i="6" s="1"/>
  <c r="E947" i="6"/>
  <c r="M947" i="6" s="1"/>
  <c r="E948" i="6"/>
  <c r="M948" i="6" s="1"/>
  <c r="E949" i="6"/>
  <c r="E950" i="6"/>
  <c r="M950" i="6" s="1"/>
  <c r="E951" i="6"/>
  <c r="M951" i="6" s="1"/>
  <c r="E952" i="6"/>
  <c r="M952" i="6" s="1"/>
  <c r="E953" i="6"/>
  <c r="M953" i="6" s="1"/>
  <c r="E954" i="6"/>
  <c r="M954" i="6" s="1"/>
  <c r="E955" i="6"/>
  <c r="M955" i="6" s="1"/>
  <c r="E956" i="6"/>
  <c r="M956" i="6" s="1"/>
  <c r="E957" i="6"/>
  <c r="M957" i="6" s="1"/>
  <c r="E958" i="6"/>
  <c r="M958" i="6" s="1"/>
  <c r="E959" i="6"/>
  <c r="E960" i="6"/>
  <c r="M960" i="6" s="1"/>
  <c r="E961" i="6"/>
  <c r="M961" i="6" s="1"/>
  <c r="E962" i="6"/>
  <c r="M962" i="6" s="1"/>
  <c r="E963" i="6"/>
  <c r="M963" i="6" s="1"/>
  <c r="E964" i="6"/>
  <c r="M964" i="6" s="1"/>
  <c r="E965" i="6"/>
  <c r="M965" i="6" s="1"/>
  <c r="E966" i="6"/>
  <c r="M966" i="6" s="1"/>
  <c r="E967" i="6"/>
  <c r="M967" i="6" s="1"/>
  <c r="E968" i="6"/>
  <c r="M968" i="6" s="1"/>
  <c r="E969" i="6"/>
  <c r="E970" i="6"/>
  <c r="M970" i="6" s="1"/>
  <c r="E971" i="6"/>
  <c r="M971" i="6" s="1"/>
  <c r="E972" i="6"/>
  <c r="M972" i="6" s="1"/>
  <c r="E973" i="6"/>
  <c r="M973" i="6" s="1"/>
  <c r="E974" i="6"/>
  <c r="M974" i="6" s="1"/>
  <c r="E975" i="6"/>
  <c r="M975" i="6" s="1"/>
  <c r="E976" i="6"/>
  <c r="M976" i="6" s="1"/>
  <c r="E977" i="6"/>
  <c r="M977" i="6" s="1"/>
  <c r="E978" i="6"/>
  <c r="M978" i="6" s="1"/>
  <c r="E979" i="6"/>
  <c r="E980" i="6"/>
  <c r="M980" i="6" s="1"/>
  <c r="E981" i="6"/>
  <c r="M981" i="6" s="1"/>
  <c r="E982" i="6"/>
  <c r="M982" i="6" s="1"/>
  <c r="E983" i="6"/>
  <c r="M983" i="6" s="1"/>
  <c r="E984" i="6"/>
  <c r="M984" i="6" s="1"/>
  <c r="E985" i="6"/>
  <c r="M985" i="6" s="1"/>
  <c r="E986" i="6"/>
  <c r="M986" i="6" s="1"/>
  <c r="E987" i="6"/>
  <c r="M987" i="6" s="1"/>
  <c r="E988" i="6"/>
  <c r="M988" i="6" s="1"/>
  <c r="E989" i="6"/>
  <c r="E990" i="6"/>
  <c r="M990" i="6" s="1"/>
  <c r="E991" i="6"/>
  <c r="M991" i="6" s="1"/>
  <c r="E992" i="6"/>
  <c r="M992" i="6" s="1"/>
  <c r="E993" i="6"/>
  <c r="M993" i="6" s="1"/>
  <c r="E994" i="6"/>
  <c r="M994" i="6" s="1"/>
  <c r="E995" i="6"/>
  <c r="M995" i="6" s="1"/>
  <c r="E996" i="6"/>
  <c r="M996" i="6" s="1"/>
  <c r="E997" i="6"/>
  <c r="M997" i="6" s="1"/>
  <c r="E998" i="6"/>
  <c r="M998" i="6" s="1"/>
  <c r="E999" i="6"/>
  <c r="E1000" i="6"/>
  <c r="M1000" i="6" s="1"/>
  <c r="E1001" i="6"/>
  <c r="M1001" i="6" s="1"/>
  <c r="E1002" i="6"/>
  <c r="M1002" i="6" s="1"/>
  <c r="E1003" i="6"/>
  <c r="M1003" i="6" s="1"/>
  <c r="E1004" i="6"/>
  <c r="M1004" i="6" s="1"/>
  <c r="E1005" i="6"/>
  <c r="M1005" i="6" s="1"/>
  <c r="E1006" i="6"/>
  <c r="M1006" i="6" s="1"/>
  <c r="E1007" i="6"/>
  <c r="M1007" i="6" s="1"/>
  <c r="E1008" i="6"/>
  <c r="M1008" i="6" s="1"/>
  <c r="E1009" i="6"/>
  <c r="E1010" i="6"/>
  <c r="M1010" i="6" s="1"/>
  <c r="E1011" i="6"/>
  <c r="M1011" i="6" s="1"/>
  <c r="E1012" i="6"/>
  <c r="M1012" i="6" s="1"/>
  <c r="E1013" i="6"/>
  <c r="M1013" i="6" s="1"/>
  <c r="E1014" i="6"/>
  <c r="M1014" i="6" s="1"/>
  <c r="E1015" i="6"/>
  <c r="M1015" i="6" s="1"/>
  <c r="E1016" i="6"/>
  <c r="M1016" i="6" s="1"/>
  <c r="E1017" i="6"/>
  <c r="M1017" i="6" s="1"/>
  <c r="E1018" i="6"/>
  <c r="M1018" i="6" s="1"/>
  <c r="E1019" i="6"/>
  <c r="E1020" i="6"/>
  <c r="M1020" i="6" s="1"/>
  <c r="E1021" i="6"/>
  <c r="M1021" i="6" s="1"/>
  <c r="E1022" i="6"/>
  <c r="M1022" i="6" s="1"/>
  <c r="E1023" i="6"/>
  <c r="M1023" i="6" s="1"/>
  <c r="E1024" i="6"/>
  <c r="M1024" i="6" s="1"/>
  <c r="E1025" i="6"/>
  <c r="M1025" i="6" s="1"/>
  <c r="E1026" i="6"/>
  <c r="M1026" i="6" s="1"/>
  <c r="E1027" i="6"/>
  <c r="M1027" i="6" s="1"/>
  <c r="E1028" i="6"/>
  <c r="M1028" i="6" s="1"/>
  <c r="E1029" i="6"/>
  <c r="E1030" i="6"/>
  <c r="M1030" i="6" s="1"/>
  <c r="E1031" i="6"/>
  <c r="M1031" i="6" s="1"/>
  <c r="E1032" i="6"/>
  <c r="M1032" i="6" s="1"/>
  <c r="E1033" i="6"/>
  <c r="M1033" i="6" s="1"/>
  <c r="E1034" i="6"/>
  <c r="M1034" i="6" s="1"/>
  <c r="E1035" i="6"/>
  <c r="M1035" i="6" s="1"/>
  <c r="E1036" i="6"/>
  <c r="M1036" i="6" s="1"/>
  <c r="E1037" i="6"/>
  <c r="M1037" i="6" s="1"/>
  <c r="E1038" i="6"/>
  <c r="M1038" i="6" s="1"/>
  <c r="E1039" i="6"/>
  <c r="E1040" i="6"/>
  <c r="M1040" i="6" s="1"/>
  <c r="E1041" i="6"/>
  <c r="M1041" i="6" s="1"/>
  <c r="E1042" i="6"/>
  <c r="M1042" i="6" s="1"/>
  <c r="E1043" i="6"/>
  <c r="M1043" i="6" s="1"/>
  <c r="E1044" i="6"/>
  <c r="M1044" i="6" s="1"/>
  <c r="E1045" i="6"/>
  <c r="M1045" i="6" s="1"/>
  <c r="E1046" i="6"/>
  <c r="M1046" i="6" s="1"/>
  <c r="E1047" i="6"/>
  <c r="M1047" i="6" s="1"/>
  <c r="E1048" i="6"/>
  <c r="M1048" i="6" s="1"/>
  <c r="E1049" i="6"/>
  <c r="E1050" i="6"/>
  <c r="M1050" i="6" s="1"/>
  <c r="E1051" i="6"/>
  <c r="M1051" i="6" s="1"/>
  <c r="E1052" i="6"/>
  <c r="M1052" i="6" s="1"/>
  <c r="E1053" i="6"/>
  <c r="M1053" i="6" s="1"/>
  <c r="E1054" i="6"/>
  <c r="M1054" i="6" s="1"/>
  <c r="E1055" i="6"/>
  <c r="M1055" i="6" s="1"/>
  <c r="E1056" i="6"/>
  <c r="M1056" i="6" s="1"/>
  <c r="E1057" i="6"/>
  <c r="M1057" i="6" s="1"/>
  <c r="E1058" i="6"/>
  <c r="M1058" i="6" s="1"/>
  <c r="E1059" i="6"/>
  <c r="E1060" i="6"/>
  <c r="M1060" i="6" s="1"/>
  <c r="E1061" i="6"/>
  <c r="M1061" i="6" s="1"/>
  <c r="E1062" i="6"/>
  <c r="M1062" i="6" s="1"/>
  <c r="E1063" i="6"/>
  <c r="M1063" i="6" s="1"/>
  <c r="E1064" i="6"/>
  <c r="M1064" i="6" s="1"/>
  <c r="E1065" i="6"/>
  <c r="M1065" i="6" s="1"/>
  <c r="E1066" i="6"/>
  <c r="M1066" i="6" s="1"/>
  <c r="E1067" i="6"/>
  <c r="M1067" i="6" s="1"/>
  <c r="E1068" i="6"/>
  <c r="M1068" i="6" s="1"/>
  <c r="E1069" i="6"/>
  <c r="E1070" i="6"/>
  <c r="M1070" i="6" s="1"/>
  <c r="E1071" i="6"/>
  <c r="M1071" i="6" s="1"/>
  <c r="E1072" i="6"/>
  <c r="M1072" i="6" s="1"/>
  <c r="E1073" i="6"/>
  <c r="M1073" i="6" s="1"/>
  <c r="E1074" i="6"/>
  <c r="M1074" i="6" s="1"/>
  <c r="E1075" i="6"/>
  <c r="M1075" i="6" s="1"/>
  <c r="E1076" i="6"/>
  <c r="M1076" i="6" s="1"/>
  <c r="E1077" i="6"/>
  <c r="M1077" i="6" s="1"/>
  <c r="E1078" i="6"/>
  <c r="M1078" i="6" s="1"/>
  <c r="E1079" i="6"/>
  <c r="E1080" i="6"/>
  <c r="M1080" i="6" s="1"/>
  <c r="E1081" i="6"/>
  <c r="M1081" i="6" s="1"/>
  <c r="E1082" i="6"/>
  <c r="M1082" i="6" s="1"/>
  <c r="E1083" i="6"/>
  <c r="M1083" i="6" s="1"/>
  <c r="E1084" i="6"/>
  <c r="M1084" i="6" s="1"/>
  <c r="E1085" i="6"/>
  <c r="M1085" i="6" s="1"/>
  <c r="E1086" i="6"/>
  <c r="M1086" i="6" s="1"/>
  <c r="E1087" i="6"/>
  <c r="M1087" i="6" s="1"/>
  <c r="E1088" i="6"/>
  <c r="M1088" i="6" s="1"/>
  <c r="E1089" i="6"/>
  <c r="E1090" i="6"/>
  <c r="M1090" i="6" s="1"/>
  <c r="E1091" i="6"/>
  <c r="M1091" i="6" s="1"/>
  <c r="E1092" i="6"/>
  <c r="M1092" i="6" s="1"/>
  <c r="E1093" i="6"/>
  <c r="M1093" i="6" s="1"/>
  <c r="E1094" i="6"/>
  <c r="M1094" i="6" s="1"/>
  <c r="E1095" i="6"/>
  <c r="M1095" i="6" s="1"/>
  <c r="E1096" i="6"/>
  <c r="M1096" i="6" s="1"/>
  <c r="F3" i="6"/>
  <c r="H3" i="6" s="1"/>
  <c r="F4" i="6"/>
  <c r="H4" i="6" s="1"/>
  <c r="F5" i="6"/>
  <c r="F6" i="6"/>
  <c r="F7" i="6"/>
  <c r="F8" i="6"/>
  <c r="H8" i="6" s="1"/>
  <c r="F9" i="6"/>
  <c r="F10" i="6"/>
  <c r="F11" i="6"/>
  <c r="H11" i="6" s="1"/>
  <c r="F12" i="6"/>
  <c r="F13" i="6"/>
  <c r="H13" i="6" s="1"/>
  <c r="F14" i="6"/>
  <c r="H14" i="6" s="1"/>
  <c r="F15" i="6"/>
  <c r="F16" i="6"/>
  <c r="F17" i="6"/>
  <c r="F18" i="6"/>
  <c r="H18" i="6" s="1"/>
  <c r="F19" i="6"/>
  <c r="F20" i="6"/>
  <c r="F21" i="6"/>
  <c r="H21" i="6" s="1"/>
  <c r="F22" i="6"/>
  <c r="F23" i="6"/>
  <c r="I23" i="6" s="1"/>
  <c r="F24" i="6"/>
  <c r="H24" i="6" s="1"/>
  <c r="F25" i="6"/>
  <c r="H25" i="6" s="1"/>
  <c r="F26" i="6"/>
  <c r="F27" i="6"/>
  <c r="F28" i="6"/>
  <c r="H28" i="6" s="1"/>
  <c r="F29" i="6"/>
  <c r="F30" i="6"/>
  <c r="H30" i="6" s="1"/>
  <c r="F31" i="6"/>
  <c r="H31" i="6" s="1"/>
  <c r="F32" i="6"/>
  <c r="F33" i="6"/>
  <c r="F34" i="6"/>
  <c r="H34" i="6" s="1"/>
  <c r="F35" i="6"/>
  <c r="H35" i="6" s="1"/>
  <c r="F36" i="6"/>
  <c r="F37" i="6"/>
  <c r="F38" i="6"/>
  <c r="H38" i="6" s="1"/>
  <c r="F39" i="6"/>
  <c r="F40" i="6"/>
  <c r="F41" i="6"/>
  <c r="H41" i="6" s="1"/>
  <c r="F42" i="6"/>
  <c r="F43" i="6"/>
  <c r="I43" i="6" s="1"/>
  <c r="F44" i="6"/>
  <c r="H44" i="6" s="1"/>
  <c r="F45" i="6"/>
  <c r="H45" i="6" s="1"/>
  <c r="F46" i="6"/>
  <c r="F47" i="6"/>
  <c r="F48" i="6"/>
  <c r="H48" i="6" s="1"/>
  <c r="F49" i="6"/>
  <c r="F50" i="6"/>
  <c r="F51" i="6"/>
  <c r="H51" i="6" s="1"/>
  <c r="F52" i="6"/>
  <c r="F53" i="6"/>
  <c r="H53" i="6" s="1"/>
  <c r="F54" i="6"/>
  <c r="H54" i="6" s="1"/>
  <c r="F55" i="6"/>
  <c r="F56" i="6"/>
  <c r="F57" i="6"/>
  <c r="F58" i="6"/>
  <c r="H58" i="6" s="1"/>
  <c r="F59" i="6"/>
  <c r="F60" i="6"/>
  <c r="H60" i="6" s="1"/>
  <c r="F61" i="6"/>
  <c r="I61" i="6" s="1"/>
  <c r="F62" i="6"/>
  <c r="F63" i="6"/>
  <c r="H63" i="6" s="1"/>
  <c r="F64" i="6"/>
  <c r="H64" i="6" s="1"/>
  <c r="F65" i="6"/>
  <c r="H65" i="6" s="1"/>
  <c r="F66" i="6"/>
  <c r="F67" i="6"/>
  <c r="F68" i="6"/>
  <c r="H68" i="6" s="1"/>
  <c r="F69" i="6"/>
  <c r="F70" i="6"/>
  <c r="H70" i="6" s="1"/>
  <c r="F71" i="6"/>
  <c r="H71" i="6" s="1"/>
  <c r="F72" i="6"/>
  <c r="F73" i="6"/>
  <c r="I73" i="6" s="1"/>
  <c r="F74" i="6"/>
  <c r="H74" i="6" s="1"/>
  <c r="F75" i="6"/>
  <c r="H75" i="6" s="1"/>
  <c r="F76" i="6"/>
  <c r="F77" i="6"/>
  <c r="F78" i="6"/>
  <c r="H78" i="6" s="1"/>
  <c r="F79" i="6"/>
  <c r="F80" i="6"/>
  <c r="H80" i="6" s="1"/>
  <c r="F81" i="6"/>
  <c r="H81" i="6" s="1"/>
  <c r="F82" i="6"/>
  <c r="F83" i="6"/>
  <c r="I83" i="6" s="1"/>
  <c r="F84" i="6"/>
  <c r="H84" i="6" s="1"/>
  <c r="F85" i="6"/>
  <c r="I85" i="6" s="1"/>
  <c r="F86" i="6"/>
  <c r="F87" i="6"/>
  <c r="F88" i="6"/>
  <c r="H88" i="6" s="1"/>
  <c r="F89" i="6"/>
  <c r="F90" i="6"/>
  <c r="I90" i="6" s="1"/>
  <c r="F91" i="6"/>
  <c r="H91" i="6" s="1"/>
  <c r="F92" i="6"/>
  <c r="F93" i="6"/>
  <c r="I93" i="6" s="1"/>
  <c r="F94" i="6"/>
  <c r="H94" i="6" s="1"/>
  <c r="F95" i="6"/>
  <c r="H95" i="6" s="1"/>
  <c r="F96" i="6"/>
  <c r="F97" i="6"/>
  <c r="F98" i="6"/>
  <c r="H98" i="6" s="1"/>
  <c r="F99" i="6"/>
  <c r="F100" i="6"/>
  <c r="I100" i="6" s="1"/>
  <c r="F101" i="6"/>
  <c r="F102" i="6"/>
  <c r="F103" i="6"/>
  <c r="H103" i="6" s="1"/>
  <c r="F104" i="6"/>
  <c r="H104" i="6" s="1"/>
  <c r="F105" i="6"/>
  <c r="I105" i="6" s="1"/>
  <c r="F106" i="6"/>
  <c r="F107" i="6"/>
  <c r="F108" i="6"/>
  <c r="H108" i="6" s="1"/>
  <c r="F109" i="6"/>
  <c r="F110" i="6"/>
  <c r="H110" i="6" s="1"/>
  <c r="F111" i="6"/>
  <c r="H111" i="6" s="1"/>
  <c r="F112" i="6"/>
  <c r="F113" i="6"/>
  <c r="H113" i="6" s="1"/>
  <c r="F114" i="6"/>
  <c r="H114" i="6" s="1"/>
  <c r="F115" i="6"/>
  <c r="F116" i="6"/>
  <c r="F117" i="6"/>
  <c r="F118" i="6"/>
  <c r="H118" i="6" s="1"/>
  <c r="F119" i="6"/>
  <c r="F120" i="6"/>
  <c r="H120" i="6" s="1"/>
  <c r="F121" i="6"/>
  <c r="I121" i="6" s="1"/>
  <c r="F122" i="6"/>
  <c r="F123" i="6"/>
  <c r="F124" i="6"/>
  <c r="H124" i="6" s="1"/>
  <c r="F125" i="6"/>
  <c r="H125" i="6" s="1"/>
  <c r="F126" i="6"/>
  <c r="F127" i="6"/>
  <c r="F128" i="6"/>
  <c r="H128" i="6" s="1"/>
  <c r="F129" i="6"/>
  <c r="F130" i="6"/>
  <c r="H130" i="6" s="1"/>
  <c r="F131" i="6"/>
  <c r="H131" i="6" s="1"/>
  <c r="F132" i="6"/>
  <c r="F133" i="6"/>
  <c r="I133" i="6" s="1"/>
  <c r="F134" i="6"/>
  <c r="H134" i="6" s="1"/>
  <c r="F135" i="6"/>
  <c r="F136" i="6"/>
  <c r="F137" i="6"/>
  <c r="F138" i="6"/>
  <c r="H138" i="6" s="1"/>
  <c r="F139" i="6"/>
  <c r="F140" i="6"/>
  <c r="F141" i="6"/>
  <c r="I141" i="6" s="1"/>
  <c r="F142" i="6"/>
  <c r="F143" i="6"/>
  <c r="F144" i="6"/>
  <c r="H144" i="6" s="1"/>
  <c r="F145" i="6"/>
  <c r="F146" i="6"/>
  <c r="F147" i="6"/>
  <c r="F148" i="6"/>
  <c r="H148" i="6" s="1"/>
  <c r="F149" i="6"/>
  <c r="F150" i="6"/>
  <c r="F151" i="6"/>
  <c r="H151" i="6" s="1"/>
  <c r="F152" i="6"/>
  <c r="F153" i="6"/>
  <c r="H153" i="6" s="1"/>
  <c r="F154" i="6"/>
  <c r="H154" i="6" s="1"/>
  <c r="F155" i="6"/>
  <c r="F156" i="6"/>
  <c r="F157" i="6"/>
  <c r="F158" i="6"/>
  <c r="H158" i="6" s="1"/>
  <c r="F159" i="6"/>
  <c r="F160" i="6"/>
  <c r="H160" i="6" s="1"/>
  <c r="F161" i="6"/>
  <c r="F162" i="6"/>
  <c r="F163" i="6"/>
  <c r="H163" i="6" s="1"/>
  <c r="F164" i="6"/>
  <c r="H164" i="6" s="1"/>
  <c r="F165" i="6"/>
  <c r="H165" i="6" s="1"/>
  <c r="F166" i="6"/>
  <c r="F167" i="6"/>
  <c r="F168" i="6"/>
  <c r="H168" i="6" s="1"/>
  <c r="F169" i="6"/>
  <c r="F170" i="6"/>
  <c r="H170" i="6" s="1"/>
  <c r="F171" i="6"/>
  <c r="H171" i="6" s="1"/>
  <c r="F172" i="6"/>
  <c r="F173" i="6"/>
  <c r="I173" i="6" s="1"/>
  <c r="F174" i="6"/>
  <c r="H174" i="6" s="1"/>
  <c r="F175" i="6"/>
  <c r="H175" i="6" s="1"/>
  <c r="F176" i="6"/>
  <c r="F177" i="6"/>
  <c r="F178" i="6"/>
  <c r="H178" i="6" s="1"/>
  <c r="F179" i="6"/>
  <c r="F180" i="6"/>
  <c r="F181" i="6"/>
  <c r="H181" i="6" s="1"/>
  <c r="F182" i="6"/>
  <c r="F183" i="6"/>
  <c r="H183" i="6" s="1"/>
  <c r="F184" i="6"/>
  <c r="H184" i="6" s="1"/>
  <c r="F185" i="6"/>
  <c r="H185" i="6" s="1"/>
  <c r="F186" i="6"/>
  <c r="F187" i="6"/>
  <c r="F188" i="6"/>
  <c r="H188" i="6" s="1"/>
  <c r="F189" i="6"/>
  <c r="F190" i="6"/>
  <c r="F191" i="6"/>
  <c r="H191" i="6" s="1"/>
  <c r="F192" i="6"/>
  <c r="F193" i="6"/>
  <c r="I193" i="6" s="1"/>
  <c r="F194" i="6"/>
  <c r="H194" i="6" s="1"/>
  <c r="F195" i="6"/>
  <c r="I195" i="6" s="1"/>
  <c r="F196" i="6"/>
  <c r="F197" i="6"/>
  <c r="F198" i="6"/>
  <c r="H198" i="6" s="1"/>
  <c r="F199" i="6"/>
  <c r="F200" i="6"/>
  <c r="F201" i="6"/>
  <c r="F202" i="6"/>
  <c r="F203" i="6"/>
  <c r="H203" i="6" s="1"/>
  <c r="F204" i="6"/>
  <c r="H204" i="6" s="1"/>
  <c r="F205" i="6"/>
  <c r="H205" i="6" s="1"/>
  <c r="F206" i="6"/>
  <c r="F207" i="6"/>
  <c r="F208" i="6"/>
  <c r="H208" i="6" s="1"/>
  <c r="F209" i="6"/>
  <c r="F210" i="6"/>
  <c r="H210" i="6" s="1"/>
  <c r="F211" i="6"/>
  <c r="H211" i="6" s="1"/>
  <c r="F212" i="6"/>
  <c r="F213" i="6"/>
  <c r="F214" i="6"/>
  <c r="H214" i="6" s="1"/>
  <c r="F215" i="6"/>
  <c r="F216" i="6"/>
  <c r="F217" i="6"/>
  <c r="F218" i="6"/>
  <c r="H218" i="6" s="1"/>
  <c r="F219" i="6"/>
  <c r="F220" i="6"/>
  <c r="H220" i="6" s="1"/>
  <c r="F221" i="6"/>
  <c r="H221" i="6" s="1"/>
  <c r="F222" i="6"/>
  <c r="F223" i="6"/>
  <c r="F224" i="6"/>
  <c r="H224" i="6" s="1"/>
  <c r="F225" i="6"/>
  <c r="H225" i="6" s="1"/>
  <c r="F226" i="6"/>
  <c r="F227" i="6"/>
  <c r="F228" i="6"/>
  <c r="H228" i="6" s="1"/>
  <c r="F229" i="6"/>
  <c r="F230" i="6"/>
  <c r="H230" i="6" s="1"/>
  <c r="F231" i="6"/>
  <c r="H231" i="6" s="1"/>
  <c r="F232" i="6"/>
  <c r="F233" i="6"/>
  <c r="F234" i="6"/>
  <c r="H234" i="6" s="1"/>
  <c r="F235" i="6"/>
  <c r="F236" i="6"/>
  <c r="F237" i="6"/>
  <c r="F238" i="6"/>
  <c r="H238" i="6" s="1"/>
  <c r="F239" i="6"/>
  <c r="F240" i="6"/>
  <c r="F241" i="6"/>
  <c r="H241" i="6" s="1"/>
  <c r="F242" i="6"/>
  <c r="F243" i="6"/>
  <c r="I243" i="6" s="1"/>
  <c r="F244" i="6"/>
  <c r="H244" i="6" s="1"/>
  <c r="F245" i="6"/>
  <c r="H245" i="6" s="1"/>
  <c r="F246" i="6"/>
  <c r="F247" i="6"/>
  <c r="F248" i="6"/>
  <c r="H248" i="6" s="1"/>
  <c r="F249" i="6"/>
  <c r="F250" i="6"/>
  <c r="F251" i="6"/>
  <c r="H251" i="6" s="1"/>
  <c r="F252" i="6"/>
  <c r="F253" i="6"/>
  <c r="H253" i="6" s="1"/>
  <c r="F254" i="6"/>
  <c r="H254" i="6" s="1"/>
  <c r="F255" i="6"/>
  <c r="H255" i="6" s="1"/>
  <c r="F256" i="6"/>
  <c r="F257" i="6"/>
  <c r="F258" i="6"/>
  <c r="H258" i="6" s="1"/>
  <c r="F259" i="6"/>
  <c r="F260" i="6"/>
  <c r="I260" i="6" s="1"/>
  <c r="F261" i="6"/>
  <c r="H261" i="6" s="1"/>
  <c r="F262" i="6"/>
  <c r="F263" i="6"/>
  <c r="H263" i="6" s="1"/>
  <c r="F264" i="6"/>
  <c r="H264" i="6" s="1"/>
  <c r="F265" i="6"/>
  <c r="F266" i="6"/>
  <c r="F267" i="6"/>
  <c r="F268" i="6"/>
  <c r="H268" i="6" s="1"/>
  <c r="F269" i="6"/>
  <c r="F270" i="6"/>
  <c r="F271" i="6"/>
  <c r="H271" i="6" s="1"/>
  <c r="F272" i="6"/>
  <c r="F273" i="6"/>
  <c r="I273" i="6" s="1"/>
  <c r="F274" i="6"/>
  <c r="H274" i="6" s="1"/>
  <c r="F275" i="6"/>
  <c r="H275" i="6" s="1"/>
  <c r="F276" i="6"/>
  <c r="F277" i="6"/>
  <c r="F278" i="6"/>
  <c r="H278" i="6" s="1"/>
  <c r="F279" i="6"/>
  <c r="F280" i="6"/>
  <c r="H280" i="6" s="1"/>
  <c r="F281" i="6"/>
  <c r="H281" i="6" s="1"/>
  <c r="F282" i="6"/>
  <c r="F283" i="6"/>
  <c r="F284" i="6"/>
  <c r="H284" i="6" s="1"/>
  <c r="F285" i="6"/>
  <c r="H285" i="6" s="1"/>
  <c r="F286" i="6"/>
  <c r="F287" i="6"/>
  <c r="F288" i="6"/>
  <c r="H288" i="6" s="1"/>
  <c r="F289" i="6"/>
  <c r="F290" i="6"/>
  <c r="F291" i="6"/>
  <c r="H291" i="6" s="1"/>
  <c r="F292" i="6"/>
  <c r="F293" i="6"/>
  <c r="I293" i="6" s="1"/>
  <c r="F294" i="6"/>
  <c r="H294" i="6" s="1"/>
  <c r="F295" i="6"/>
  <c r="I295" i="6" s="1"/>
  <c r="F296" i="6"/>
  <c r="F297" i="6"/>
  <c r="F298" i="6"/>
  <c r="H298" i="6" s="1"/>
  <c r="F299" i="6"/>
  <c r="F300" i="6"/>
  <c r="F301" i="6"/>
  <c r="H301" i="6" s="1"/>
  <c r="F302" i="6"/>
  <c r="F303" i="6"/>
  <c r="H303" i="6" s="1"/>
  <c r="F304" i="6"/>
  <c r="H304" i="6" s="1"/>
  <c r="F305" i="6"/>
  <c r="H305" i="6" s="1"/>
  <c r="F306" i="6"/>
  <c r="F307" i="6"/>
  <c r="F308" i="6"/>
  <c r="H308" i="6" s="1"/>
  <c r="F309" i="6"/>
  <c r="F310" i="6"/>
  <c r="H310" i="6" s="1"/>
  <c r="F311" i="6"/>
  <c r="H311" i="6" s="1"/>
  <c r="F312" i="6"/>
  <c r="F313" i="6"/>
  <c r="H313" i="6" s="1"/>
  <c r="F314" i="6"/>
  <c r="H314" i="6" s="1"/>
  <c r="F315" i="6"/>
  <c r="F316" i="6"/>
  <c r="F317" i="6"/>
  <c r="F318" i="6"/>
  <c r="H318" i="6" s="1"/>
  <c r="F319" i="6"/>
  <c r="F320" i="6"/>
  <c r="H320" i="6" s="1"/>
  <c r="F321" i="6"/>
  <c r="H321" i="6" s="1"/>
  <c r="F322" i="6"/>
  <c r="F323" i="6"/>
  <c r="H323" i="6" s="1"/>
  <c r="F324" i="6"/>
  <c r="H324" i="6" s="1"/>
  <c r="F325" i="6"/>
  <c r="H325" i="6" s="1"/>
  <c r="F326" i="6"/>
  <c r="F327" i="6"/>
  <c r="F328" i="6"/>
  <c r="H328" i="6" s="1"/>
  <c r="F329" i="6"/>
  <c r="F330" i="6"/>
  <c r="H330" i="6" s="1"/>
  <c r="F331" i="6"/>
  <c r="H331" i="6" s="1"/>
  <c r="F332" i="6"/>
  <c r="F333" i="6"/>
  <c r="I333" i="6" s="1"/>
  <c r="F334" i="6"/>
  <c r="H334" i="6" s="1"/>
  <c r="F335" i="6"/>
  <c r="I335" i="6" s="1"/>
  <c r="F336" i="6"/>
  <c r="F337" i="6"/>
  <c r="F338" i="6"/>
  <c r="H338" i="6" s="1"/>
  <c r="F339" i="6"/>
  <c r="F340" i="6"/>
  <c r="F341" i="6"/>
  <c r="H341" i="6" s="1"/>
  <c r="F342" i="6"/>
  <c r="F343" i="6"/>
  <c r="H343" i="6" s="1"/>
  <c r="F344" i="6"/>
  <c r="H344" i="6" s="1"/>
  <c r="F345" i="6"/>
  <c r="H345" i="6" s="1"/>
  <c r="F346" i="6"/>
  <c r="F347" i="6"/>
  <c r="F348" i="6"/>
  <c r="H348" i="6" s="1"/>
  <c r="F349" i="6"/>
  <c r="F350" i="6"/>
  <c r="F351" i="6"/>
  <c r="H351" i="6" s="1"/>
  <c r="F352" i="6"/>
  <c r="F353" i="6"/>
  <c r="H353" i="6" s="1"/>
  <c r="F354" i="6"/>
  <c r="H354" i="6" s="1"/>
  <c r="F355" i="6"/>
  <c r="I355" i="6" s="1"/>
  <c r="F356" i="6"/>
  <c r="F357" i="6"/>
  <c r="F358" i="6"/>
  <c r="H358" i="6" s="1"/>
  <c r="F359" i="6"/>
  <c r="F360" i="6"/>
  <c r="H360" i="6" s="1"/>
  <c r="F361" i="6"/>
  <c r="H361" i="6" s="1"/>
  <c r="F362" i="6"/>
  <c r="F363" i="6"/>
  <c r="H363" i="6" s="1"/>
  <c r="F364" i="6"/>
  <c r="H364" i="6" s="1"/>
  <c r="F365" i="6"/>
  <c r="H365" i="6" s="1"/>
  <c r="F366" i="6"/>
  <c r="F367" i="6"/>
  <c r="F368" i="6"/>
  <c r="H368" i="6" s="1"/>
  <c r="F369" i="6"/>
  <c r="F370" i="6"/>
  <c r="H370" i="6" s="1"/>
  <c r="F371" i="6"/>
  <c r="H371" i="6" s="1"/>
  <c r="F372" i="6"/>
  <c r="F373" i="6"/>
  <c r="F374" i="6"/>
  <c r="H374" i="6" s="1"/>
  <c r="F375" i="6"/>
  <c r="H375" i="6" s="1"/>
  <c r="F376" i="6"/>
  <c r="F377" i="6"/>
  <c r="F378" i="6"/>
  <c r="H378" i="6" s="1"/>
  <c r="F379" i="6"/>
  <c r="F380" i="6"/>
  <c r="H380" i="6" s="1"/>
  <c r="F381" i="6"/>
  <c r="H381" i="6" s="1"/>
  <c r="F382" i="6"/>
  <c r="F383" i="6"/>
  <c r="H383" i="6" s="1"/>
  <c r="F384" i="6"/>
  <c r="I384" i="6" s="1"/>
  <c r="F385" i="6"/>
  <c r="H385" i="6" s="1"/>
  <c r="F386" i="6"/>
  <c r="F387" i="6"/>
  <c r="F388" i="6"/>
  <c r="H388" i="6" s="1"/>
  <c r="F389" i="6"/>
  <c r="H389" i="6" s="1"/>
  <c r="F390" i="6"/>
  <c r="F391" i="6"/>
  <c r="H391" i="6" s="1"/>
  <c r="F392" i="6"/>
  <c r="F393" i="6"/>
  <c r="F394" i="6"/>
  <c r="H394" i="6" s="1"/>
  <c r="F395" i="6"/>
  <c r="F396" i="6"/>
  <c r="F397" i="6"/>
  <c r="F398" i="6"/>
  <c r="H398" i="6" s="1"/>
  <c r="F399" i="6"/>
  <c r="F400" i="6"/>
  <c r="F401" i="6"/>
  <c r="H401" i="6" s="1"/>
  <c r="F402" i="6"/>
  <c r="F403" i="6"/>
  <c r="H403" i="6" s="1"/>
  <c r="F404" i="6"/>
  <c r="H404" i="6" s="1"/>
  <c r="F405" i="6"/>
  <c r="H405" i="6" s="1"/>
  <c r="F406" i="6"/>
  <c r="F407" i="6"/>
  <c r="F408" i="6"/>
  <c r="H408" i="6" s="1"/>
  <c r="F409" i="6"/>
  <c r="F410" i="6"/>
  <c r="H410" i="6" s="1"/>
  <c r="F411" i="6"/>
  <c r="H411" i="6" s="1"/>
  <c r="F412" i="6"/>
  <c r="F413" i="6"/>
  <c r="H413" i="6" s="1"/>
  <c r="F414" i="6"/>
  <c r="H414" i="6" s="1"/>
  <c r="F415" i="6"/>
  <c r="H415" i="6" s="1"/>
  <c r="F416" i="6"/>
  <c r="F417" i="6"/>
  <c r="F418" i="6"/>
  <c r="H418" i="6" s="1"/>
  <c r="F419" i="6"/>
  <c r="F420" i="6"/>
  <c r="H420" i="6" s="1"/>
  <c r="F421" i="6"/>
  <c r="H421" i="6" s="1"/>
  <c r="F422" i="6"/>
  <c r="F423" i="6"/>
  <c r="I423" i="6" s="1"/>
  <c r="F424" i="6"/>
  <c r="H424" i="6" s="1"/>
  <c r="F425" i="6"/>
  <c r="H425" i="6" s="1"/>
  <c r="F426" i="6"/>
  <c r="F427" i="6"/>
  <c r="F428" i="6"/>
  <c r="H428" i="6" s="1"/>
  <c r="F429" i="6"/>
  <c r="H429" i="6" s="1"/>
  <c r="F430" i="6"/>
  <c r="F431" i="6"/>
  <c r="H431" i="6" s="1"/>
  <c r="F432" i="6"/>
  <c r="F433" i="6"/>
  <c r="I433" i="6" s="1"/>
  <c r="F434" i="6"/>
  <c r="H434" i="6" s="1"/>
  <c r="F435" i="6"/>
  <c r="H435" i="6" s="1"/>
  <c r="F436" i="6"/>
  <c r="F437" i="6"/>
  <c r="F438" i="6"/>
  <c r="H438" i="6" s="1"/>
  <c r="F439" i="6"/>
  <c r="F440" i="6"/>
  <c r="F441" i="6"/>
  <c r="H441" i="6" s="1"/>
  <c r="F442" i="6"/>
  <c r="F443" i="6"/>
  <c r="F444" i="6"/>
  <c r="H444" i="6" s="1"/>
  <c r="F445" i="6"/>
  <c r="I445" i="6" s="1"/>
  <c r="F446" i="6"/>
  <c r="F447" i="6"/>
  <c r="F448" i="6"/>
  <c r="H448" i="6" s="1"/>
  <c r="F449" i="6"/>
  <c r="F450" i="6"/>
  <c r="F451" i="6"/>
  <c r="H451" i="6" s="1"/>
  <c r="F452" i="6"/>
  <c r="F453" i="6"/>
  <c r="H453" i="6" s="1"/>
  <c r="F454" i="6"/>
  <c r="H454" i="6" s="1"/>
  <c r="F455" i="6"/>
  <c r="I455" i="6" s="1"/>
  <c r="F456" i="6"/>
  <c r="F457" i="6"/>
  <c r="F458" i="6"/>
  <c r="H458" i="6" s="1"/>
  <c r="F459" i="6"/>
  <c r="F460" i="6"/>
  <c r="H460" i="6" s="1"/>
  <c r="F461" i="6"/>
  <c r="H461" i="6" s="1"/>
  <c r="F462" i="6"/>
  <c r="F463" i="6"/>
  <c r="F464" i="6"/>
  <c r="H464" i="6" s="1"/>
  <c r="F465" i="6"/>
  <c r="H465" i="6" s="1"/>
  <c r="F466" i="6"/>
  <c r="F467" i="6"/>
  <c r="F468" i="6"/>
  <c r="H468" i="6" s="1"/>
  <c r="F469" i="6"/>
  <c r="F470" i="6"/>
  <c r="H470" i="6" s="1"/>
  <c r="F471" i="6"/>
  <c r="H471" i="6" s="1"/>
  <c r="F472" i="6"/>
  <c r="F473" i="6"/>
  <c r="F474" i="6"/>
  <c r="H474" i="6" s="1"/>
  <c r="F475" i="6"/>
  <c r="H475" i="6" s="1"/>
  <c r="F476" i="6"/>
  <c r="F477" i="6"/>
  <c r="F478" i="6"/>
  <c r="H478" i="6" s="1"/>
  <c r="F479" i="6"/>
  <c r="F480" i="6"/>
  <c r="H480" i="6" s="1"/>
  <c r="F481" i="6"/>
  <c r="H481" i="6" s="1"/>
  <c r="F482" i="6"/>
  <c r="F483" i="6"/>
  <c r="H483" i="6" s="1"/>
  <c r="F484" i="6"/>
  <c r="H484" i="6" s="1"/>
  <c r="F485" i="6"/>
  <c r="H485" i="6" s="1"/>
  <c r="F486" i="6"/>
  <c r="F487" i="6"/>
  <c r="F488" i="6"/>
  <c r="H488" i="6" s="1"/>
  <c r="F489" i="6"/>
  <c r="F490" i="6"/>
  <c r="F491" i="6"/>
  <c r="H491" i="6" s="1"/>
  <c r="F492" i="6"/>
  <c r="F493" i="6"/>
  <c r="I493" i="6" s="1"/>
  <c r="F494" i="6"/>
  <c r="H494" i="6" s="1"/>
  <c r="F495" i="6"/>
  <c r="F496" i="6"/>
  <c r="F497" i="6"/>
  <c r="F498" i="6"/>
  <c r="H498" i="6" s="1"/>
  <c r="F499" i="6"/>
  <c r="F500" i="6"/>
  <c r="F501" i="6"/>
  <c r="H501" i="6" s="1"/>
  <c r="F502" i="6"/>
  <c r="F503" i="6"/>
  <c r="H503" i="6" s="1"/>
  <c r="F504" i="6"/>
  <c r="H504" i="6" s="1"/>
  <c r="F505" i="6"/>
  <c r="H505" i="6" s="1"/>
  <c r="F506" i="6"/>
  <c r="F507" i="6"/>
  <c r="F508" i="6"/>
  <c r="H508" i="6" s="1"/>
  <c r="F509" i="6"/>
  <c r="F510" i="6"/>
  <c r="F511" i="6"/>
  <c r="H511" i="6" s="1"/>
  <c r="F512" i="6"/>
  <c r="F513" i="6"/>
  <c r="H513" i="6" s="1"/>
  <c r="F514" i="6"/>
  <c r="H514" i="6" s="1"/>
  <c r="F515" i="6"/>
  <c r="F516" i="6"/>
  <c r="F517" i="6"/>
  <c r="F518" i="6"/>
  <c r="H518" i="6" s="1"/>
  <c r="F519" i="6"/>
  <c r="F520" i="6"/>
  <c r="F521" i="6"/>
  <c r="H521" i="6" s="1"/>
  <c r="F522" i="6"/>
  <c r="F523" i="6"/>
  <c r="F524" i="6"/>
  <c r="H524" i="6" s="1"/>
  <c r="F525" i="6"/>
  <c r="H525" i="6" s="1"/>
  <c r="F526" i="6"/>
  <c r="F527" i="6"/>
  <c r="F528" i="6"/>
  <c r="H528" i="6" s="1"/>
  <c r="F529" i="6"/>
  <c r="F530" i="6"/>
  <c r="H530" i="6" s="1"/>
  <c r="F531" i="6"/>
  <c r="H531" i="6" s="1"/>
  <c r="F532" i="6"/>
  <c r="F533" i="6"/>
  <c r="F534" i="6"/>
  <c r="H534" i="6" s="1"/>
  <c r="F535" i="6"/>
  <c r="I535" i="6" s="1"/>
  <c r="F536" i="6"/>
  <c r="F537" i="6"/>
  <c r="F538" i="6"/>
  <c r="H538" i="6" s="1"/>
  <c r="F539" i="6"/>
  <c r="F540" i="6"/>
  <c r="F541" i="6"/>
  <c r="H541" i="6" s="1"/>
  <c r="F542" i="6"/>
  <c r="F543" i="6"/>
  <c r="I543" i="6" s="1"/>
  <c r="F544" i="6"/>
  <c r="H544" i="6" s="1"/>
  <c r="F545" i="6"/>
  <c r="I545" i="6" s="1"/>
  <c r="F546" i="6"/>
  <c r="F547" i="6"/>
  <c r="F548" i="6"/>
  <c r="H548" i="6" s="1"/>
  <c r="F549" i="6"/>
  <c r="F550" i="6"/>
  <c r="F551" i="6"/>
  <c r="H551" i="6" s="1"/>
  <c r="F552" i="6"/>
  <c r="F553" i="6"/>
  <c r="H553" i="6" s="1"/>
  <c r="F554" i="6"/>
  <c r="H554" i="6" s="1"/>
  <c r="F555" i="6"/>
  <c r="F556" i="6"/>
  <c r="F557" i="6"/>
  <c r="F558" i="6"/>
  <c r="H558" i="6" s="1"/>
  <c r="F559" i="6"/>
  <c r="F560" i="6"/>
  <c r="H560" i="6" s="1"/>
  <c r="F561" i="6"/>
  <c r="H561" i="6" s="1"/>
  <c r="F562" i="6"/>
  <c r="F563" i="6"/>
  <c r="H563" i="6" s="1"/>
  <c r="F564" i="6"/>
  <c r="H564" i="6" s="1"/>
  <c r="F565" i="6"/>
  <c r="H565" i="6" s="1"/>
  <c r="F566" i="6"/>
  <c r="F567" i="6"/>
  <c r="F568" i="6"/>
  <c r="H568" i="6" s="1"/>
  <c r="F569" i="6"/>
  <c r="F570" i="6"/>
  <c r="H570" i="6" s="1"/>
  <c r="F571" i="6"/>
  <c r="H571" i="6" s="1"/>
  <c r="F572" i="6"/>
  <c r="F573" i="6"/>
  <c r="H573" i="6" s="1"/>
  <c r="F574" i="6"/>
  <c r="H574" i="6" s="1"/>
  <c r="F575" i="6"/>
  <c r="H575" i="6" s="1"/>
  <c r="F576" i="6"/>
  <c r="F577" i="6"/>
  <c r="F578" i="6"/>
  <c r="H578" i="6" s="1"/>
  <c r="F579" i="6"/>
  <c r="F580" i="6"/>
  <c r="H580" i="6" s="1"/>
  <c r="F581" i="6"/>
  <c r="H581" i="6" s="1"/>
  <c r="F582" i="6"/>
  <c r="F583" i="6"/>
  <c r="F584" i="6"/>
  <c r="H584" i="6" s="1"/>
  <c r="F585" i="6"/>
  <c r="I585" i="6" s="1"/>
  <c r="F586" i="6"/>
  <c r="F587" i="6"/>
  <c r="F588" i="6"/>
  <c r="H588" i="6" s="1"/>
  <c r="F589" i="6"/>
  <c r="F590" i="6"/>
  <c r="F591" i="6"/>
  <c r="H591" i="6" s="1"/>
  <c r="F592" i="6"/>
  <c r="F593" i="6"/>
  <c r="H593" i="6" s="1"/>
  <c r="F594" i="6"/>
  <c r="H594" i="6" s="1"/>
  <c r="F595" i="6"/>
  <c r="H595" i="6" s="1"/>
  <c r="F596" i="6"/>
  <c r="F597" i="6"/>
  <c r="F598" i="6"/>
  <c r="H598" i="6" s="1"/>
  <c r="F599" i="6"/>
  <c r="F600" i="6"/>
  <c r="F601" i="6"/>
  <c r="H601" i="6" s="1"/>
  <c r="F602" i="6"/>
  <c r="F603" i="6"/>
  <c r="H603" i="6" s="1"/>
  <c r="F604" i="6"/>
  <c r="H604" i="6" s="1"/>
  <c r="F605" i="6"/>
  <c r="H605" i="6" s="1"/>
  <c r="F606" i="6"/>
  <c r="F607" i="6"/>
  <c r="F608" i="6"/>
  <c r="H608" i="6" s="1"/>
  <c r="F609" i="6"/>
  <c r="F610" i="6"/>
  <c r="H610" i="6" s="1"/>
  <c r="F611" i="6"/>
  <c r="F612" i="6"/>
  <c r="F613" i="6"/>
  <c r="H613" i="6" s="1"/>
  <c r="F614" i="6"/>
  <c r="H614" i="6" s="1"/>
  <c r="F615" i="6"/>
  <c r="F616" i="6"/>
  <c r="F617" i="6"/>
  <c r="F618" i="6"/>
  <c r="H618" i="6" s="1"/>
  <c r="F619" i="6"/>
  <c r="F620" i="6"/>
  <c r="H620" i="6" s="1"/>
  <c r="F621" i="6"/>
  <c r="F622" i="6"/>
  <c r="F623" i="6"/>
  <c r="F624" i="6"/>
  <c r="H624" i="6" s="1"/>
  <c r="F625" i="6"/>
  <c r="H625" i="6" s="1"/>
  <c r="F626" i="6"/>
  <c r="F627" i="6"/>
  <c r="F628" i="6"/>
  <c r="H628" i="6" s="1"/>
  <c r="F629" i="6"/>
  <c r="F630" i="6"/>
  <c r="H630" i="6" s="1"/>
  <c r="F631" i="6"/>
  <c r="F632" i="6"/>
  <c r="F633" i="6"/>
  <c r="I633" i="6" s="1"/>
  <c r="F634" i="6"/>
  <c r="H634" i="6" s="1"/>
  <c r="F635" i="6"/>
  <c r="H635" i="6" s="1"/>
  <c r="F636" i="6"/>
  <c r="F637" i="6"/>
  <c r="F638" i="6"/>
  <c r="H638" i="6" s="1"/>
  <c r="F639" i="6"/>
  <c r="F640" i="6"/>
  <c r="F641" i="6"/>
  <c r="F642" i="6"/>
  <c r="F643" i="6"/>
  <c r="H643" i="6" s="1"/>
  <c r="F644" i="6"/>
  <c r="H644" i="6" s="1"/>
  <c r="F645" i="6"/>
  <c r="H645" i="6" s="1"/>
  <c r="F646" i="6"/>
  <c r="F647" i="6"/>
  <c r="F648" i="6"/>
  <c r="H648" i="6" s="1"/>
  <c r="F649" i="6"/>
  <c r="F650" i="6"/>
  <c r="F651" i="6"/>
  <c r="F652" i="6"/>
  <c r="F653" i="6"/>
  <c r="H653" i="6" s="1"/>
  <c r="F654" i="6"/>
  <c r="H654" i="6" s="1"/>
  <c r="F655" i="6"/>
  <c r="I655" i="6" s="1"/>
  <c r="F656" i="6"/>
  <c r="F657" i="6"/>
  <c r="F658" i="6"/>
  <c r="H658" i="6" s="1"/>
  <c r="F659" i="6"/>
  <c r="F660" i="6"/>
  <c r="H660" i="6" s="1"/>
  <c r="F661" i="6"/>
  <c r="F662" i="6"/>
  <c r="F663" i="6"/>
  <c r="H663" i="6" s="1"/>
  <c r="F664" i="6"/>
  <c r="H664" i="6" s="1"/>
  <c r="F665" i="6"/>
  <c r="H665" i="6" s="1"/>
  <c r="F666" i="6"/>
  <c r="F667" i="6"/>
  <c r="F668" i="6"/>
  <c r="H668" i="6" s="1"/>
  <c r="F669" i="6"/>
  <c r="F670" i="6"/>
  <c r="H670" i="6" s="1"/>
  <c r="F671" i="6"/>
  <c r="F672" i="6"/>
  <c r="F673" i="6"/>
  <c r="H673" i="6" s="1"/>
  <c r="F674" i="6"/>
  <c r="H674" i="6" s="1"/>
  <c r="F675" i="6"/>
  <c r="H675" i="6" s="1"/>
  <c r="F676" i="6"/>
  <c r="F677" i="6"/>
  <c r="F678" i="6"/>
  <c r="H678" i="6" s="1"/>
  <c r="F679" i="6"/>
  <c r="F680" i="6"/>
  <c r="F681" i="6"/>
  <c r="F682" i="6"/>
  <c r="F683" i="6"/>
  <c r="H683" i="6" s="1"/>
  <c r="F684" i="6"/>
  <c r="H684" i="6" s="1"/>
  <c r="F685" i="6"/>
  <c r="H685" i="6" s="1"/>
  <c r="F686" i="6"/>
  <c r="F687" i="6"/>
  <c r="F688" i="6"/>
  <c r="H688" i="6" s="1"/>
  <c r="F689" i="6"/>
  <c r="F690" i="6"/>
  <c r="F691" i="6"/>
  <c r="F692" i="6"/>
  <c r="F693" i="6"/>
  <c r="I693" i="6" s="1"/>
  <c r="F694" i="6"/>
  <c r="H694" i="6" s="1"/>
  <c r="F695" i="6"/>
  <c r="F696" i="6"/>
  <c r="F697" i="6"/>
  <c r="F698" i="6"/>
  <c r="H698" i="6" s="1"/>
  <c r="F699" i="6"/>
  <c r="F700" i="6"/>
  <c r="F701" i="6"/>
  <c r="F702" i="6"/>
  <c r="F703" i="6"/>
  <c r="H703" i="6" s="1"/>
  <c r="F704" i="6"/>
  <c r="H704" i="6" s="1"/>
  <c r="F705" i="6"/>
  <c r="H705" i="6" s="1"/>
  <c r="F706" i="6"/>
  <c r="F707" i="6"/>
  <c r="F708" i="6"/>
  <c r="H708" i="6" s="1"/>
  <c r="F709" i="6"/>
  <c r="F710" i="6"/>
  <c r="F711" i="6"/>
  <c r="F712" i="6"/>
  <c r="F713" i="6"/>
  <c r="F714" i="6"/>
  <c r="H714" i="6" s="1"/>
  <c r="F715" i="6"/>
  <c r="F716" i="6"/>
  <c r="F717" i="6"/>
  <c r="F718" i="6"/>
  <c r="H718" i="6" s="1"/>
  <c r="F719" i="6"/>
  <c r="F720" i="6"/>
  <c r="H720" i="6" s="1"/>
  <c r="F721" i="6"/>
  <c r="F722" i="6"/>
  <c r="F723" i="6"/>
  <c r="I723" i="6" s="1"/>
  <c r="F724" i="6"/>
  <c r="H724" i="6" s="1"/>
  <c r="F725" i="6"/>
  <c r="H725" i="6" s="1"/>
  <c r="F726" i="6"/>
  <c r="F727" i="6"/>
  <c r="F728" i="6"/>
  <c r="H728" i="6" s="1"/>
  <c r="F729" i="6"/>
  <c r="F730" i="6"/>
  <c r="H730" i="6" s="1"/>
  <c r="F731" i="6"/>
  <c r="F732" i="6"/>
  <c r="F733" i="6"/>
  <c r="F734" i="6"/>
  <c r="H734" i="6" s="1"/>
  <c r="F735" i="6"/>
  <c r="H735" i="6" s="1"/>
  <c r="F736" i="6"/>
  <c r="F737" i="6"/>
  <c r="F738" i="6"/>
  <c r="H738" i="6" s="1"/>
  <c r="F739" i="6"/>
  <c r="F740" i="6"/>
  <c r="F741" i="6"/>
  <c r="F742" i="6"/>
  <c r="F743" i="6"/>
  <c r="H743" i="6" s="1"/>
  <c r="F744" i="6"/>
  <c r="H744" i="6" s="1"/>
  <c r="F745" i="6"/>
  <c r="I745" i="6" s="1"/>
  <c r="F746" i="6"/>
  <c r="F747" i="6"/>
  <c r="F748" i="6"/>
  <c r="H748" i="6" s="1"/>
  <c r="F749" i="6"/>
  <c r="F750" i="6"/>
  <c r="F751" i="6"/>
  <c r="F752" i="6"/>
  <c r="F753" i="6"/>
  <c r="H753" i="6" s="1"/>
  <c r="F754" i="6"/>
  <c r="H754" i="6" s="1"/>
  <c r="F755" i="6"/>
  <c r="H755" i="6" s="1"/>
  <c r="F756" i="6"/>
  <c r="F757" i="6"/>
  <c r="F758" i="6"/>
  <c r="H758" i="6" s="1"/>
  <c r="F759" i="6"/>
  <c r="F760" i="6"/>
  <c r="H760" i="6" s="1"/>
  <c r="F761" i="6"/>
  <c r="F762" i="6"/>
  <c r="F763" i="6"/>
  <c r="H763" i="6" s="1"/>
  <c r="F764" i="6"/>
  <c r="H764" i="6" s="1"/>
  <c r="F765" i="6"/>
  <c r="F766" i="6"/>
  <c r="F767" i="6"/>
  <c r="F768" i="6"/>
  <c r="H768" i="6" s="1"/>
  <c r="F769" i="6"/>
  <c r="F770" i="6"/>
  <c r="F771" i="6"/>
  <c r="F772" i="6"/>
  <c r="F773" i="6"/>
  <c r="I773" i="6" s="1"/>
  <c r="F774" i="6"/>
  <c r="H774" i="6" s="1"/>
  <c r="F775" i="6"/>
  <c r="H775" i="6" s="1"/>
  <c r="F776" i="6"/>
  <c r="F777" i="6"/>
  <c r="F778" i="6"/>
  <c r="H778" i="6" s="1"/>
  <c r="F779" i="6"/>
  <c r="F780" i="6"/>
  <c r="H780" i="6" s="1"/>
  <c r="F781" i="6"/>
  <c r="F782" i="6"/>
  <c r="F783" i="6"/>
  <c r="I783" i="6" s="1"/>
  <c r="F784" i="6"/>
  <c r="H784" i="6" s="1"/>
  <c r="F785" i="6"/>
  <c r="H785" i="6" s="1"/>
  <c r="F786" i="6"/>
  <c r="F787" i="6"/>
  <c r="F788" i="6"/>
  <c r="H788" i="6" s="1"/>
  <c r="F789" i="6"/>
  <c r="F790" i="6"/>
  <c r="F791" i="6"/>
  <c r="F792" i="6"/>
  <c r="F793" i="6"/>
  <c r="F794" i="6"/>
  <c r="H794" i="6" s="1"/>
  <c r="F795" i="6"/>
  <c r="I795" i="6" s="1"/>
  <c r="F796" i="6"/>
  <c r="F797" i="6"/>
  <c r="F798" i="6"/>
  <c r="H798" i="6" s="1"/>
  <c r="F799" i="6"/>
  <c r="F800" i="6"/>
  <c r="I800" i="6" s="1"/>
  <c r="F801" i="6"/>
  <c r="F802" i="6"/>
  <c r="F803" i="6"/>
  <c r="H803" i="6" s="1"/>
  <c r="F804" i="6"/>
  <c r="H804" i="6" s="1"/>
  <c r="F805" i="6"/>
  <c r="H805" i="6" s="1"/>
  <c r="F806" i="6"/>
  <c r="F807" i="6"/>
  <c r="F808" i="6"/>
  <c r="H808" i="6" s="1"/>
  <c r="F809" i="6"/>
  <c r="F810" i="6"/>
  <c r="H810" i="6" s="1"/>
  <c r="F811" i="6"/>
  <c r="F812" i="6"/>
  <c r="F813" i="6"/>
  <c r="H813" i="6" s="1"/>
  <c r="F814" i="6"/>
  <c r="H814" i="6" s="1"/>
  <c r="F815" i="6"/>
  <c r="H815" i="6" s="1"/>
  <c r="F816" i="6"/>
  <c r="F817" i="6"/>
  <c r="F818" i="6"/>
  <c r="H818" i="6" s="1"/>
  <c r="F819" i="6"/>
  <c r="F820" i="6"/>
  <c r="H820" i="6" s="1"/>
  <c r="F821" i="6"/>
  <c r="F822" i="6"/>
  <c r="F823" i="6"/>
  <c r="H823" i="6" s="1"/>
  <c r="F824" i="6"/>
  <c r="H824" i="6" s="1"/>
  <c r="F825" i="6"/>
  <c r="H825" i="6" s="1"/>
  <c r="F826" i="6"/>
  <c r="H826" i="6" s="1"/>
  <c r="F827" i="6"/>
  <c r="F828" i="6"/>
  <c r="H828" i="6" s="1"/>
  <c r="F829" i="6"/>
  <c r="F830" i="6"/>
  <c r="H830" i="6" s="1"/>
  <c r="F831" i="6"/>
  <c r="F832" i="6"/>
  <c r="F833" i="6"/>
  <c r="I833" i="6" s="1"/>
  <c r="F834" i="6"/>
  <c r="H834" i="6" s="1"/>
  <c r="F835" i="6"/>
  <c r="H835" i="6" s="1"/>
  <c r="F836" i="6"/>
  <c r="H836" i="6" s="1"/>
  <c r="F837" i="6"/>
  <c r="F838" i="6"/>
  <c r="F839" i="6"/>
  <c r="F840" i="6"/>
  <c r="H840" i="6" s="1"/>
  <c r="F841" i="6"/>
  <c r="F842" i="6"/>
  <c r="F843" i="6"/>
  <c r="H843" i="6" s="1"/>
  <c r="F844" i="6"/>
  <c r="H844" i="6" s="1"/>
  <c r="F845" i="6"/>
  <c r="F846" i="6"/>
  <c r="H846" i="6" s="1"/>
  <c r="F847" i="6"/>
  <c r="F848" i="6"/>
  <c r="I848" i="6" s="1"/>
  <c r="F849" i="6"/>
  <c r="F850" i="6"/>
  <c r="H850" i="6" s="1"/>
  <c r="F851" i="6"/>
  <c r="F852" i="6"/>
  <c r="F853" i="6"/>
  <c r="H853" i="6" s="1"/>
  <c r="F854" i="6"/>
  <c r="H854" i="6" s="1"/>
  <c r="F855" i="6"/>
  <c r="I855" i="6" s="1"/>
  <c r="F856" i="6"/>
  <c r="H856" i="6" s="1"/>
  <c r="F857" i="6"/>
  <c r="F858" i="6"/>
  <c r="H858" i="6" s="1"/>
  <c r="F859" i="6"/>
  <c r="F860" i="6"/>
  <c r="H860" i="6" s="1"/>
  <c r="F861" i="6"/>
  <c r="F862" i="6"/>
  <c r="F863" i="6"/>
  <c r="F864" i="6"/>
  <c r="H864" i="6" s="1"/>
  <c r="F865" i="6"/>
  <c r="F866" i="6"/>
  <c r="H866" i="6" s="1"/>
  <c r="F867" i="6"/>
  <c r="F868" i="6"/>
  <c r="I868" i="6" s="1"/>
  <c r="F869" i="6"/>
  <c r="F870" i="6"/>
  <c r="H870" i="6" s="1"/>
  <c r="F871" i="6"/>
  <c r="F872" i="6"/>
  <c r="F873" i="6"/>
  <c r="I873" i="6" s="1"/>
  <c r="F874" i="6"/>
  <c r="H874" i="6" s="1"/>
  <c r="F875" i="6"/>
  <c r="H875" i="6" s="1"/>
  <c r="F876" i="6"/>
  <c r="H876" i="6" s="1"/>
  <c r="F877" i="6"/>
  <c r="F878" i="6"/>
  <c r="H878" i="6" s="1"/>
  <c r="F879" i="6"/>
  <c r="F880" i="6"/>
  <c r="H880" i="6" s="1"/>
  <c r="F881" i="6"/>
  <c r="F882" i="6"/>
  <c r="F883" i="6"/>
  <c r="I883" i="6" s="1"/>
  <c r="F884" i="6"/>
  <c r="H884" i="6" s="1"/>
  <c r="F885" i="6"/>
  <c r="I885" i="6" s="1"/>
  <c r="F886" i="6"/>
  <c r="H886" i="6" s="1"/>
  <c r="F887" i="6"/>
  <c r="F888" i="6"/>
  <c r="F889" i="6"/>
  <c r="F890" i="6"/>
  <c r="H890" i="6" s="1"/>
  <c r="F891" i="6"/>
  <c r="F892" i="6"/>
  <c r="F893" i="6"/>
  <c r="H893" i="6" s="1"/>
  <c r="F894" i="6"/>
  <c r="H894" i="6" s="1"/>
  <c r="F895" i="6"/>
  <c r="H895" i="6" s="1"/>
  <c r="F896" i="6"/>
  <c r="H896" i="6" s="1"/>
  <c r="F897" i="6"/>
  <c r="F898" i="6"/>
  <c r="H898" i="6" s="1"/>
  <c r="F899" i="6"/>
  <c r="F900" i="6"/>
  <c r="H900" i="6" s="1"/>
  <c r="F901" i="6"/>
  <c r="F902" i="6"/>
  <c r="F903" i="6"/>
  <c r="H903" i="6" s="1"/>
  <c r="F904" i="6"/>
  <c r="H904" i="6" s="1"/>
  <c r="F905" i="6"/>
  <c r="H905" i="6" s="1"/>
  <c r="F906" i="6"/>
  <c r="H906" i="6" s="1"/>
  <c r="F907" i="6"/>
  <c r="F908" i="6"/>
  <c r="H908" i="6" s="1"/>
  <c r="F909" i="6"/>
  <c r="F910" i="6"/>
  <c r="H910" i="6" s="1"/>
  <c r="F911" i="6"/>
  <c r="F912" i="6"/>
  <c r="F913" i="6"/>
  <c r="F914" i="6"/>
  <c r="H914" i="6" s="1"/>
  <c r="F915" i="6"/>
  <c r="H915" i="6" s="1"/>
  <c r="F916" i="6"/>
  <c r="H916" i="6" s="1"/>
  <c r="F917" i="6"/>
  <c r="F918" i="6"/>
  <c r="F919" i="6"/>
  <c r="F920" i="6"/>
  <c r="H920" i="6" s="1"/>
  <c r="F921" i="6"/>
  <c r="F922" i="6"/>
  <c r="F923" i="6"/>
  <c r="H923" i="6" s="1"/>
  <c r="F924" i="6"/>
  <c r="H924" i="6" s="1"/>
  <c r="F925" i="6"/>
  <c r="H925" i="6" s="1"/>
  <c r="F926" i="6"/>
  <c r="H926" i="6" s="1"/>
  <c r="F927" i="6"/>
  <c r="F928" i="6"/>
  <c r="H928" i="6" s="1"/>
  <c r="F929" i="6"/>
  <c r="F930" i="6"/>
  <c r="H930" i="6" s="1"/>
  <c r="F931" i="6"/>
  <c r="F932" i="6"/>
  <c r="F933" i="6"/>
  <c r="H933" i="6" s="1"/>
  <c r="F934" i="6"/>
  <c r="H934" i="6" s="1"/>
  <c r="F935" i="6"/>
  <c r="F936" i="6"/>
  <c r="H936" i="6" s="1"/>
  <c r="F937" i="6"/>
  <c r="F938" i="6"/>
  <c r="F939" i="6"/>
  <c r="F940" i="6"/>
  <c r="H940" i="6" s="1"/>
  <c r="F941" i="6"/>
  <c r="F942" i="6"/>
  <c r="F943" i="6"/>
  <c r="I943" i="6" s="1"/>
  <c r="F944" i="6"/>
  <c r="H944" i="6" s="1"/>
  <c r="F945" i="6"/>
  <c r="I945" i="6" s="1"/>
  <c r="F946" i="6"/>
  <c r="H946" i="6" s="1"/>
  <c r="F947" i="6"/>
  <c r="F948" i="6"/>
  <c r="H948" i="6" s="1"/>
  <c r="F949" i="6"/>
  <c r="F950" i="6"/>
  <c r="H950" i="6" s="1"/>
  <c r="F951" i="6"/>
  <c r="F952" i="6"/>
  <c r="F953" i="6"/>
  <c r="I953" i="6" s="1"/>
  <c r="F954" i="6"/>
  <c r="H954" i="6" s="1"/>
  <c r="F955" i="6"/>
  <c r="F956" i="6"/>
  <c r="H956" i="6" s="1"/>
  <c r="F957" i="6"/>
  <c r="F958" i="6"/>
  <c r="F959" i="6"/>
  <c r="F960" i="6"/>
  <c r="H960" i="6" s="1"/>
  <c r="F961" i="6"/>
  <c r="F962" i="6"/>
  <c r="F963" i="6"/>
  <c r="F964" i="6"/>
  <c r="H964" i="6" s="1"/>
  <c r="F965" i="6"/>
  <c r="H965" i="6" s="1"/>
  <c r="F966" i="6"/>
  <c r="H966" i="6" s="1"/>
  <c r="F967" i="6"/>
  <c r="F968" i="6"/>
  <c r="H968" i="6" s="1"/>
  <c r="F969" i="6"/>
  <c r="F970" i="6"/>
  <c r="H970" i="6" s="1"/>
  <c r="F971" i="6"/>
  <c r="F972" i="6"/>
  <c r="F973" i="6"/>
  <c r="F974" i="6"/>
  <c r="H974" i="6" s="1"/>
  <c r="F975" i="6"/>
  <c r="H975" i="6" s="1"/>
  <c r="F976" i="6"/>
  <c r="H976" i="6" s="1"/>
  <c r="F977" i="6"/>
  <c r="F978" i="6"/>
  <c r="H978" i="6" s="1"/>
  <c r="F979" i="6"/>
  <c r="F980" i="6"/>
  <c r="H980" i="6" s="1"/>
  <c r="F981" i="6"/>
  <c r="F982" i="6"/>
  <c r="F983" i="6"/>
  <c r="H983" i="6" s="1"/>
  <c r="F984" i="6"/>
  <c r="H984" i="6" s="1"/>
  <c r="F985" i="6"/>
  <c r="H985" i="6" s="1"/>
  <c r="F986" i="6"/>
  <c r="H986" i="6" s="1"/>
  <c r="F987" i="6"/>
  <c r="F988" i="6"/>
  <c r="F989" i="6"/>
  <c r="F990" i="6"/>
  <c r="H990" i="6" s="1"/>
  <c r="F991" i="6"/>
  <c r="F992" i="6"/>
  <c r="F993" i="6"/>
  <c r="H993" i="6" s="1"/>
  <c r="F994" i="6"/>
  <c r="H994" i="6" s="1"/>
  <c r="F995" i="6"/>
  <c r="I995" i="6" s="1"/>
  <c r="F996" i="6"/>
  <c r="H996" i="6" s="1"/>
  <c r="F997" i="6"/>
  <c r="F998" i="6"/>
  <c r="I998" i="6" s="1"/>
  <c r="F999" i="6"/>
  <c r="F1000" i="6"/>
  <c r="H1000" i="6" s="1"/>
  <c r="F1001" i="6"/>
  <c r="F1002" i="6"/>
  <c r="F1003" i="6"/>
  <c r="H1003" i="6" s="1"/>
  <c r="F1004" i="6"/>
  <c r="H1004" i="6" s="1"/>
  <c r="F1005" i="6"/>
  <c r="F1006" i="6"/>
  <c r="H1006" i="6" s="1"/>
  <c r="F1007" i="6"/>
  <c r="F1008" i="6"/>
  <c r="I1008" i="6" s="1"/>
  <c r="F1009" i="6"/>
  <c r="F1010" i="6"/>
  <c r="H1010" i="6" s="1"/>
  <c r="F1011" i="6"/>
  <c r="F1012" i="6"/>
  <c r="F1013" i="6"/>
  <c r="F1014" i="6"/>
  <c r="H1014" i="6" s="1"/>
  <c r="F1015" i="6"/>
  <c r="I1015" i="6" s="1"/>
  <c r="F1016" i="6"/>
  <c r="H1016" i="6" s="1"/>
  <c r="F1017" i="6"/>
  <c r="F1018" i="6"/>
  <c r="F1019" i="6"/>
  <c r="F1020" i="6"/>
  <c r="H1020" i="6" s="1"/>
  <c r="F1021" i="6"/>
  <c r="F1022" i="6"/>
  <c r="F1023" i="6"/>
  <c r="H1023" i="6" s="1"/>
  <c r="F1024" i="6"/>
  <c r="H1024" i="6" s="1"/>
  <c r="F1025" i="6"/>
  <c r="H1025" i="6" s="1"/>
  <c r="F1026" i="6"/>
  <c r="H1026" i="6" s="1"/>
  <c r="F1027" i="6"/>
  <c r="F1028" i="6"/>
  <c r="F1029" i="6"/>
  <c r="F1030" i="6"/>
  <c r="H1030" i="6" s="1"/>
  <c r="F1031" i="6"/>
  <c r="F1032" i="6"/>
  <c r="F1033" i="6"/>
  <c r="H1033" i="6" s="1"/>
  <c r="F1034" i="6"/>
  <c r="H1034" i="6" s="1"/>
  <c r="F1035" i="6"/>
  <c r="F1036" i="6"/>
  <c r="H1036" i="6" s="1"/>
  <c r="F1037" i="6"/>
  <c r="F1038" i="6"/>
  <c r="F1039" i="6"/>
  <c r="F1040" i="6"/>
  <c r="H1040" i="6" s="1"/>
  <c r="F1041" i="6"/>
  <c r="F1042" i="6"/>
  <c r="F1043" i="6"/>
  <c r="F1044" i="6"/>
  <c r="H1044" i="6" s="1"/>
  <c r="F1045" i="6"/>
  <c r="F1046" i="6"/>
  <c r="H1046" i="6" s="1"/>
  <c r="F1047" i="6"/>
  <c r="F1048" i="6"/>
  <c r="H1048" i="6" s="1"/>
  <c r="F1049" i="6"/>
  <c r="F1050" i="6"/>
  <c r="H1050" i="6" s="1"/>
  <c r="F1051" i="6"/>
  <c r="F1052" i="6"/>
  <c r="F1053" i="6"/>
  <c r="H1053" i="6" s="1"/>
  <c r="F1054" i="6"/>
  <c r="H1054" i="6" s="1"/>
  <c r="F1055" i="6"/>
  <c r="I1055" i="6" s="1"/>
  <c r="F1056" i="6"/>
  <c r="H1056" i="6" s="1"/>
  <c r="F1057" i="6"/>
  <c r="F1058" i="6"/>
  <c r="H1058" i="6" s="1"/>
  <c r="F1059" i="6"/>
  <c r="F1060" i="6"/>
  <c r="H1060" i="6" s="1"/>
  <c r="F1061" i="6"/>
  <c r="F1062" i="6"/>
  <c r="F1063" i="6"/>
  <c r="F1064" i="6"/>
  <c r="H1064" i="6" s="1"/>
  <c r="F1065" i="6"/>
  <c r="I1065" i="6" s="1"/>
  <c r="F1066" i="6"/>
  <c r="H1066" i="6" s="1"/>
  <c r="F1067" i="6"/>
  <c r="F1068" i="6"/>
  <c r="I1068" i="6" s="1"/>
  <c r="F1069" i="6"/>
  <c r="F1070" i="6"/>
  <c r="H1070" i="6" s="1"/>
  <c r="F1071" i="6"/>
  <c r="F1072" i="6"/>
  <c r="F1073" i="6"/>
  <c r="H1073" i="6" s="1"/>
  <c r="F1074" i="6"/>
  <c r="H1074" i="6" s="1"/>
  <c r="F1075" i="6"/>
  <c r="H1075" i="6" s="1"/>
  <c r="F1076" i="6"/>
  <c r="H1076" i="6" s="1"/>
  <c r="F1077" i="6"/>
  <c r="F1078" i="6"/>
  <c r="I1078" i="6" s="1"/>
  <c r="F1079" i="6"/>
  <c r="F1080" i="6"/>
  <c r="H1080" i="6" s="1"/>
  <c r="F1081" i="6"/>
  <c r="F1082" i="6"/>
  <c r="F1083" i="6"/>
  <c r="F1084" i="6"/>
  <c r="H1084" i="6" s="1"/>
  <c r="F1085" i="6"/>
  <c r="H1085" i="6" s="1"/>
  <c r="F1086" i="6"/>
  <c r="H1086" i="6" s="1"/>
  <c r="F1087" i="6"/>
  <c r="F1088" i="6"/>
  <c r="F1089" i="6"/>
  <c r="F1090" i="6"/>
  <c r="H1090" i="6" s="1"/>
  <c r="F1091" i="6"/>
  <c r="F1092" i="6"/>
  <c r="F1093" i="6"/>
  <c r="H1093" i="6" s="1"/>
  <c r="F1094" i="6"/>
  <c r="H1094" i="6" s="1"/>
  <c r="F1095" i="6"/>
  <c r="F1096" i="6"/>
  <c r="H1096" i="6" s="1"/>
  <c r="G2" i="6"/>
  <c r="F2" i="6"/>
  <c r="H2" i="6" s="1"/>
  <c r="E2" i="6"/>
  <c r="M2" i="6" s="1"/>
  <c r="F30" i="5"/>
  <c r="E30" i="5"/>
  <c r="G30" i="5" s="1"/>
  <c r="F29" i="5"/>
  <c r="E29" i="5"/>
  <c r="G29" i="5" s="1"/>
  <c r="F28" i="5"/>
  <c r="E28" i="5"/>
  <c r="G27" i="5"/>
  <c r="F27" i="5"/>
  <c r="E27" i="5"/>
  <c r="F26" i="5"/>
  <c r="E26" i="5"/>
  <c r="G26" i="5" s="1"/>
  <c r="F25" i="5"/>
  <c r="E25" i="5"/>
  <c r="F24" i="5"/>
  <c r="E24" i="5"/>
  <c r="G24" i="5" s="1"/>
  <c r="F23" i="5"/>
  <c r="E23" i="5"/>
  <c r="F22" i="5"/>
  <c r="E22" i="5"/>
  <c r="F21" i="5"/>
  <c r="E21" i="5"/>
  <c r="F20" i="5"/>
  <c r="E20" i="5"/>
  <c r="G20" i="5" s="1"/>
  <c r="F19" i="5"/>
  <c r="E19" i="5"/>
  <c r="G19" i="5" s="1"/>
  <c r="F18" i="5"/>
  <c r="E18" i="5"/>
  <c r="G17" i="5"/>
  <c r="F17" i="5"/>
  <c r="E17" i="5"/>
  <c r="F16" i="5"/>
  <c r="E16" i="5"/>
  <c r="F15" i="5"/>
  <c r="E15" i="5"/>
  <c r="G15" i="5" s="1"/>
  <c r="F14" i="5"/>
  <c r="E14" i="5"/>
  <c r="F13" i="5"/>
  <c r="E13" i="5"/>
  <c r="F12" i="5"/>
  <c r="E12" i="5"/>
  <c r="F11" i="5"/>
  <c r="E11" i="5"/>
  <c r="F10" i="5"/>
  <c r="E10" i="5"/>
  <c r="G10" i="5" s="1"/>
  <c r="F9" i="5"/>
  <c r="E9" i="5"/>
  <c r="F8" i="5"/>
  <c r="E8" i="5"/>
  <c r="F7" i="5"/>
  <c r="E7" i="5"/>
  <c r="F6" i="5"/>
  <c r="E6" i="5"/>
  <c r="G6" i="5" s="1"/>
  <c r="F5" i="5"/>
  <c r="E5" i="5"/>
  <c r="F4" i="5"/>
  <c r="E4" i="5"/>
  <c r="F3" i="5"/>
  <c r="E3" i="5"/>
  <c r="A1969" i="4"/>
  <c r="M1969" i="4" s="1"/>
  <c r="A1970" i="4"/>
  <c r="M1970" i="4" s="1"/>
  <c r="A1971" i="4"/>
  <c r="M1971" i="4" s="1"/>
  <c r="A1972" i="4"/>
  <c r="M1972" i="4" s="1"/>
  <c r="A1973" i="4"/>
  <c r="M1973" i="4" s="1"/>
  <c r="A1974" i="4"/>
  <c r="A1975" i="4"/>
  <c r="M1975" i="4" s="1"/>
  <c r="A1976" i="4"/>
  <c r="M1976" i="4" s="1"/>
  <c r="A1977" i="4"/>
  <c r="M1977" i="4" s="1"/>
  <c r="A1978" i="4"/>
  <c r="M1978" i="4" s="1"/>
  <c r="A1979" i="4"/>
  <c r="M1979" i="4" s="1"/>
  <c r="A1980" i="4"/>
  <c r="M1980" i="4" s="1"/>
  <c r="B1983" i="4"/>
  <c r="A1968" i="4"/>
  <c r="M1968" i="4" s="1"/>
  <c r="C25" i="5"/>
  <c r="C30" i="5"/>
  <c r="D25" i="5"/>
  <c r="D30" i="5"/>
  <c r="C26" i="5"/>
  <c r="D26" i="5"/>
  <c r="C27" i="5"/>
  <c r="D27" i="5"/>
  <c r="C28" i="5"/>
  <c r="D28" i="5"/>
  <c r="C29" i="5"/>
  <c r="D29" i="5"/>
  <c r="D24" i="5"/>
  <c r="C24" i="5"/>
  <c r="B25" i="5"/>
  <c r="B26" i="5"/>
  <c r="B27" i="5"/>
  <c r="B28" i="5"/>
  <c r="B29" i="5"/>
  <c r="B30" i="5"/>
  <c r="B24" i="5"/>
  <c r="G1982" i="4" l="1"/>
  <c r="H1982" i="4"/>
  <c r="I1982" i="4"/>
  <c r="C1977" i="4"/>
  <c r="C1979" i="4"/>
  <c r="D1979" i="4" s="1"/>
  <c r="C1978" i="4"/>
  <c r="L1978" i="4" s="1"/>
  <c r="C1976" i="4"/>
  <c r="D1976" i="4" s="1"/>
  <c r="C1975" i="4"/>
  <c r="D1975" i="4" s="1"/>
  <c r="C1973" i="4"/>
  <c r="L1973" i="4" s="1"/>
  <c r="A1983" i="4"/>
  <c r="C1968" i="4"/>
  <c r="L1979" i="4"/>
  <c r="C1972" i="4"/>
  <c r="C1971" i="4"/>
  <c r="D1977" i="4"/>
  <c r="L1977" i="4"/>
  <c r="B1984" i="4"/>
  <c r="B1985" i="4" s="1"/>
  <c r="B1986" i="4" s="1"/>
  <c r="C1970" i="4"/>
  <c r="C1974" i="4"/>
  <c r="M1974" i="4"/>
  <c r="C1980" i="4"/>
  <c r="C1969" i="4"/>
  <c r="B1084" i="6"/>
  <c r="D1084" i="6"/>
  <c r="C1084" i="6"/>
  <c r="B884" i="6"/>
  <c r="C884" i="6"/>
  <c r="D884" i="6"/>
  <c r="B694" i="6"/>
  <c r="C694" i="6"/>
  <c r="D694" i="6"/>
  <c r="B514" i="6"/>
  <c r="C514" i="6"/>
  <c r="D514" i="6"/>
  <c r="B334" i="6"/>
  <c r="C334" i="6"/>
  <c r="D334" i="6"/>
  <c r="C234" i="6"/>
  <c r="D234" i="6"/>
  <c r="B234" i="6"/>
  <c r="C174" i="6"/>
  <c r="D174" i="6"/>
  <c r="B174" i="6"/>
  <c r="B134" i="6"/>
  <c r="C134" i="6"/>
  <c r="D134" i="6"/>
  <c r="D124" i="6"/>
  <c r="B124" i="6"/>
  <c r="C124" i="6"/>
  <c r="D114" i="6"/>
  <c r="B114" i="6"/>
  <c r="C114" i="6"/>
  <c r="B94" i="6"/>
  <c r="C94" i="6"/>
  <c r="D94" i="6"/>
  <c r="B84" i="6"/>
  <c r="C84" i="6"/>
  <c r="D84" i="6"/>
  <c r="B74" i="6"/>
  <c r="C74" i="6"/>
  <c r="D74" i="6"/>
  <c r="B64" i="6"/>
  <c r="C64" i="6"/>
  <c r="D64" i="6"/>
  <c r="C54" i="6"/>
  <c r="B54" i="6"/>
  <c r="D54" i="6"/>
  <c r="D44" i="6"/>
  <c r="B44" i="6"/>
  <c r="C44" i="6"/>
  <c r="B34" i="6"/>
  <c r="C34" i="6"/>
  <c r="D34" i="6"/>
  <c r="D24" i="6"/>
  <c r="B24" i="6"/>
  <c r="C24" i="6"/>
  <c r="D14" i="6"/>
  <c r="B14" i="6"/>
  <c r="C14" i="6"/>
  <c r="B4" i="6"/>
  <c r="C4" i="6"/>
  <c r="D4" i="6"/>
  <c r="I410" i="6"/>
  <c r="B934" i="6"/>
  <c r="C934" i="6"/>
  <c r="D934" i="6"/>
  <c r="B754" i="6"/>
  <c r="D754" i="6"/>
  <c r="C754" i="6"/>
  <c r="B544" i="6"/>
  <c r="C544" i="6"/>
  <c r="D544" i="6"/>
  <c r="C154" i="6"/>
  <c r="B154" i="6"/>
  <c r="D154" i="6"/>
  <c r="D663" i="6"/>
  <c r="B663" i="6"/>
  <c r="C663" i="6"/>
  <c r="C343" i="6"/>
  <c r="B343" i="6"/>
  <c r="D343" i="6"/>
  <c r="C163" i="6"/>
  <c r="D163" i="6"/>
  <c r="B163" i="6"/>
  <c r="B103" i="6"/>
  <c r="C103" i="6"/>
  <c r="D103" i="6"/>
  <c r="B53" i="6"/>
  <c r="C53" i="6"/>
  <c r="D53" i="6"/>
  <c r="C1094" i="6"/>
  <c r="B1094" i="6"/>
  <c r="D1094" i="6"/>
  <c r="B1014" i="6"/>
  <c r="C1014" i="6"/>
  <c r="D1014" i="6"/>
  <c r="B944" i="6"/>
  <c r="C944" i="6"/>
  <c r="D944" i="6"/>
  <c r="B854" i="6"/>
  <c r="D854" i="6"/>
  <c r="C854" i="6"/>
  <c r="B794" i="6"/>
  <c r="C794" i="6"/>
  <c r="D794" i="6"/>
  <c r="B744" i="6"/>
  <c r="C744" i="6"/>
  <c r="D744" i="6"/>
  <c r="B684" i="6"/>
  <c r="C684" i="6"/>
  <c r="D684" i="6"/>
  <c r="C614" i="6"/>
  <c r="D614" i="6"/>
  <c r="B614" i="6"/>
  <c r="B554" i="6"/>
  <c r="C554" i="6"/>
  <c r="D554" i="6"/>
  <c r="B484" i="6"/>
  <c r="C484" i="6"/>
  <c r="D484" i="6"/>
  <c r="B414" i="6"/>
  <c r="C414" i="6"/>
  <c r="D414" i="6"/>
  <c r="B364" i="6"/>
  <c r="C364" i="6"/>
  <c r="D364" i="6"/>
  <c r="B294" i="6"/>
  <c r="D294" i="6"/>
  <c r="C294" i="6"/>
  <c r="B284" i="6"/>
  <c r="C284" i="6"/>
  <c r="D284" i="6"/>
  <c r="B244" i="6"/>
  <c r="C244" i="6"/>
  <c r="D244" i="6"/>
  <c r="B224" i="6"/>
  <c r="D224" i="6"/>
  <c r="C224" i="6"/>
  <c r="B184" i="6"/>
  <c r="D184" i="6"/>
  <c r="C184" i="6"/>
  <c r="B164" i="6"/>
  <c r="C164" i="6"/>
  <c r="D164" i="6"/>
  <c r="C144" i="6"/>
  <c r="D144" i="6"/>
  <c r="B144" i="6"/>
  <c r="B104" i="6"/>
  <c r="C104" i="6"/>
  <c r="D104" i="6"/>
  <c r="B1093" i="6"/>
  <c r="C1093" i="6"/>
  <c r="D1093" i="6"/>
  <c r="B1073" i="6"/>
  <c r="C1073" i="6"/>
  <c r="D1073" i="6"/>
  <c r="B1053" i="6"/>
  <c r="C1053" i="6"/>
  <c r="D1053" i="6"/>
  <c r="B1033" i="6"/>
  <c r="C1033" i="6"/>
  <c r="D1033" i="6"/>
  <c r="B1023" i="6"/>
  <c r="C1023" i="6"/>
  <c r="D1023" i="6"/>
  <c r="B1003" i="6"/>
  <c r="C1003" i="6"/>
  <c r="D1003" i="6"/>
  <c r="B993" i="6"/>
  <c r="C993" i="6"/>
  <c r="D993" i="6"/>
  <c r="B983" i="6"/>
  <c r="C983" i="6"/>
  <c r="D983" i="6"/>
  <c r="B933" i="6"/>
  <c r="C933" i="6"/>
  <c r="D933" i="6"/>
  <c r="B923" i="6"/>
  <c r="C923" i="6"/>
  <c r="D923" i="6"/>
  <c r="B903" i="6"/>
  <c r="C903" i="6"/>
  <c r="D903" i="6"/>
  <c r="B893" i="6"/>
  <c r="C893" i="6"/>
  <c r="D893" i="6"/>
  <c r="D853" i="6"/>
  <c r="B853" i="6"/>
  <c r="C853" i="6"/>
  <c r="D843" i="6"/>
  <c r="B843" i="6"/>
  <c r="C843" i="6"/>
  <c r="D823" i="6"/>
  <c r="B823" i="6"/>
  <c r="C823" i="6"/>
  <c r="D813" i="6"/>
  <c r="B813" i="6"/>
  <c r="C813" i="6"/>
  <c r="D803" i="6"/>
  <c r="C803" i="6"/>
  <c r="B803" i="6"/>
  <c r="D763" i="6"/>
  <c r="C763" i="6"/>
  <c r="B763" i="6"/>
  <c r="D753" i="6"/>
  <c r="B753" i="6"/>
  <c r="C753" i="6"/>
  <c r="D743" i="6"/>
  <c r="C743" i="6"/>
  <c r="B743" i="6"/>
  <c r="D703" i="6"/>
  <c r="C703" i="6"/>
  <c r="B703" i="6"/>
  <c r="D683" i="6"/>
  <c r="B683" i="6"/>
  <c r="C683" i="6"/>
  <c r="D673" i="6"/>
  <c r="B673" i="6"/>
  <c r="C673" i="6"/>
  <c r="D653" i="6"/>
  <c r="C653" i="6"/>
  <c r="B653" i="6"/>
  <c r="D643" i="6"/>
  <c r="C643" i="6"/>
  <c r="B643" i="6"/>
  <c r="D613" i="6"/>
  <c r="B613" i="6"/>
  <c r="C613" i="6"/>
  <c r="D603" i="6"/>
  <c r="C603" i="6"/>
  <c r="B603" i="6"/>
  <c r="D593" i="6"/>
  <c r="C593" i="6"/>
  <c r="B593" i="6"/>
  <c r="D573" i="6"/>
  <c r="B573" i="6"/>
  <c r="C573" i="6"/>
  <c r="D563" i="6"/>
  <c r="B563" i="6"/>
  <c r="C563" i="6"/>
  <c r="D553" i="6"/>
  <c r="C553" i="6"/>
  <c r="B553" i="6"/>
  <c r="D513" i="6"/>
  <c r="B513" i="6"/>
  <c r="C513" i="6"/>
  <c r="D503" i="6"/>
  <c r="C503" i="6"/>
  <c r="B503" i="6"/>
  <c r="D483" i="6"/>
  <c r="B483" i="6"/>
  <c r="C483" i="6"/>
  <c r="D453" i="6"/>
  <c r="B453" i="6"/>
  <c r="C453" i="6"/>
  <c r="C413" i="6"/>
  <c r="D413" i="6"/>
  <c r="B413" i="6"/>
  <c r="B403" i="6"/>
  <c r="C403" i="6"/>
  <c r="D403" i="6"/>
  <c r="D383" i="6"/>
  <c r="B383" i="6"/>
  <c r="C383" i="6"/>
  <c r="C363" i="6"/>
  <c r="D363" i="6"/>
  <c r="B363" i="6"/>
  <c r="B353" i="6"/>
  <c r="C353" i="6"/>
  <c r="D353" i="6"/>
  <c r="B323" i="6"/>
  <c r="C323" i="6"/>
  <c r="D323" i="6"/>
  <c r="B313" i="6"/>
  <c r="D313" i="6"/>
  <c r="C313" i="6"/>
  <c r="B303" i="6"/>
  <c r="C303" i="6"/>
  <c r="D303" i="6"/>
  <c r="C263" i="6"/>
  <c r="D263" i="6"/>
  <c r="B263" i="6"/>
  <c r="B253" i="6"/>
  <c r="D253" i="6"/>
  <c r="C253" i="6"/>
  <c r="B203" i="6"/>
  <c r="C203" i="6"/>
  <c r="D203" i="6"/>
  <c r="C183" i="6"/>
  <c r="D183" i="6"/>
  <c r="B183" i="6"/>
  <c r="B153" i="6"/>
  <c r="C153" i="6"/>
  <c r="D153" i="6"/>
  <c r="D113" i="6"/>
  <c r="B113" i="6"/>
  <c r="C113" i="6"/>
  <c r="B63" i="6"/>
  <c r="C63" i="6"/>
  <c r="D63" i="6"/>
  <c r="D13" i="6"/>
  <c r="B13" i="6"/>
  <c r="C13" i="6"/>
  <c r="D3" i="6"/>
  <c r="B3" i="6"/>
  <c r="C3" i="6"/>
  <c r="B1044" i="6"/>
  <c r="C1044" i="6"/>
  <c r="D1044" i="6"/>
  <c r="B964" i="6"/>
  <c r="C964" i="6"/>
  <c r="D964" i="6"/>
  <c r="B864" i="6"/>
  <c r="C864" i="6"/>
  <c r="D864" i="6"/>
  <c r="D784" i="6"/>
  <c r="B784" i="6"/>
  <c r="C784" i="6"/>
  <c r="B634" i="6"/>
  <c r="C634" i="6"/>
  <c r="D634" i="6"/>
  <c r="C564" i="6"/>
  <c r="D564" i="6"/>
  <c r="B564" i="6"/>
  <c r="B474" i="6"/>
  <c r="C474" i="6"/>
  <c r="D474" i="6"/>
  <c r="B404" i="6"/>
  <c r="D404" i="6"/>
  <c r="C404" i="6"/>
  <c r="B304" i="6"/>
  <c r="C304" i="6"/>
  <c r="D304" i="6"/>
  <c r="B214" i="6"/>
  <c r="C214" i="6"/>
  <c r="D214" i="6"/>
  <c r="B551" i="6"/>
  <c r="D551" i="6"/>
  <c r="C551" i="6"/>
  <c r="B491" i="6"/>
  <c r="C491" i="6"/>
  <c r="D491" i="6"/>
  <c r="B421" i="6"/>
  <c r="C421" i="6"/>
  <c r="D421" i="6"/>
  <c r="B351" i="6"/>
  <c r="D351" i="6"/>
  <c r="C351" i="6"/>
  <c r="B301" i="6"/>
  <c r="C301" i="6"/>
  <c r="D301" i="6"/>
  <c r="B221" i="6"/>
  <c r="C221" i="6"/>
  <c r="D221" i="6"/>
  <c r="D81" i="6"/>
  <c r="B81" i="6"/>
  <c r="C81" i="6"/>
  <c r="B21" i="6"/>
  <c r="C21" i="6"/>
  <c r="D21" i="6"/>
  <c r="B1070" i="6"/>
  <c r="C1070" i="6"/>
  <c r="D1070" i="6"/>
  <c r="B990" i="6"/>
  <c r="C990" i="6"/>
  <c r="D990" i="6"/>
  <c r="B910" i="6"/>
  <c r="C910" i="6"/>
  <c r="D910" i="6"/>
  <c r="C830" i="6"/>
  <c r="B830" i="6"/>
  <c r="D830" i="6"/>
  <c r="C730" i="6"/>
  <c r="B730" i="6"/>
  <c r="D730" i="6"/>
  <c r="C570" i="6"/>
  <c r="B570" i="6"/>
  <c r="D570" i="6"/>
  <c r="D370" i="6"/>
  <c r="B370" i="6"/>
  <c r="C370" i="6"/>
  <c r="B210" i="6"/>
  <c r="C210" i="6"/>
  <c r="D210" i="6"/>
  <c r="B160" i="6"/>
  <c r="C160" i="6"/>
  <c r="D160" i="6"/>
  <c r="B110" i="6"/>
  <c r="D110" i="6"/>
  <c r="C110" i="6"/>
  <c r="C80" i="6"/>
  <c r="D80" i="6"/>
  <c r="B80" i="6"/>
  <c r="B70" i="6"/>
  <c r="C70" i="6"/>
  <c r="D70" i="6"/>
  <c r="C60" i="6"/>
  <c r="D60" i="6"/>
  <c r="B60" i="6"/>
  <c r="B30" i="6"/>
  <c r="C30" i="6"/>
  <c r="D30" i="6"/>
  <c r="B1024" i="6"/>
  <c r="C1024" i="6"/>
  <c r="D1024" i="6"/>
  <c r="B914" i="6"/>
  <c r="C914" i="6"/>
  <c r="D914" i="6"/>
  <c r="B834" i="6"/>
  <c r="C834" i="6"/>
  <c r="D834" i="6"/>
  <c r="B714" i="6"/>
  <c r="C714" i="6"/>
  <c r="D714" i="6"/>
  <c r="C624" i="6"/>
  <c r="D624" i="6"/>
  <c r="B624" i="6"/>
  <c r="B534" i="6"/>
  <c r="C534" i="6"/>
  <c r="D534" i="6"/>
  <c r="B444" i="6"/>
  <c r="C444" i="6"/>
  <c r="D444" i="6"/>
  <c r="D374" i="6"/>
  <c r="C374" i="6"/>
  <c r="B374" i="6"/>
  <c r="B274" i="6"/>
  <c r="C274" i="6"/>
  <c r="D274" i="6"/>
  <c r="B591" i="6"/>
  <c r="C591" i="6"/>
  <c r="D591" i="6"/>
  <c r="B521" i="6"/>
  <c r="C521" i="6"/>
  <c r="D521" i="6"/>
  <c r="B451" i="6"/>
  <c r="C451" i="6"/>
  <c r="D451" i="6"/>
  <c r="B391" i="6"/>
  <c r="C391" i="6"/>
  <c r="D391" i="6"/>
  <c r="B331" i="6"/>
  <c r="C331" i="6"/>
  <c r="D331" i="6"/>
  <c r="C271" i="6"/>
  <c r="D271" i="6"/>
  <c r="B271" i="6"/>
  <c r="B211" i="6"/>
  <c r="C211" i="6"/>
  <c r="D211" i="6"/>
  <c r="D151" i="6"/>
  <c r="B151" i="6"/>
  <c r="C151" i="6"/>
  <c r="C91" i="6"/>
  <c r="B91" i="6"/>
  <c r="D91" i="6"/>
  <c r="B1040" i="6"/>
  <c r="C1040" i="6"/>
  <c r="D1040" i="6"/>
  <c r="B980" i="6"/>
  <c r="C980" i="6"/>
  <c r="D980" i="6"/>
  <c r="B920" i="6"/>
  <c r="C920" i="6"/>
  <c r="D920" i="6"/>
  <c r="B860" i="6"/>
  <c r="C860" i="6"/>
  <c r="D860" i="6"/>
  <c r="C810" i="6"/>
  <c r="B810" i="6"/>
  <c r="D810" i="6"/>
  <c r="C620" i="6"/>
  <c r="B620" i="6"/>
  <c r="D620" i="6"/>
  <c r="C560" i="6"/>
  <c r="B560" i="6"/>
  <c r="D560" i="6"/>
  <c r="C420" i="6"/>
  <c r="D420" i="6"/>
  <c r="B420" i="6"/>
  <c r="B280" i="6"/>
  <c r="C280" i="6"/>
  <c r="D280" i="6"/>
  <c r="D230" i="6"/>
  <c r="C230" i="6"/>
  <c r="B230" i="6"/>
  <c r="B170" i="6"/>
  <c r="C170" i="6"/>
  <c r="D170" i="6"/>
  <c r="H1029" i="6"/>
  <c r="H999" i="6"/>
  <c r="H819" i="6"/>
  <c r="H779" i="6"/>
  <c r="C429" i="6"/>
  <c r="B429" i="6"/>
  <c r="D429" i="6"/>
  <c r="B389" i="6"/>
  <c r="C389" i="6"/>
  <c r="D389" i="6"/>
  <c r="B1034" i="6"/>
  <c r="C1034" i="6"/>
  <c r="D1034" i="6"/>
  <c r="B974" i="6"/>
  <c r="C974" i="6"/>
  <c r="D974" i="6"/>
  <c r="B894" i="6"/>
  <c r="C894" i="6"/>
  <c r="D894" i="6"/>
  <c r="C804" i="6"/>
  <c r="D804" i="6"/>
  <c r="B804" i="6"/>
  <c r="B654" i="6"/>
  <c r="C654" i="6"/>
  <c r="D654" i="6"/>
  <c r="B584" i="6"/>
  <c r="C584" i="6"/>
  <c r="D584" i="6"/>
  <c r="B494" i="6"/>
  <c r="C494" i="6"/>
  <c r="D494" i="6"/>
  <c r="B424" i="6"/>
  <c r="C424" i="6"/>
  <c r="D424" i="6"/>
  <c r="D344" i="6"/>
  <c r="B344" i="6"/>
  <c r="C344" i="6"/>
  <c r="B254" i="6"/>
  <c r="C254" i="6"/>
  <c r="D254" i="6"/>
  <c r="D561" i="6"/>
  <c r="B561" i="6"/>
  <c r="C561" i="6"/>
  <c r="B501" i="6"/>
  <c r="C501" i="6"/>
  <c r="D501" i="6"/>
  <c r="B441" i="6"/>
  <c r="C441" i="6"/>
  <c r="D441" i="6"/>
  <c r="B371" i="6"/>
  <c r="D371" i="6"/>
  <c r="C371" i="6"/>
  <c r="C311" i="6"/>
  <c r="D311" i="6"/>
  <c r="B311" i="6"/>
  <c r="B251" i="6"/>
  <c r="C251" i="6"/>
  <c r="D251" i="6"/>
  <c r="B181" i="6"/>
  <c r="D181" i="6"/>
  <c r="C181" i="6"/>
  <c r="B131" i="6"/>
  <c r="D131" i="6"/>
  <c r="C131" i="6"/>
  <c r="B51" i="6"/>
  <c r="C51" i="6"/>
  <c r="D51" i="6"/>
  <c r="B1090" i="6"/>
  <c r="C1090" i="6"/>
  <c r="D1090" i="6"/>
  <c r="B1030" i="6"/>
  <c r="J1030" i="6" s="1"/>
  <c r="C1030" i="6"/>
  <c r="D1030" i="6"/>
  <c r="B970" i="6"/>
  <c r="C970" i="6"/>
  <c r="D970" i="6"/>
  <c r="B930" i="6"/>
  <c r="C930" i="6"/>
  <c r="D930" i="6"/>
  <c r="B900" i="6"/>
  <c r="C900" i="6"/>
  <c r="D900" i="6"/>
  <c r="C850" i="6"/>
  <c r="B850" i="6"/>
  <c r="D850" i="6"/>
  <c r="C780" i="6"/>
  <c r="D780" i="6"/>
  <c r="B780" i="6"/>
  <c r="C660" i="6"/>
  <c r="B660" i="6"/>
  <c r="J660" i="6" s="1"/>
  <c r="D660" i="6"/>
  <c r="C580" i="6"/>
  <c r="B580" i="6"/>
  <c r="D580" i="6"/>
  <c r="B380" i="6"/>
  <c r="C380" i="6"/>
  <c r="D380" i="6"/>
  <c r="B330" i="6"/>
  <c r="C330" i="6"/>
  <c r="D330" i="6"/>
  <c r="B220" i="6"/>
  <c r="D220" i="6"/>
  <c r="C220" i="6"/>
  <c r="D1048" i="6"/>
  <c r="C1048" i="6"/>
  <c r="B1048" i="6"/>
  <c r="B978" i="6"/>
  <c r="C978" i="6"/>
  <c r="D978" i="6"/>
  <c r="B928" i="6"/>
  <c r="C928" i="6"/>
  <c r="K928" i="6" s="1"/>
  <c r="D928" i="6"/>
  <c r="C898" i="6"/>
  <c r="D898" i="6"/>
  <c r="B898" i="6"/>
  <c r="B878" i="6"/>
  <c r="C878" i="6"/>
  <c r="D878" i="6"/>
  <c r="B808" i="6"/>
  <c r="C808" i="6"/>
  <c r="D808" i="6"/>
  <c r="C778" i="6"/>
  <c r="D778" i="6"/>
  <c r="B778" i="6"/>
  <c r="D748" i="6"/>
  <c r="B748" i="6"/>
  <c r="C748" i="6"/>
  <c r="B708" i="6"/>
  <c r="C708" i="6"/>
  <c r="D708" i="6"/>
  <c r="C668" i="6"/>
  <c r="D668" i="6"/>
  <c r="B668" i="6"/>
  <c r="B638" i="6"/>
  <c r="C638" i="6"/>
  <c r="D638" i="6"/>
  <c r="B608" i="6"/>
  <c r="C608" i="6"/>
  <c r="D608" i="6"/>
  <c r="C578" i="6"/>
  <c r="D578" i="6"/>
  <c r="B578" i="6"/>
  <c r="B548" i="6"/>
  <c r="D548" i="6"/>
  <c r="C548" i="6"/>
  <c r="B518" i="6"/>
  <c r="C518" i="6"/>
  <c r="D518" i="6"/>
  <c r="B488" i="6"/>
  <c r="C488" i="6"/>
  <c r="D488" i="6"/>
  <c r="B458" i="6"/>
  <c r="C458" i="6"/>
  <c r="D458" i="6"/>
  <c r="B448" i="6"/>
  <c r="C448" i="6"/>
  <c r="D448" i="6"/>
  <c r="B438" i="6"/>
  <c r="C438" i="6"/>
  <c r="D438" i="6"/>
  <c r="B428" i="6"/>
  <c r="C428" i="6"/>
  <c r="D428" i="6"/>
  <c r="C408" i="6"/>
  <c r="B408" i="6"/>
  <c r="D408" i="6"/>
  <c r="B388" i="6"/>
  <c r="C388" i="6"/>
  <c r="D388" i="6"/>
  <c r="C378" i="6"/>
  <c r="K378" i="6" s="1"/>
  <c r="D378" i="6"/>
  <c r="B378" i="6"/>
  <c r="B368" i="6"/>
  <c r="C368" i="6"/>
  <c r="D368" i="6"/>
  <c r="B358" i="6"/>
  <c r="C358" i="6"/>
  <c r="D358" i="6"/>
  <c r="C348" i="6"/>
  <c r="D348" i="6"/>
  <c r="B348" i="6"/>
  <c r="B338" i="6"/>
  <c r="C338" i="6"/>
  <c r="D338" i="6"/>
  <c r="C328" i="6"/>
  <c r="D328" i="6"/>
  <c r="B328" i="6"/>
  <c r="D318" i="6"/>
  <c r="C318" i="6"/>
  <c r="B318" i="6"/>
  <c r="B308" i="6"/>
  <c r="C308" i="6"/>
  <c r="D308" i="6"/>
  <c r="B298" i="6"/>
  <c r="D298" i="6"/>
  <c r="C298" i="6"/>
  <c r="B288" i="6"/>
  <c r="C288" i="6"/>
  <c r="D288" i="6"/>
  <c r="D278" i="6"/>
  <c r="B278" i="6"/>
  <c r="C278" i="6"/>
  <c r="B268" i="6"/>
  <c r="C268" i="6"/>
  <c r="D268" i="6"/>
  <c r="D258" i="6"/>
  <c r="B258" i="6"/>
  <c r="C258" i="6"/>
  <c r="B248" i="6"/>
  <c r="C248" i="6"/>
  <c r="D248" i="6"/>
  <c r="B238" i="6"/>
  <c r="D238" i="6"/>
  <c r="C238" i="6"/>
  <c r="B228" i="6"/>
  <c r="D228" i="6"/>
  <c r="C228" i="6"/>
  <c r="B218" i="6"/>
  <c r="C218" i="6"/>
  <c r="D218" i="6"/>
  <c r="C208" i="6"/>
  <c r="B208" i="6"/>
  <c r="D208" i="6"/>
  <c r="D198" i="6"/>
  <c r="B198" i="6"/>
  <c r="C198" i="6"/>
  <c r="D188" i="6"/>
  <c r="B188" i="6"/>
  <c r="C188" i="6"/>
  <c r="D178" i="6"/>
  <c r="B178" i="6"/>
  <c r="C178" i="6"/>
  <c r="D168" i="6"/>
  <c r="B168" i="6"/>
  <c r="C168" i="6"/>
  <c r="D158" i="6"/>
  <c r="B158" i="6"/>
  <c r="C158" i="6"/>
  <c r="D148" i="6"/>
  <c r="C148" i="6"/>
  <c r="B148" i="6"/>
  <c r="D138" i="6"/>
  <c r="B138" i="6"/>
  <c r="C138" i="6"/>
  <c r="D128" i="6"/>
  <c r="C128" i="6"/>
  <c r="B128" i="6"/>
  <c r="D118" i="6"/>
  <c r="C118" i="6"/>
  <c r="B118" i="6"/>
  <c r="D108" i="6"/>
  <c r="B108" i="6"/>
  <c r="C108" i="6"/>
  <c r="D98" i="6"/>
  <c r="B98" i="6"/>
  <c r="C98" i="6"/>
  <c r="D88" i="6"/>
  <c r="B88" i="6"/>
  <c r="C88" i="6"/>
  <c r="D78" i="6"/>
  <c r="B78" i="6"/>
  <c r="C78" i="6"/>
  <c r="D68" i="6"/>
  <c r="C68" i="6"/>
  <c r="B68" i="6"/>
  <c r="D58" i="6"/>
  <c r="B58" i="6"/>
  <c r="C58" i="6"/>
  <c r="D48" i="6"/>
  <c r="B48" i="6"/>
  <c r="C48" i="6"/>
  <c r="D38" i="6"/>
  <c r="B38" i="6"/>
  <c r="C38" i="6"/>
  <c r="D28" i="6"/>
  <c r="C28" i="6"/>
  <c r="B28" i="6"/>
  <c r="D18" i="6"/>
  <c r="B18" i="6"/>
  <c r="C18" i="6"/>
  <c r="D8" i="6"/>
  <c r="B8" i="6"/>
  <c r="C8" i="6"/>
  <c r="B1064" i="6"/>
  <c r="C1064" i="6"/>
  <c r="D1064" i="6"/>
  <c r="B994" i="6"/>
  <c r="C994" i="6"/>
  <c r="D994" i="6"/>
  <c r="B924" i="6"/>
  <c r="J924" i="6" s="1"/>
  <c r="C924" i="6"/>
  <c r="D924" i="6"/>
  <c r="C844" i="6"/>
  <c r="B844" i="6"/>
  <c r="D844" i="6"/>
  <c r="B764" i="6"/>
  <c r="C764" i="6"/>
  <c r="D764" i="6"/>
  <c r="B724" i="6"/>
  <c r="C724" i="6"/>
  <c r="D724" i="6"/>
  <c r="C664" i="6"/>
  <c r="D664" i="6"/>
  <c r="B664" i="6"/>
  <c r="B594" i="6"/>
  <c r="C594" i="6"/>
  <c r="D594" i="6"/>
  <c r="B504" i="6"/>
  <c r="C504" i="6"/>
  <c r="D504" i="6"/>
  <c r="B434" i="6"/>
  <c r="C434" i="6"/>
  <c r="D434" i="6"/>
  <c r="C354" i="6"/>
  <c r="D354" i="6"/>
  <c r="B354" i="6"/>
  <c r="B264" i="6"/>
  <c r="C264" i="6"/>
  <c r="D264" i="6"/>
  <c r="B571" i="6"/>
  <c r="C571" i="6"/>
  <c r="D571" i="6"/>
  <c r="B511" i="6"/>
  <c r="C511" i="6"/>
  <c r="D511" i="6"/>
  <c r="B461" i="6"/>
  <c r="C461" i="6"/>
  <c r="D461" i="6"/>
  <c r="B401" i="6"/>
  <c r="C401" i="6"/>
  <c r="D401" i="6"/>
  <c r="B321" i="6"/>
  <c r="C321" i="6"/>
  <c r="D321" i="6"/>
  <c r="B261" i="6"/>
  <c r="D261" i="6"/>
  <c r="C261" i="6"/>
  <c r="C191" i="6"/>
  <c r="B191" i="6"/>
  <c r="D191" i="6"/>
  <c r="L191" i="6" s="1"/>
  <c r="C1080" i="6"/>
  <c r="K1080" i="6" s="1"/>
  <c r="D1080" i="6"/>
  <c r="B1080" i="6"/>
  <c r="B1010" i="6"/>
  <c r="C1010" i="6"/>
  <c r="D1010" i="6"/>
  <c r="B940" i="6"/>
  <c r="C940" i="6"/>
  <c r="D940" i="6"/>
  <c r="B870" i="6"/>
  <c r="J870" i="6" s="1"/>
  <c r="C870" i="6"/>
  <c r="K870" i="6" s="1"/>
  <c r="D870" i="6"/>
  <c r="C820" i="6"/>
  <c r="B820" i="6"/>
  <c r="D820" i="6"/>
  <c r="C760" i="6"/>
  <c r="B760" i="6"/>
  <c r="D760" i="6"/>
  <c r="C610" i="6"/>
  <c r="B610" i="6"/>
  <c r="J610" i="6" s="1"/>
  <c r="D610" i="6"/>
  <c r="C530" i="6"/>
  <c r="K530" i="6" s="1"/>
  <c r="D530" i="6"/>
  <c r="B530" i="6"/>
  <c r="C460" i="6"/>
  <c r="D460" i="6"/>
  <c r="B460" i="6"/>
  <c r="B360" i="6"/>
  <c r="C360" i="6"/>
  <c r="D360" i="6"/>
  <c r="B1054" i="6"/>
  <c r="C1054" i="6"/>
  <c r="D1054" i="6"/>
  <c r="B984" i="6"/>
  <c r="C984" i="6"/>
  <c r="D984" i="6"/>
  <c r="B904" i="6"/>
  <c r="C904" i="6"/>
  <c r="D904" i="6"/>
  <c r="B824" i="6"/>
  <c r="C824" i="6"/>
  <c r="D824" i="6"/>
  <c r="D774" i="6"/>
  <c r="B774" i="6"/>
  <c r="C774" i="6"/>
  <c r="B704" i="6"/>
  <c r="C704" i="6"/>
  <c r="D704" i="6"/>
  <c r="B644" i="6"/>
  <c r="C644" i="6"/>
  <c r="D644" i="6"/>
  <c r="C574" i="6"/>
  <c r="D574" i="6"/>
  <c r="B574" i="6"/>
  <c r="B464" i="6"/>
  <c r="C464" i="6"/>
  <c r="D464" i="6"/>
  <c r="D394" i="6"/>
  <c r="C394" i="6"/>
  <c r="B394" i="6"/>
  <c r="B324" i="6"/>
  <c r="D324" i="6"/>
  <c r="C324" i="6"/>
  <c r="B194" i="6"/>
  <c r="C194" i="6"/>
  <c r="D194" i="6"/>
  <c r="B601" i="6"/>
  <c r="D601" i="6"/>
  <c r="C601" i="6"/>
  <c r="B541" i="6"/>
  <c r="J541" i="6" s="1"/>
  <c r="C541" i="6"/>
  <c r="D541" i="6"/>
  <c r="B471" i="6"/>
  <c r="C471" i="6"/>
  <c r="D471" i="6"/>
  <c r="B411" i="6"/>
  <c r="C411" i="6"/>
  <c r="D411" i="6"/>
  <c r="D361" i="6"/>
  <c r="B361" i="6"/>
  <c r="C361" i="6"/>
  <c r="B291" i="6"/>
  <c r="C291" i="6"/>
  <c r="D291" i="6"/>
  <c r="B231" i="6"/>
  <c r="C231" i="6"/>
  <c r="D231" i="6"/>
  <c r="B171" i="6"/>
  <c r="C171" i="6"/>
  <c r="D171" i="6"/>
  <c r="C111" i="6"/>
  <c r="D111" i="6"/>
  <c r="B111" i="6"/>
  <c r="B71" i="6"/>
  <c r="C71" i="6"/>
  <c r="D71" i="6"/>
  <c r="B31" i="6"/>
  <c r="C31" i="6"/>
  <c r="D31" i="6"/>
  <c r="B1060" i="6"/>
  <c r="J1060" i="6" s="1"/>
  <c r="C1060" i="6"/>
  <c r="K1060" i="6" s="1"/>
  <c r="D1060" i="6"/>
  <c r="B1020" i="6"/>
  <c r="C1020" i="6"/>
  <c r="D1020" i="6"/>
  <c r="B960" i="6"/>
  <c r="C960" i="6"/>
  <c r="D960" i="6"/>
  <c r="B890" i="6"/>
  <c r="C890" i="6"/>
  <c r="D890" i="6"/>
  <c r="L890" i="6" s="1"/>
  <c r="C840" i="6"/>
  <c r="D840" i="6"/>
  <c r="B840" i="6"/>
  <c r="C670" i="6"/>
  <c r="B670" i="6"/>
  <c r="D670" i="6"/>
  <c r="C470" i="6"/>
  <c r="D470" i="6"/>
  <c r="B470" i="6"/>
  <c r="B320" i="6"/>
  <c r="C320" i="6"/>
  <c r="D320" i="6"/>
  <c r="B120" i="6"/>
  <c r="C120" i="6"/>
  <c r="D120" i="6"/>
  <c r="C2" i="6"/>
  <c r="D2" i="6"/>
  <c r="B2" i="6"/>
  <c r="B1058" i="6"/>
  <c r="J1058" i="6" s="1"/>
  <c r="D1058" i="6"/>
  <c r="L1058" i="6" s="1"/>
  <c r="C1058" i="6"/>
  <c r="D948" i="6"/>
  <c r="C948" i="6"/>
  <c r="B948" i="6"/>
  <c r="B828" i="6"/>
  <c r="D828" i="6"/>
  <c r="C828" i="6"/>
  <c r="B798" i="6"/>
  <c r="C798" i="6"/>
  <c r="D798" i="6"/>
  <c r="B768" i="6"/>
  <c r="C768" i="6"/>
  <c r="D768" i="6"/>
  <c r="B738" i="6"/>
  <c r="C738" i="6"/>
  <c r="D738" i="6"/>
  <c r="B718" i="6"/>
  <c r="C718" i="6"/>
  <c r="D718" i="6"/>
  <c r="B688" i="6"/>
  <c r="C688" i="6"/>
  <c r="D688" i="6"/>
  <c r="B658" i="6"/>
  <c r="C658" i="6"/>
  <c r="D658" i="6"/>
  <c r="C618" i="6"/>
  <c r="D618" i="6"/>
  <c r="B618" i="6"/>
  <c r="B598" i="6"/>
  <c r="C598" i="6"/>
  <c r="D598" i="6"/>
  <c r="B558" i="6"/>
  <c r="C558" i="6"/>
  <c r="D558" i="6"/>
  <c r="B538" i="6"/>
  <c r="C538" i="6"/>
  <c r="D538" i="6"/>
  <c r="B498" i="6"/>
  <c r="C498" i="6"/>
  <c r="D498" i="6"/>
  <c r="B468" i="6"/>
  <c r="C468" i="6"/>
  <c r="D468" i="6"/>
  <c r="B418" i="6"/>
  <c r="C418" i="6"/>
  <c r="D418" i="6"/>
  <c r="C1096" i="6"/>
  <c r="D1096" i="6"/>
  <c r="B1096" i="6"/>
  <c r="C1086" i="6"/>
  <c r="D1086" i="6"/>
  <c r="B1086" i="6"/>
  <c r="C1076" i="6"/>
  <c r="D1076" i="6"/>
  <c r="B1076" i="6"/>
  <c r="C1066" i="6"/>
  <c r="D1066" i="6"/>
  <c r="B1066" i="6"/>
  <c r="C1056" i="6"/>
  <c r="D1056" i="6"/>
  <c r="B1056" i="6"/>
  <c r="C1046" i="6"/>
  <c r="D1046" i="6"/>
  <c r="B1046" i="6"/>
  <c r="C1036" i="6"/>
  <c r="D1036" i="6"/>
  <c r="B1036" i="6"/>
  <c r="C1026" i="6"/>
  <c r="D1026" i="6"/>
  <c r="B1026" i="6"/>
  <c r="C1016" i="6"/>
  <c r="D1016" i="6"/>
  <c r="B1016" i="6"/>
  <c r="C1006" i="6"/>
  <c r="D1006" i="6"/>
  <c r="B1006" i="6"/>
  <c r="C996" i="6"/>
  <c r="D996" i="6"/>
  <c r="B996" i="6"/>
  <c r="C986" i="6"/>
  <c r="D986" i="6"/>
  <c r="B986" i="6"/>
  <c r="C976" i="6"/>
  <c r="D976" i="6"/>
  <c r="B976" i="6"/>
  <c r="C966" i="6"/>
  <c r="D966" i="6"/>
  <c r="B966" i="6"/>
  <c r="C956" i="6"/>
  <c r="D956" i="6"/>
  <c r="B956" i="6"/>
  <c r="C946" i="6"/>
  <c r="D946" i="6"/>
  <c r="B946" i="6"/>
  <c r="C936" i="6"/>
  <c r="D936" i="6"/>
  <c r="B936" i="6"/>
  <c r="C926" i="6"/>
  <c r="D926" i="6"/>
  <c r="B926" i="6"/>
  <c r="C916" i="6"/>
  <c r="D916" i="6"/>
  <c r="B916" i="6"/>
  <c r="C906" i="6"/>
  <c r="D906" i="6"/>
  <c r="B906" i="6"/>
  <c r="C896" i="6"/>
  <c r="D896" i="6"/>
  <c r="B896" i="6"/>
  <c r="C886" i="6"/>
  <c r="D886" i="6"/>
  <c r="B886" i="6"/>
  <c r="C876" i="6"/>
  <c r="D876" i="6"/>
  <c r="B876" i="6"/>
  <c r="C866" i="6"/>
  <c r="D866" i="6"/>
  <c r="B866" i="6"/>
  <c r="B856" i="6"/>
  <c r="C856" i="6"/>
  <c r="D856" i="6"/>
  <c r="B846" i="6"/>
  <c r="C846" i="6"/>
  <c r="D846" i="6"/>
  <c r="D836" i="6"/>
  <c r="B836" i="6"/>
  <c r="C836" i="6"/>
  <c r="C826" i="6"/>
  <c r="D826" i="6"/>
  <c r="L826" i="6" s="1"/>
  <c r="B826" i="6"/>
  <c r="J826" i="6" s="1"/>
  <c r="B1074" i="6"/>
  <c r="C1074" i="6"/>
  <c r="D1074" i="6"/>
  <c r="B1004" i="6"/>
  <c r="C1004" i="6"/>
  <c r="D1004" i="6"/>
  <c r="B954" i="6"/>
  <c r="C954" i="6"/>
  <c r="D954" i="6"/>
  <c r="L954" i="6" s="1"/>
  <c r="B874" i="6"/>
  <c r="C874" i="6"/>
  <c r="D874" i="6"/>
  <c r="D814" i="6"/>
  <c r="B814" i="6"/>
  <c r="C814" i="6"/>
  <c r="B734" i="6"/>
  <c r="C734" i="6"/>
  <c r="D734" i="6"/>
  <c r="C674" i="6"/>
  <c r="D674" i="6"/>
  <c r="L674" i="6" s="1"/>
  <c r="B674" i="6"/>
  <c r="B604" i="6"/>
  <c r="C604" i="6"/>
  <c r="D604" i="6"/>
  <c r="B524" i="6"/>
  <c r="C524" i="6"/>
  <c r="D524" i="6"/>
  <c r="B454" i="6"/>
  <c r="C454" i="6"/>
  <c r="D454" i="6"/>
  <c r="B314" i="6"/>
  <c r="C314" i="6"/>
  <c r="D314" i="6"/>
  <c r="D204" i="6"/>
  <c r="B204" i="6"/>
  <c r="C204" i="6"/>
  <c r="B581" i="6"/>
  <c r="C581" i="6"/>
  <c r="D581" i="6"/>
  <c r="L581" i="6" s="1"/>
  <c r="B531" i="6"/>
  <c r="C531" i="6"/>
  <c r="D531" i="6"/>
  <c r="B481" i="6"/>
  <c r="C481" i="6"/>
  <c r="D481" i="6"/>
  <c r="B431" i="6"/>
  <c r="C431" i="6"/>
  <c r="D431" i="6"/>
  <c r="B381" i="6"/>
  <c r="C381" i="6"/>
  <c r="K381" i="6" s="1"/>
  <c r="D381" i="6"/>
  <c r="B341" i="6"/>
  <c r="C341" i="6"/>
  <c r="D341" i="6"/>
  <c r="B281" i="6"/>
  <c r="C281" i="6"/>
  <c r="D281" i="6"/>
  <c r="D241" i="6"/>
  <c r="B241" i="6"/>
  <c r="C241" i="6"/>
  <c r="B41" i="6"/>
  <c r="C41" i="6"/>
  <c r="D41" i="6"/>
  <c r="D11" i="6"/>
  <c r="B11" i="6"/>
  <c r="C11" i="6"/>
  <c r="C1050" i="6"/>
  <c r="B1050" i="6"/>
  <c r="D1050" i="6"/>
  <c r="B1000" i="6"/>
  <c r="C1000" i="6"/>
  <c r="D1000" i="6"/>
  <c r="B950" i="6"/>
  <c r="C950" i="6"/>
  <c r="D950" i="6"/>
  <c r="B880" i="6"/>
  <c r="C880" i="6"/>
  <c r="D880" i="6"/>
  <c r="C720" i="6"/>
  <c r="B720" i="6"/>
  <c r="D720" i="6"/>
  <c r="C630" i="6"/>
  <c r="B630" i="6"/>
  <c r="D630" i="6"/>
  <c r="C480" i="6"/>
  <c r="D480" i="6"/>
  <c r="B480" i="6"/>
  <c r="B410" i="6"/>
  <c r="C410" i="6"/>
  <c r="K410" i="6" s="1"/>
  <c r="D410" i="6"/>
  <c r="B310" i="6"/>
  <c r="C310" i="6"/>
  <c r="D310" i="6"/>
  <c r="B130" i="6"/>
  <c r="D130" i="6"/>
  <c r="C130" i="6"/>
  <c r="B968" i="6"/>
  <c r="C968" i="6"/>
  <c r="D968" i="6"/>
  <c r="L968" i="6" s="1"/>
  <c r="D908" i="6"/>
  <c r="L908" i="6" s="1"/>
  <c r="B908" i="6"/>
  <c r="C908" i="6"/>
  <c r="D858" i="6"/>
  <c r="B858" i="6"/>
  <c r="C858" i="6"/>
  <c r="C818" i="6"/>
  <c r="D818" i="6"/>
  <c r="B818" i="6"/>
  <c r="D788" i="6"/>
  <c r="B788" i="6"/>
  <c r="C788" i="6"/>
  <c r="C758" i="6"/>
  <c r="D758" i="6"/>
  <c r="B758" i="6"/>
  <c r="B728" i="6"/>
  <c r="D728" i="6"/>
  <c r="C728" i="6"/>
  <c r="B698" i="6"/>
  <c r="C698" i="6"/>
  <c r="D698" i="6"/>
  <c r="C678" i="6"/>
  <c r="D678" i="6"/>
  <c r="B678" i="6"/>
  <c r="B648" i="6"/>
  <c r="C648" i="6"/>
  <c r="D648" i="6"/>
  <c r="C628" i="6"/>
  <c r="D628" i="6"/>
  <c r="B628" i="6"/>
  <c r="B588" i="6"/>
  <c r="C588" i="6"/>
  <c r="D588" i="6"/>
  <c r="C568" i="6"/>
  <c r="D568" i="6"/>
  <c r="B568" i="6"/>
  <c r="B528" i="6"/>
  <c r="C528" i="6"/>
  <c r="D528" i="6"/>
  <c r="B508" i="6"/>
  <c r="C508" i="6"/>
  <c r="D508" i="6"/>
  <c r="B478" i="6"/>
  <c r="C478" i="6"/>
  <c r="D478" i="6"/>
  <c r="C398" i="6"/>
  <c r="D398" i="6"/>
  <c r="B398" i="6"/>
  <c r="C1085" i="6"/>
  <c r="D1085" i="6"/>
  <c r="B1085" i="6"/>
  <c r="C1075" i="6"/>
  <c r="D1075" i="6"/>
  <c r="B1075" i="6"/>
  <c r="C1025" i="6"/>
  <c r="B1025" i="6"/>
  <c r="D1025" i="6"/>
  <c r="D985" i="6"/>
  <c r="C985" i="6"/>
  <c r="B985" i="6"/>
  <c r="D975" i="6"/>
  <c r="C975" i="6"/>
  <c r="B975" i="6"/>
  <c r="D965" i="6"/>
  <c r="C965" i="6"/>
  <c r="B965" i="6"/>
  <c r="D925" i="6"/>
  <c r="C925" i="6"/>
  <c r="B925" i="6"/>
  <c r="D915" i="6"/>
  <c r="B915" i="6"/>
  <c r="C915" i="6"/>
  <c r="D905" i="6"/>
  <c r="B905" i="6"/>
  <c r="C905" i="6"/>
  <c r="D895" i="6"/>
  <c r="B895" i="6"/>
  <c r="C895" i="6"/>
  <c r="D875" i="6"/>
  <c r="C875" i="6"/>
  <c r="B875" i="6"/>
  <c r="B835" i="6"/>
  <c r="C835" i="6"/>
  <c r="D835" i="6"/>
  <c r="D825" i="6"/>
  <c r="B825" i="6"/>
  <c r="C825" i="6"/>
  <c r="C815" i="6"/>
  <c r="D815" i="6"/>
  <c r="B815" i="6"/>
  <c r="B805" i="6"/>
  <c r="J805" i="6" s="1"/>
  <c r="C805" i="6"/>
  <c r="D805" i="6"/>
  <c r="D785" i="6"/>
  <c r="B785" i="6"/>
  <c r="C785" i="6"/>
  <c r="B775" i="6"/>
  <c r="C775" i="6"/>
  <c r="D775" i="6"/>
  <c r="B755" i="6"/>
  <c r="C755" i="6"/>
  <c r="D755" i="6"/>
  <c r="B735" i="6"/>
  <c r="C735" i="6"/>
  <c r="D735" i="6"/>
  <c r="B725" i="6"/>
  <c r="C725" i="6"/>
  <c r="D725" i="6"/>
  <c r="B705" i="6"/>
  <c r="D705" i="6"/>
  <c r="L705" i="6" s="1"/>
  <c r="C705" i="6"/>
  <c r="B685" i="6"/>
  <c r="C685" i="6"/>
  <c r="D685" i="6"/>
  <c r="B675" i="6"/>
  <c r="C675" i="6"/>
  <c r="D675" i="6"/>
  <c r="D665" i="6"/>
  <c r="B665" i="6"/>
  <c r="C665" i="6"/>
  <c r="B645" i="6"/>
  <c r="C645" i="6"/>
  <c r="D645" i="6"/>
  <c r="B635" i="6"/>
  <c r="C635" i="6"/>
  <c r="D635" i="6"/>
  <c r="B625" i="6"/>
  <c r="C625" i="6"/>
  <c r="D625" i="6"/>
  <c r="B605" i="6"/>
  <c r="J605" i="6" s="1"/>
  <c r="D605" i="6"/>
  <c r="C605" i="6"/>
  <c r="B595" i="6"/>
  <c r="C595" i="6"/>
  <c r="D595" i="6"/>
  <c r="B575" i="6"/>
  <c r="C575" i="6"/>
  <c r="D575" i="6"/>
  <c r="D565" i="6"/>
  <c r="B565" i="6"/>
  <c r="C565" i="6"/>
  <c r="B525" i="6"/>
  <c r="C525" i="6"/>
  <c r="D525" i="6"/>
  <c r="B505" i="6"/>
  <c r="C505" i="6"/>
  <c r="D505" i="6"/>
  <c r="B485" i="6"/>
  <c r="C485" i="6"/>
  <c r="D485" i="6"/>
  <c r="B475" i="6"/>
  <c r="C475" i="6"/>
  <c r="D475" i="6"/>
  <c r="B465" i="6"/>
  <c r="C465" i="6"/>
  <c r="D465" i="6"/>
  <c r="B435" i="6"/>
  <c r="C435" i="6"/>
  <c r="D435" i="6"/>
  <c r="B425" i="6"/>
  <c r="C425" i="6"/>
  <c r="D425" i="6"/>
  <c r="D415" i="6"/>
  <c r="B415" i="6"/>
  <c r="C415" i="6"/>
  <c r="D405" i="6"/>
  <c r="B405" i="6"/>
  <c r="C405" i="6"/>
  <c r="D385" i="6"/>
  <c r="B385" i="6"/>
  <c r="C385" i="6"/>
  <c r="D375" i="6"/>
  <c r="B375" i="6"/>
  <c r="C375" i="6"/>
  <c r="D365" i="6"/>
  <c r="C365" i="6"/>
  <c r="B365" i="6"/>
  <c r="D345" i="6"/>
  <c r="B345" i="6"/>
  <c r="C345" i="6"/>
  <c r="K345" i="6" s="1"/>
  <c r="D325" i="6"/>
  <c r="C325" i="6"/>
  <c r="B325" i="6"/>
  <c r="D305" i="6"/>
  <c r="B305" i="6"/>
  <c r="C305" i="6"/>
  <c r="D285" i="6"/>
  <c r="B285" i="6"/>
  <c r="C285" i="6"/>
  <c r="D275" i="6"/>
  <c r="B275" i="6"/>
  <c r="C275" i="6"/>
  <c r="D255" i="6"/>
  <c r="B255" i="6"/>
  <c r="C255" i="6"/>
  <c r="D245" i="6"/>
  <c r="C245" i="6"/>
  <c r="B245" i="6"/>
  <c r="D225" i="6"/>
  <c r="C225" i="6"/>
  <c r="B225" i="6"/>
  <c r="D205" i="6"/>
  <c r="B205" i="6"/>
  <c r="C205" i="6"/>
  <c r="C185" i="6"/>
  <c r="B185" i="6"/>
  <c r="D185" i="6"/>
  <c r="C175" i="6"/>
  <c r="B175" i="6"/>
  <c r="D175" i="6"/>
  <c r="C165" i="6"/>
  <c r="D165" i="6"/>
  <c r="B165" i="6"/>
  <c r="C125" i="6"/>
  <c r="B125" i="6"/>
  <c r="D125" i="6"/>
  <c r="C95" i="6"/>
  <c r="B95" i="6"/>
  <c r="D95" i="6"/>
  <c r="C75" i="6"/>
  <c r="B75" i="6"/>
  <c r="D75" i="6"/>
  <c r="C65" i="6"/>
  <c r="D65" i="6"/>
  <c r="B65" i="6"/>
  <c r="C45" i="6"/>
  <c r="B45" i="6"/>
  <c r="D45" i="6"/>
  <c r="C35" i="6"/>
  <c r="B35" i="6"/>
  <c r="D35" i="6"/>
  <c r="C25" i="6"/>
  <c r="B25" i="6"/>
  <c r="D25" i="6"/>
  <c r="M1089" i="6"/>
  <c r="M1079" i="6"/>
  <c r="M1069" i="6"/>
  <c r="M1059" i="6"/>
  <c r="M1049" i="6"/>
  <c r="M1039" i="6"/>
  <c r="M1029" i="6"/>
  <c r="M1019" i="6"/>
  <c r="M1009" i="6"/>
  <c r="M999" i="6"/>
  <c r="M989" i="6"/>
  <c r="M979" i="6"/>
  <c r="M969" i="6"/>
  <c r="M959" i="6"/>
  <c r="M949" i="6"/>
  <c r="M939" i="6"/>
  <c r="M929" i="6"/>
  <c r="M919" i="6"/>
  <c r="M909" i="6"/>
  <c r="M899" i="6"/>
  <c r="M889" i="6"/>
  <c r="M879" i="6"/>
  <c r="M869" i="6"/>
  <c r="M859" i="6"/>
  <c r="M849" i="6"/>
  <c r="M839" i="6"/>
  <c r="M829" i="6"/>
  <c r="M819" i="6"/>
  <c r="M809" i="6"/>
  <c r="M799" i="6"/>
  <c r="M789" i="6"/>
  <c r="M779" i="6"/>
  <c r="M769" i="6"/>
  <c r="M759" i="6"/>
  <c r="M749" i="6"/>
  <c r="M739" i="6"/>
  <c r="M729" i="6"/>
  <c r="M719" i="6"/>
  <c r="M709" i="6"/>
  <c r="M699" i="6"/>
  <c r="M689" i="6"/>
  <c r="M679" i="6"/>
  <c r="M669" i="6"/>
  <c r="M659" i="6"/>
  <c r="M649" i="6"/>
  <c r="M639" i="6"/>
  <c r="M629" i="6"/>
  <c r="M619" i="6"/>
  <c r="M609" i="6"/>
  <c r="M599" i="6"/>
  <c r="M589" i="6"/>
  <c r="M579" i="6"/>
  <c r="M569" i="6"/>
  <c r="M559" i="6"/>
  <c r="M549" i="6"/>
  <c r="M539" i="6"/>
  <c r="M529" i="6"/>
  <c r="M519" i="6"/>
  <c r="M509" i="6"/>
  <c r="M499" i="6"/>
  <c r="M489" i="6"/>
  <c r="M479" i="6"/>
  <c r="M469" i="6"/>
  <c r="I1092" i="6"/>
  <c r="I1082" i="6"/>
  <c r="I1072" i="6"/>
  <c r="I1062" i="6"/>
  <c r="I1052" i="6"/>
  <c r="I1042" i="6"/>
  <c r="I1032" i="6"/>
  <c r="I1022" i="6"/>
  <c r="I1012" i="6"/>
  <c r="I1002" i="6"/>
  <c r="I992" i="6"/>
  <c r="I982" i="6"/>
  <c r="I972" i="6"/>
  <c r="I962" i="6"/>
  <c r="I952" i="6"/>
  <c r="I942" i="6"/>
  <c r="I932" i="6"/>
  <c r="I922" i="6"/>
  <c r="I912" i="6"/>
  <c r="I902" i="6"/>
  <c r="I892" i="6"/>
  <c r="I882" i="6"/>
  <c r="I1020" i="6"/>
  <c r="I930" i="6"/>
  <c r="I910" i="6"/>
  <c r="I780" i="6"/>
  <c r="H1081" i="6"/>
  <c r="H991" i="6"/>
  <c r="H911" i="6"/>
  <c r="H831" i="6"/>
  <c r="H781" i="6"/>
  <c r="H721" i="6"/>
  <c r="H671" i="6"/>
  <c r="H631" i="6"/>
  <c r="H1091" i="6"/>
  <c r="H1031" i="6"/>
  <c r="H981" i="6"/>
  <c r="H931" i="6"/>
  <c r="H871" i="6"/>
  <c r="H821" i="6"/>
  <c r="H771" i="6"/>
  <c r="H731" i="6"/>
  <c r="H691" i="6"/>
  <c r="H661" i="6"/>
  <c r="H641" i="6"/>
  <c r="H611" i="6"/>
  <c r="H1041" i="6"/>
  <c r="H971" i="6"/>
  <c r="H921" i="6"/>
  <c r="H861" i="6"/>
  <c r="H801" i="6"/>
  <c r="I761" i="6"/>
  <c r="H711" i="6"/>
  <c r="H681" i="6"/>
  <c r="H651" i="6"/>
  <c r="I1087" i="6"/>
  <c r="I1077" i="6"/>
  <c r="I1067" i="6"/>
  <c r="I1057" i="6"/>
  <c r="I1047" i="6"/>
  <c r="I1037" i="6"/>
  <c r="I1027" i="6"/>
  <c r="I1017" i="6"/>
  <c r="I1007" i="6"/>
  <c r="I997" i="6"/>
  <c r="I987" i="6"/>
  <c r="I977" i="6"/>
  <c r="I967" i="6"/>
  <c r="I957" i="6"/>
  <c r="I947" i="6"/>
  <c r="I937" i="6"/>
  <c r="I927" i="6"/>
  <c r="I917" i="6"/>
  <c r="I907" i="6"/>
  <c r="I897" i="6"/>
  <c r="I887" i="6"/>
  <c r="I877" i="6"/>
  <c r="I867" i="6"/>
  <c r="I857" i="6"/>
  <c r="H1061" i="6"/>
  <c r="H1011" i="6"/>
  <c r="H951" i="6"/>
  <c r="H881" i="6"/>
  <c r="H811" i="6"/>
  <c r="H751" i="6"/>
  <c r="H1051" i="6"/>
  <c r="H1001" i="6"/>
  <c r="H941" i="6"/>
  <c r="H891" i="6"/>
  <c r="H841" i="6"/>
  <c r="H741" i="6"/>
  <c r="H1071" i="6"/>
  <c r="H1021" i="6"/>
  <c r="H961" i="6"/>
  <c r="H901" i="6"/>
  <c r="H851" i="6"/>
  <c r="H791" i="6"/>
  <c r="H701" i="6"/>
  <c r="H621" i="6"/>
  <c r="I847" i="6"/>
  <c r="I837" i="6"/>
  <c r="I827" i="6"/>
  <c r="I817" i="6"/>
  <c r="I807" i="6"/>
  <c r="I797" i="6"/>
  <c r="I787" i="6"/>
  <c r="I777" i="6"/>
  <c r="I767" i="6"/>
  <c r="I757" i="6"/>
  <c r="I747" i="6"/>
  <c r="I737" i="6"/>
  <c r="I727" i="6"/>
  <c r="I717" i="6"/>
  <c r="I707" i="6"/>
  <c r="I697" i="6"/>
  <c r="I687" i="6"/>
  <c r="I677" i="6"/>
  <c r="I667" i="6"/>
  <c r="I657" i="6"/>
  <c r="I647" i="6"/>
  <c r="I637" i="6"/>
  <c r="I627" i="6"/>
  <c r="I617" i="6"/>
  <c r="I607" i="6"/>
  <c r="I597" i="6"/>
  <c r="I587" i="6"/>
  <c r="I577" i="6"/>
  <c r="I567" i="6"/>
  <c r="I557" i="6"/>
  <c r="I547" i="6"/>
  <c r="I537" i="6"/>
  <c r="I527" i="6"/>
  <c r="I517" i="6"/>
  <c r="I507" i="6"/>
  <c r="I497" i="6"/>
  <c r="I487" i="6"/>
  <c r="I477" i="6"/>
  <c r="I467" i="6"/>
  <c r="I457" i="6"/>
  <c r="I447" i="6"/>
  <c r="I437" i="6"/>
  <c r="I427" i="6"/>
  <c r="I417" i="6"/>
  <c r="I407" i="6"/>
  <c r="I397" i="6"/>
  <c r="I387" i="6"/>
  <c r="I377" i="6"/>
  <c r="I367" i="6"/>
  <c r="I357" i="6"/>
  <c r="I347" i="6"/>
  <c r="I337" i="6"/>
  <c r="I327" i="6"/>
  <c r="I317" i="6"/>
  <c r="I307" i="6"/>
  <c r="I297" i="6"/>
  <c r="I287" i="6"/>
  <c r="I277" i="6"/>
  <c r="I267" i="6"/>
  <c r="I257" i="6"/>
  <c r="I247" i="6"/>
  <c r="I237" i="6"/>
  <c r="I227" i="6"/>
  <c r="I217" i="6"/>
  <c r="I207" i="6"/>
  <c r="I197" i="6"/>
  <c r="I187" i="6"/>
  <c r="I177" i="6"/>
  <c r="I167" i="6"/>
  <c r="I157" i="6"/>
  <c r="I147" i="6"/>
  <c r="I137" i="6"/>
  <c r="I127" i="6"/>
  <c r="I117" i="6"/>
  <c r="I107" i="6"/>
  <c r="I97" i="6"/>
  <c r="I87" i="6"/>
  <c r="I77" i="6"/>
  <c r="I67" i="6"/>
  <c r="I57" i="6"/>
  <c r="I47" i="6"/>
  <c r="I37" i="6"/>
  <c r="I27" i="6"/>
  <c r="I17" i="6"/>
  <c r="I7" i="6"/>
  <c r="I656" i="6"/>
  <c r="I66" i="6"/>
  <c r="I1028" i="6"/>
  <c r="H1028" i="6"/>
  <c r="I958" i="6"/>
  <c r="H958" i="6"/>
  <c r="I1043" i="6"/>
  <c r="H1043" i="6"/>
  <c r="I973" i="6"/>
  <c r="H973" i="6"/>
  <c r="I1083" i="6"/>
  <c r="H1083" i="6"/>
  <c r="H1018" i="6"/>
  <c r="I1018" i="6"/>
  <c r="I918" i="6"/>
  <c r="H918" i="6"/>
  <c r="I826" i="6"/>
  <c r="I1058" i="6"/>
  <c r="I948" i="6"/>
  <c r="K948" i="6" s="1"/>
  <c r="I898" i="6"/>
  <c r="I858" i="6"/>
  <c r="I483" i="6"/>
  <c r="H816" i="6"/>
  <c r="H806" i="6"/>
  <c r="H796" i="6"/>
  <c r="H786" i="6"/>
  <c r="H776" i="6"/>
  <c r="H766" i="6"/>
  <c r="I756" i="6"/>
  <c r="H746" i="6"/>
  <c r="H736" i="6"/>
  <c r="H726" i="6"/>
  <c r="I716" i="6"/>
  <c r="H706" i="6"/>
  <c r="H696" i="6"/>
  <c r="H686" i="6"/>
  <c r="H676" i="6"/>
  <c r="H666" i="6"/>
  <c r="H656" i="6"/>
  <c r="H646" i="6"/>
  <c r="H636" i="6"/>
  <c r="H626" i="6"/>
  <c r="H616" i="6"/>
  <c r="H606" i="6"/>
  <c r="H596" i="6"/>
  <c r="H586" i="6"/>
  <c r="H576" i="6"/>
  <c r="H566" i="6"/>
  <c r="H556" i="6"/>
  <c r="H546" i="6"/>
  <c r="H536" i="6"/>
  <c r="H526" i="6"/>
  <c r="H516" i="6"/>
  <c r="H506" i="6"/>
  <c r="H496" i="6"/>
  <c r="H486" i="6"/>
  <c r="H476" i="6"/>
  <c r="H466" i="6"/>
  <c r="H456" i="6"/>
  <c r="H446" i="6"/>
  <c r="H436" i="6"/>
  <c r="I426" i="6"/>
  <c r="H416" i="6"/>
  <c r="H406" i="6"/>
  <c r="H396" i="6"/>
  <c r="H386" i="6"/>
  <c r="H376" i="6"/>
  <c r="H366" i="6"/>
  <c r="H356" i="6"/>
  <c r="H346" i="6"/>
  <c r="H336" i="6"/>
  <c r="H326" i="6"/>
  <c r="H316" i="6"/>
  <c r="H306" i="6"/>
  <c r="H296" i="6"/>
  <c r="H286" i="6"/>
  <c r="H276" i="6"/>
  <c r="H266" i="6"/>
  <c r="H256" i="6"/>
  <c r="I246" i="6"/>
  <c r="H236" i="6"/>
  <c r="H226" i="6"/>
  <c r="H216" i="6"/>
  <c r="H206" i="6"/>
  <c r="H196" i="6"/>
  <c r="H186" i="6"/>
  <c r="H176" i="6"/>
  <c r="H166" i="6"/>
  <c r="H156" i="6"/>
  <c r="H146" i="6"/>
  <c r="H136" i="6"/>
  <c r="H126" i="6"/>
  <c r="H116" i="6"/>
  <c r="H106" i="6"/>
  <c r="H96" i="6"/>
  <c r="H86" i="6"/>
  <c r="H76" i="6"/>
  <c r="H66" i="6"/>
  <c r="H56" i="6"/>
  <c r="H46" i="6"/>
  <c r="H36" i="6"/>
  <c r="I26" i="6"/>
  <c r="H16" i="6"/>
  <c r="H6" i="6"/>
  <c r="I1093" i="6"/>
  <c r="I1073" i="6"/>
  <c r="I1023" i="6"/>
  <c r="I1003" i="6"/>
  <c r="I983" i="6"/>
  <c r="K983" i="6" s="1"/>
  <c r="I933" i="6"/>
  <c r="I853" i="6"/>
  <c r="I843" i="6"/>
  <c r="I763" i="6"/>
  <c r="L763" i="6" s="1"/>
  <c r="I743" i="6"/>
  <c r="I663" i="6"/>
  <c r="I643" i="6"/>
  <c r="I872" i="6"/>
  <c r="I862" i="6"/>
  <c r="I702" i="6"/>
  <c r="I623" i="6"/>
  <c r="H623" i="6"/>
  <c r="H523" i="6"/>
  <c r="I523" i="6"/>
  <c r="I473" i="6"/>
  <c r="H473" i="6"/>
  <c r="I393" i="6"/>
  <c r="H393" i="6"/>
  <c r="I373" i="6"/>
  <c r="H373" i="6"/>
  <c r="I283" i="6"/>
  <c r="H283" i="6"/>
  <c r="I233" i="6"/>
  <c r="H233" i="6"/>
  <c r="I223" i="6"/>
  <c r="H223" i="6"/>
  <c r="I143" i="6"/>
  <c r="H143" i="6"/>
  <c r="I123" i="6"/>
  <c r="H123" i="6"/>
  <c r="I33" i="6"/>
  <c r="H33" i="6"/>
  <c r="I793" i="6"/>
  <c r="H793" i="6"/>
  <c r="I733" i="6"/>
  <c r="H733" i="6"/>
  <c r="H583" i="6"/>
  <c r="I583" i="6"/>
  <c r="I533" i="6"/>
  <c r="H533" i="6"/>
  <c r="I443" i="6"/>
  <c r="H443" i="6"/>
  <c r="I1090" i="6"/>
  <c r="J1090" i="6" s="1"/>
  <c r="I1080" i="6"/>
  <c r="J1080" i="6" s="1"/>
  <c r="I1070" i="6"/>
  <c r="I1060" i="6"/>
  <c r="I1040" i="6"/>
  <c r="I1030" i="6"/>
  <c r="I1010" i="6"/>
  <c r="I990" i="6"/>
  <c r="I980" i="6"/>
  <c r="I970" i="6"/>
  <c r="I960" i="6"/>
  <c r="I940" i="6"/>
  <c r="K940" i="6" s="1"/>
  <c r="I920" i="6"/>
  <c r="K920" i="6" s="1"/>
  <c r="I890" i="6"/>
  <c r="I880" i="6"/>
  <c r="I870" i="6"/>
  <c r="I860" i="6"/>
  <c r="J860" i="6" s="1"/>
  <c r="I840" i="6"/>
  <c r="I830" i="6"/>
  <c r="I810" i="6"/>
  <c r="H800" i="6"/>
  <c r="I770" i="6"/>
  <c r="I760" i="6"/>
  <c r="H750" i="6"/>
  <c r="H740" i="6"/>
  <c r="I740" i="6"/>
  <c r="I730" i="6"/>
  <c r="K730" i="6" s="1"/>
  <c r="I720" i="6"/>
  <c r="L720" i="6" s="1"/>
  <c r="I710" i="6"/>
  <c r="H690" i="6"/>
  <c r="H680" i="6"/>
  <c r="I680" i="6"/>
  <c r="I670" i="6"/>
  <c r="I660" i="6"/>
  <c r="H650" i="6"/>
  <c r="I350" i="6"/>
  <c r="I340" i="6"/>
  <c r="I280" i="6"/>
  <c r="I250" i="6"/>
  <c r="I240" i="6"/>
  <c r="I230" i="6"/>
  <c r="I180" i="6"/>
  <c r="I160" i="6"/>
  <c r="I30" i="6"/>
  <c r="H193" i="6"/>
  <c r="I1089" i="6"/>
  <c r="I1079" i="6"/>
  <c r="I1069" i="6"/>
  <c r="I1059" i="6"/>
  <c r="I1049" i="6"/>
  <c r="I1039" i="6"/>
  <c r="I1029" i="6"/>
  <c r="I1019" i="6"/>
  <c r="I1009" i="6"/>
  <c r="I999" i="6"/>
  <c r="I989" i="6"/>
  <c r="I979" i="6"/>
  <c r="I969" i="6"/>
  <c r="I959" i="6"/>
  <c r="I949" i="6"/>
  <c r="I939" i="6"/>
  <c r="I929" i="6"/>
  <c r="I919" i="6"/>
  <c r="I909" i="6"/>
  <c r="I899" i="6"/>
  <c r="I889" i="6"/>
  <c r="I879" i="6"/>
  <c r="I869" i="6"/>
  <c r="I859" i="6"/>
  <c r="I849" i="6"/>
  <c r="I839" i="6"/>
  <c r="I829" i="6"/>
  <c r="I819" i="6"/>
  <c r="I809" i="6"/>
  <c r="I799" i="6"/>
  <c r="I789" i="6"/>
  <c r="I779" i="6"/>
  <c r="I769" i="6"/>
  <c r="I759" i="6"/>
  <c r="I749" i="6"/>
  <c r="I739" i="6"/>
  <c r="I729" i="6"/>
  <c r="I719" i="6"/>
  <c r="I709" i="6"/>
  <c r="I699" i="6"/>
  <c r="I389" i="6"/>
  <c r="J389" i="6" s="1"/>
  <c r="H873" i="6"/>
  <c r="I978" i="6"/>
  <c r="I968" i="6"/>
  <c r="I878" i="6"/>
  <c r="I1054" i="6"/>
  <c r="I1014" i="6"/>
  <c r="L1014" i="6" s="1"/>
  <c r="I1004" i="6"/>
  <c r="I924" i="6"/>
  <c r="I774" i="6"/>
  <c r="J774" i="6" s="1"/>
  <c r="I724" i="6"/>
  <c r="I704" i="6"/>
  <c r="J704" i="6" s="1"/>
  <c r="I684" i="6"/>
  <c r="I624" i="6"/>
  <c r="K624" i="6" s="1"/>
  <c r="I544" i="6"/>
  <c r="I524" i="6"/>
  <c r="I444" i="6"/>
  <c r="I424" i="6"/>
  <c r="I344" i="6"/>
  <c r="I24" i="6"/>
  <c r="I893" i="6"/>
  <c r="I823" i="6"/>
  <c r="K823" i="6" s="1"/>
  <c r="I803" i="6"/>
  <c r="I753" i="6"/>
  <c r="I703" i="6"/>
  <c r="I683" i="6"/>
  <c r="I653" i="6"/>
  <c r="I603" i="6"/>
  <c r="I563" i="6"/>
  <c r="I852" i="6"/>
  <c r="I842" i="6"/>
  <c r="I832" i="6"/>
  <c r="I822" i="6"/>
  <c r="I812" i="6"/>
  <c r="I802" i="6"/>
  <c r="I792" i="6"/>
  <c r="I782" i="6"/>
  <c r="I772" i="6"/>
  <c r="I762" i="6"/>
  <c r="I752" i="6"/>
  <c r="I742" i="6"/>
  <c r="I732" i="6"/>
  <c r="I722" i="6"/>
  <c r="I712" i="6"/>
  <c r="I692" i="6"/>
  <c r="I682" i="6"/>
  <c r="I672" i="6"/>
  <c r="I662" i="6"/>
  <c r="I652" i="6"/>
  <c r="I642" i="6"/>
  <c r="I632" i="6"/>
  <c r="I622" i="6"/>
  <c r="I612" i="6"/>
  <c r="I602" i="6"/>
  <c r="I791" i="6"/>
  <c r="I771" i="6"/>
  <c r="I711" i="6"/>
  <c r="I701" i="6"/>
  <c r="I691" i="6"/>
  <c r="I671" i="6"/>
  <c r="I661" i="6"/>
  <c r="I641" i="6"/>
  <c r="I621" i="6"/>
  <c r="I611" i="6"/>
  <c r="I630" i="6"/>
  <c r="I620" i="6"/>
  <c r="K620" i="6" s="1"/>
  <c r="I610" i="6"/>
  <c r="H600" i="6"/>
  <c r="H590" i="6"/>
  <c r="I580" i="6"/>
  <c r="I570" i="6"/>
  <c r="K570" i="6" s="1"/>
  <c r="I560" i="6"/>
  <c r="J560" i="6" s="1"/>
  <c r="H550" i="6"/>
  <c r="I530" i="6"/>
  <c r="I520" i="6"/>
  <c r="I510" i="6"/>
  <c r="H500" i="6"/>
  <c r="H490" i="6"/>
  <c r="I480" i="6"/>
  <c r="I470" i="6"/>
  <c r="I460" i="6"/>
  <c r="H440" i="6"/>
  <c r="I430" i="6"/>
  <c r="I420" i="6"/>
  <c r="H400" i="6"/>
  <c r="I380" i="6"/>
  <c r="I370" i="6"/>
  <c r="L370" i="6" s="1"/>
  <c r="I360" i="6"/>
  <c r="H350" i="6"/>
  <c r="H340" i="6"/>
  <c r="I330" i="6"/>
  <c r="I320" i="6"/>
  <c r="I310" i="6"/>
  <c r="H300" i="6"/>
  <c r="I300" i="6"/>
  <c r="I270" i="6"/>
  <c r="H260" i="6"/>
  <c r="H250" i="6"/>
  <c r="H240" i="6"/>
  <c r="I220" i="6"/>
  <c r="I210" i="6"/>
  <c r="H190" i="6"/>
  <c r="I190" i="6"/>
  <c r="H180" i="6"/>
  <c r="I170" i="6"/>
  <c r="H150" i="6"/>
  <c r="I130" i="6"/>
  <c r="I120" i="6"/>
  <c r="I110" i="6"/>
  <c r="H100" i="6"/>
  <c r="H90" i="6"/>
  <c r="I80" i="6"/>
  <c r="I70" i="6"/>
  <c r="I60" i="6"/>
  <c r="H50" i="6"/>
  <c r="H40" i="6"/>
  <c r="I20" i="6"/>
  <c r="I10" i="6"/>
  <c r="I150" i="6"/>
  <c r="K1090" i="6"/>
  <c r="I689" i="6"/>
  <c r="I679" i="6"/>
  <c r="I669" i="6"/>
  <c r="I659" i="6"/>
  <c r="I649" i="6"/>
  <c r="I639" i="6"/>
  <c r="I629" i="6"/>
  <c r="I619" i="6"/>
  <c r="I609" i="6"/>
  <c r="I599" i="6"/>
  <c r="I589" i="6"/>
  <c r="I579" i="6"/>
  <c r="I569" i="6"/>
  <c r="I559" i="6"/>
  <c r="H549" i="6"/>
  <c r="I539" i="6"/>
  <c r="I529" i="6"/>
  <c r="I519" i="6"/>
  <c r="I509" i="6"/>
  <c r="I499" i="6"/>
  <c r="I489" i="6"/>
  <c r="I479" i="6"/>
  <c r="I469" i="6"/>
  <c r="I459" i="6"/>
  <c r="I449" i="6"/>
  <c r="I439" i="6"/>
  <c r="I429" i="6"/>
  <c r="I419" i="6"/>
  <c r="I409" i="6"/>
  <c r="I399" i="6"/>
  <c r="I379" i="6"/>
  <c r="I369" i="6"/>
  <c r="I359" i="6"/>
  <c r="I349" i="6"/>
  <c r="I339" i="6"/>
  <c r="I329" i="6"/>
  <c r="I319" i="6"/>
  <c r="I309" i="6"/>
  <c r="I299" i="6"/>
  <c r="I289" i="6"/>
  <c r="I279" i="6"/>
  <c r="I269" i="6"/>
  <c r="I259" i="6"/>
  <c r="I249" i="6"/>
  <c r="I239" i="6"/>
  <c r="I229" i="6"/>
  <c r="I219" i="6"/>
  <c r="I209" i="6"/>
  <c r="I199" i="6"/>
  <c r="I189" i="6"/>
  <c r="I179" i="6"/>
  <c r="I169" i="6"/>
  <c r="I159" i="6"/>
  <c r="I149" i="6"/>
  <c r="I139" i="6"/>
  <c r="I129" i="6"/>
  <c r="I119" i="6"/>
  <c r="I109" i="6"/>
  <c r="I99" i="6"/>
  <c r="I89" i="6"/>
  <c r="I79" i="6"/>
  <c r="I69" i="6"/>
  <c r="I59" i="6"/>
  <c r="H49" i="6"/>
  <c r="I39" i="6"/>
  <c r="I29" i="6"/>
  <c r="I19" i="6"/>
  <c r="I9" i="6"/>
  <c r="K910" i="6"/>
  <c r="K890" i="6"/>
  <c r="K980" i="6"/>
  <c r="K880" i="6"/>
  <c r="I553" i="6"/>
  <c r="I503" i="6"/>
  <c r="I453" i="6"/>
  <c r="I403" i="6"/>
  <c r="I353" i="6"/>
  <c r="I303" i="6"/>
  <c r="L303" i="6" s="1"/>
  <c r="I253" i="6"/>
  <c r="I203" i="6"/>
  <c r="I153" i="6"/>
  <c r="J153" i="6" s="1"/>
  <c r="I103" i="6"/>
  <c r="I53" i="6"/>
  <c r="I3" i="6"/>
  <c r="K1030" i="6"/>
  <c r="K970" i="6"/>
  <c r="K860" i="6"/>
  <c r="I592" i="6"/>
  <c r="I582" i="6"/>
  <c r="I572" i="6"/>
  <c r="I562" i="6"/>
  <c r="I552" i="6"/>
  <c r="I542" i="6"/>
  <c r="I532" i="6"/>
  <c r="I522" i="6"/>
  <c r="I512" i="6"/>
  <c r="I502" i="6"/>
  <c r="I492" i="6"/>
  <c r="I482" i="6"/>
  <c r="I472" i="6"/>
  <c r="I462" i="6"/>
  <c r="I452" i="6"/>
  <c r="I442" i="6"/>
  <c r="I432" i="6"/>
  <c r="I422" i="6"/>
  <c r="I412" i="6"/>
  <c r="I402" i="6"/>
  <c r="I392" i="6"/>
  <c r="I382" i="6"/>
  <c r="I372" i="6"/>
  <c r="I362" i="6"/>
  <c r="I352" i="6"/>
  <c r="I342" i="6"/>
  <c r="I332" i="6"/>
  <c r="I322" i="6"/>
  <c r="I312" i="6"/>
  <c r="I302" i="6"/>
  <c r="I292" i="6"/>
  <c r="I282" i="6"/>
  <c r="I272" i="6"/>
  <c r="I262" i="6"/>
  <c r="I252" i="6"/>
  <c r="I242" i="6"/>
  <c r="I232" i="6"/>
  <c r="I222" i="6"/>
  <c r="I212" i="6"/>
  <c r="I202" i="6"/>
  <c r="I192" i="6"/>
  <c r="I182" i="6"/>
  <c r="I172" i="6"/>
  <c r="I162" i="6"/>
  <c r="I152" i="6"/>
  <c r="I142" i="6"/>
  <c r="I132" i="6"/>
  <c r="I122" i="6"/>
  <c r="I112" i="6"/>
  <c r="I102" i="6"/>
  <c r="I92" i="6"/>
  <c r="I82" i="6"/>
  <c r="I72" i="6"/>
  <c r="I62" i="6"/>
  <c r="I52" i="6"/>
  <c r="I42" i="6"/>
  <c r="I32" i="6"/>
  <c r="I22" i="6"/>
  <c r="I12" i="6"/>
  <c r="I601" i="6"/>
  <c r="I591" i="6"/>
  <c r="J591" i="6" s="1"/>
  <c r="I551" i="6"/>
  <c r="I541" i="6"/>
  <c r="I521" i="6"/>
  <c r="I511" i="6"/>
  <c r="L511" i="6" s="1"/>
  <c r="I461" i="6"/>
  <c r="I451" i="6"/>
  <c r="I441" i="6"/>
  <c r="I421" i="6"/>
  <c r="I411" i="6"/>
  <c r="I391" i="6"/>
  <c r="I371" i="6"/>
  <c r="I361" i="6"/>
  <c r="I351" i="6"/>
  <c r="L351" i="6" s="1"/>
  <c r="I341" i="6"/>
  <c r="L341" i="6" s="1"/>
  <c r="I301" i="6"/>
  <c r="I291" i="6"/>
  <c r="I261" i="6"/>
  <c r="K261" i="6" s="1"/>
  <c r="I191" i="6"/>
  <c r="I41" i="6"/>
  <c r="I11" i="6"/>
  <c r="K1070" i="6"/>
  <c r="K643" i="6"/>
  <c r="K660" i="6"/>
  <c r="K580" i="6"/>
  <c r="K703" i="6"/>
  <c r="K724" i="6"/>
  <c r="K563" i="6"/>
  <c r="K560" i="6"/>
  <c r="K554" i="6"/>
  <c r="K524" i="6"/>
  <c r="K534" i="6"/>
  <c r="J724" i="6"/>
  <c r="J720" i="6"/>
  <c r="J683" i="6"/>
  <c r="J684" i="6"/>
  <c r="J653" i="6"/>
  <c r="J664" i="6"/>
  <c r="J601" i="6"/>
  <c r="J553" i="6"/>
  <c r="J563" i="6"/>
  <c r="J573" i="6"/>
  <c r="J551" i="6"/>
  <c r="J575" i="6"/>
  <c r="J524" i="6"/>
  <c r="J544" i="6"/>
  <c r="J530" i="6"/>
  <c r="J531" i="6"/>
  <c r="G14" i="5"/>
  <c r="G28" i="5"/>
  <c r="G22" i="5"/>
  <c r="G4" i="5"/>
  <c r="G7" i="5"/>
  <c r="G3" i="5"/>
  <c r="G5" i="5"/>
  <c r="G11" i="5"/>
  <c r="G16" i="5"/>
  <c r="G25" i="5"/>
  <c r="G12" i="5"/>
  <c r="G21" i="5"/>
  <c r="G8" i="5"/>
  <c r="G13" i="5"/>
  <c r="G9" i="5"/>
  <c r="G18" i="5"/>
  <c r="G23" i="5"/>
  <c r="H1045" i="6"/>
  <c r="I1045" i="6"/>
  <c r="I914" i="6"/>
  <c r="I784" i="6"/>
  <c r="I744" i="6"/>
  <c r="I605" i="6"/>
  <c r="I171" i="6"/>
  <c r="I111" i="6"/>
  <c r="K830" i="6"/>
  <c r="K810" i="6"/>
  <c r="H1035" i="6"/>
  <c r="I1035" i="6"/>
  <c r="I955" i="6"/>
  <c r="H955" i="6"/>
  <c r="I845" i="6"/>
  <c r="H845" i="6"/>
  <c r="H355" i="6"/>
  <c r="I1085" i="6"/>
  <c r="K1085" i="6" s="1"/>
  <c r="I285" i="6"/>
  <c r="K1040" i="6"/>
  <c r="H995" i="6"/>
  <c r="H889" i="6"/>
  <c r="H855" i="6"/>
  <c r="H699" i="6"/>
  <c r="H589" i="6"/>
  <c r="H426" i="6"/>
  <c r="H384" i="6"/>
  <c r="H229" i="6"/>
  <c r="H141" i="6"/>
  <c r="I696" i="6"/>
  <c r="I646" i="6"/>
  <c r="I604" i="6"/>
  <c r="I506" i="6"/>
  <c r="I385" i="6"/>
  <c r="I49" i="6"/>
  <c r="I1005" i="6"/>
  <c r="H1005" i="6"/>
  <c r="I101" i="6"/>
  <c r="H101" i="6"/>
  <c r="I549" i="6"/>
  <c r="I226" i="6"/>
  <c r="I1095" i="6"/>
  <c r="H1095" i="6"/>
  <c r="I201" i="6"/>
  <c r="H201" i="6"/>
  <c r="H809" i="6"/>
  <c r="H509" i="6"/>
  <c r="H105" i="6"/>
  <c r="I1074" i="6"/>
  <c r="L1074" i="6" s="1"/>
  <c r="H919" i="6"/>
  <c r="H885" i="6"/>
  <c r="H655" i="6"/>
  <c r="H585" i="6"/>
  <c r="H545" i="6"/>
  <c r="H499" i="6"/>
  <c r="H339" i="6"/>
  <c r="I985" i="6"/>
  <c r="I905" i="6"/>
  <c r="K905" i="6" s="1"/>
  <c r="I815" i="6"/>
  <c r="K815" i="6" s="1"/>
  <c r="I735" i="6"/>
  <c r="I496" i="6"/>
  <c r="I326" i="6"/>
  <c r="I211" i="6"/>
  <c r="I45" i="6"/>
  <c r="H61" i="6"/>
  <c r="H1059" i="6"/>
  <c r="H909" i="6"/>
  <c r="H739" i="6"/>
  <c r="H609" i="6"/>
  <c r="H439" i="6"/>
  <c r="H209" i="6"/>
  <c r="H259" i="6"/>
  <c r="I805" i="6"/>
  <c r="I766" i="6"/>
  <c r="I726" i="6"/>
  <c r="I635" i="6"/>
  <c r="I266" i="6"/>
  <c r="I91" i="6"/>
  <c r="J91" i="6" s="1"/>
  <c r="H161" i="6"/>
  <c r="I161" i="6"/>
  <c r="H1055" i="6"/>
  <c r="H959" i="6"/>
  <c r="H849" i="6"/>
  <c r="H179" i="6"/>
  <c r="H139" i="6"/>
  <c r="H26" i="6"/>
  <c r="I645" i="6"/>
  <c r="I504" i="6"/>
  <c r="K504" i="6" s="1"/>
  <c r="I106" i="6"/>
  <c r="H1049" i="6"/>
  <c r="H1019" i="6"/>
  <c r="H969" i="6"/>
  <c r="H949" i="6"/>
  <c r="H929" i="6"/>
  <c r="H899" i="6"/>
  <c r="H869" i="6"/>
  <c r="H829" i="6"/>
  <c r="H799" i="6"/>
  <c r="H749" i="6"/>
  <c r="H719" i="6"/>
  <c r="H649" i="6"/>
  <c r="H619" i="6"/>
  <c r="H579" i="6"/>
  <c r="H539" i="6"/>
  <c r="H489" i="6"/>
  <c r="H449" i="6"/>
  <c r="H399" i="6"/>
  <c r="H359" i="6"/>
  <c r="H329" i="6"/>
  <c r="H309" i="6"/>
  <c r="H279" i="6"/>
  <c r="H189" i="6"/>
  <c r="H149" i="6"/>
  <c r="H109" i="6"/>
  <c r="H79" i="6"/>
  <c r="H29" i="6"/>
  <c r="H761" i="6"/>
  <c r="H535" i="6"/>
  <c r="H299" i="6"/>
  <c r="I746" i="6"/>
  <c r="I476" i="6"/>
  <c r="I356" i="6"/>
  <c r="I216" i="6"/>
  <c r="I176" i="6"/>
  <c r="I96" i="6"/>
  <c r="I76" i="6"/>
  <c r="I16" i="6"/>
  <c r="H1079" i="6"/>
  <c r="H1015" i="6"/>
  <c r="H839" i="6"/>
  <c r="H795" i="6"/>
  <c r="H455" i="6"/>
  <c r="H295" i="6"/>
  <c r="H249" i="6"/>
  <c r="H89" i="6"/>
  <c r="I895" i="6"/>
  <c r="K895" i="6" s="1"/>
  <c r="H989" i="6"/>
  <c r="I596" i="6"/>
  <c r="I446" i="6"/>
  <c r="I271" i="6"/>
  <c r="L271" i="6" s="1"/>
  <c r="I166" i="6"/>
  <c r="I46" i="6"/>
  <c r="H1089" i="6"/>
  <c r="H1039" i="6"/>
  <c r="H979" i="6"/>
  <c r="H939" i="6"/>
  <c r="H879" i="6"/>
  <c r="H859" i="6"/>
  <c r="H789" i="6"/>
  <c r="H769" i="6"/>
  <c r="H759" i="6"/>
  <c r="H729" i="6"/>
  <c r="H689" i="6"/>
  <c r="H659" i="6"/>
  <c r="H629" i="6"/>
  <c r="H599" i="6"/>
  <c r="H559" i="6"/>
  <c r="H529" i="6"/>
  <c r="H459" i="6"/>
  <c r="H379" i="6"/>
  <c r="H349" i="6"/>
  <c r="H289" i="6"/>
  <c r="H239" i="6"/>
  <c r="H199" i="6"/>
  <c r="H129" i="6"/>
  <c r="H99" i="6"/>
  <c r="H59" i="6"/>
  <c r="H39" i="6"/>
  <c r="I816" i="6"/>
  <c r="I576" i="6"/>
  <c r="I516" i="6"/>
  <c r="I416" i="6"/>
  <c r="I396" i="6"/>
  <c r="I316" i="6"/>
  <c r="I256" i="6"/>
  <c r="I196" i="6"/>
  <c r="I156" i="6"/>
  <c r="I56" i="6"/>
  <c r="H409" i="6"/>
  <c r="H335" i="6"/>
  <c r="I485" i="6"/>
  <c r="I365" i="6"/>
  <c r="I205" i="6"/>
  <c r="H945" i="6"/>
  <c r="H756" i="6"/>
  <c r="H9" i="6"/>
  <c r="I801" i="6"/>
  <c r="I676" i="6"/>
  <c r="I305" i="6"/>
  <c r="I146" i="6"/>
  <c r="H865" i="6"/>
  <c r="I865" i="6"/>
  <c r="I1094" i="6"/>
  <c r="I1084" i="6"/>
  <c r="L1084" i="6" s="1"/>
  <c r="I1064" i="6"/>
  <c r="J1064" i="6" s="1"/>
  <c r="I1044" i="6"/>
  <c r="I1034" i="6"/>
  <c r="I1024" i="6"/>
  <c r="J1024" i="6" s="1"/>
  <c r="I994" i="6"/>
  <c r="I984" i="6"/>
  <c r="K984" i="6" s="1"/>
  <c r="I974" i="6"/>
  <c r="I964" i="6"/>
  <c r="L964" i="6" s="1"/>
  <c r="I954" i="6"/>
  <c r="I944" i="6"/>
  <c r="J944" i="6" s="1"/>
  <c r="I934" i="6"/>
  <c r="I904" i="6"/>
  <c r="K904" i="6" s="1"/>
  <c r="I894" i="6"/>
  <c r="I884" i="6"/>
  <c r="J884" i="6" s="1"/>
  <c r="I874" i="6"/>
  <c r="I864" i="6"/>
  <c r="I854" i="6"/>
  <c r="I844" i="6"/>
  <c r="I834" i="6"/>
  <c r="I824" i="6"/>
  <c r="I814" i="6"/>
  <c r="J814" i="6" s="1"/>
  <c r="I804" i="6"/>
  <c r="J804" i="6" s="1"/>
  <c r="I794" i="6"/>
  <c r="I764" i="6"/>
  <c r="J764" i="6" s="1"/>
  <c r="I754" i="6"/>
  <c r="L754" i="6" s="1"/>
  <c r="I734" i="6"/>
  <c r="I714" i="6"/>
  <c r="I694" i="6"/>
  <c r="I674" i="6"/>
  <c r="I664" i="6"/>
  <c r="K664" i="6" s="1"/>
  <c r="I654" i="6"/>
  <c r="J654" i="6" s="1"/>
  <c r="I644" i="6"/>
  <c r="J644" i="6" s="1"/>
  <c r="I634" i="6"/>
  <c r="K634" i="6" s="1"/>
  <c r="I614" i="6"/>
  <c r="K614" i="6" s="1"/>
  <c r="I594" i="6"/>
  <c r="J594" i="6" s="1"/>
  <c r="I584" i="6"/>
  <c r="I574" i="6"/>
  <c r="I564" i="6"/>
  <c r="I554" i="6"/>
  <c r="I534" i="6"/>
  <c r="L534" i="6" s="1"/>
  <c r="I514" i="6"/>
  <c r="J514" i="6" s="1"/>
  <c r="I494" i="6"/>
  <c r="J494" i="6" s="1"/>
  <c r="I484" i="6"/>
  <c r="J484" i="6" s="1"/>
  <c r="I474" i="6"/>
  <c r="K474" i="6" s="1"/>
  <c r="I464" i="6"/>
  <c r="I454" i="6"/>
  <c r="J454" i="6" s="1"/>
  <c r="I434" i="6"/>
  <c r="I414" i="6"/>
  <c r="I404" i="6"/>
  <c r="I394" i="6"/>
  <c r="I374" i="6"/>
  <c r="J374" i="6" s="1"/>
  <c r="I364" i="6"/>
  <c r="I354" i="6"/>
  <c r="J354" i="6" s="1"/>
  <c r="I334" i="6"/>
  <c r="L334" i="6" s="1"/>
  <c r="I324" i="6"/>
  <c r="I314" i="6"/>
  <c r="I304" i="6"/>
  <c r="I294" i="6"/>
  <c r="I284" i="6"/>
  <c r="I274" i="6"/>
  <c r="I264" i="6"/>
  <c r="J264" i="6" s="1"/>
  <c r="I254" i="6"/>
  <c r="I244" i="6"/>
  <c r="J244" i="6" s="1"/>
  <c r="I234" i="6"/>
  <c r="L234" i="6" s="1"/>
  <c r="I224" i="6"/>
  <c r="J224" i="6" s="1"/>
  <c r="I214" i="6"/>
  <c r="I204" i="6"/>
  <c r="I194" i="6"/>
  <c r="I184" i="6"/>
  <c r="I174" i="6"/>
  <c r="J174" i="6" s="1"/>
  <c r="I164" i="6"/>
  <c r="J164" i="6" s="1"/>
  <c r="I154" i="6"/>
  <c r="I144" i="6"/>
  <c r="J144" i="6" s="1"/>
  <c r="I134" i="6"/>
  <c r="K134" i="6" s="1"/>
  <c r="I124" i="6"/>
  <c r="J124" i="6" s="1"/>
  <c r="I114" i="6"/>
  <c r="I104" i="6"/>
  <c r="I94" i="6"/>
  <c r="I84" i="6"/>
  <c r="I74" i="6"/>
  <c r="J74" i="6" s="1"/>
  <c r="I64" i="6"/>
  <c r="J64" i="6" s="1"/>
  <c r="I54" i="6"/>
  <c r="I44" i="6"/>
  <c r="K44" i="6" s="1"/>
  <c r="I34" i="6"/>
  <c r="J34" i="6" s="1"/>
  <c r="I14" i="6"/>
  <c r="J14" i="6" s="1"/>
  <c r="I4" i="6"/>
  <c r="H1009" i="6"/>
  <c r="H716" i="6"/>
  <c r="H679" i="6"/>
  <c r="H639" i="6"/>
  <c r="H445" i="6"/>
  <c r="H246" i="6"/>
  <c r="H159" i="6"/>
  <c r="H121" i="6"/>
  <c r="H85" i="6"/>
  <c r="I666" i="6"/>
  <c r="I935" i="6"/>
  <c r="H935" i="6"/>
  <c r="I765" i="6"/>
  <c r="H765" i="6"/>
  <c r="H715" i="6"/>
  <c r="I715" i="6"/>
  <c r="I695" i="6"/>
  <c r="H695" i="6"/>
  <c r="H615" i="6"/>
  <c r="I615" i="6"/>
  <c r="H555" i="6"/>
  <c r="I555" i="6"/>
  <c r="I515" i="6"/>
  <c r="H515" i="6"/>
  <c r="I495" i="6"/>
  <c r="H495" i="6"/>
  <c r="H395" i="6"/>
  <c r="I395" i="6"/>
  <c r="H315" i="6"/>
  <c r="I315" i="6"/>
  <c r="I265" i="6"/>
  <c r="H265" i="6"/>
  <c r="H235" i="6"/>
  <c r="I235" i="6"/>
  <c r="H215" i="6"/>
  <c r="I215" i="6"/>
  <c r="I155" i="6"/>
  <c r="H155" i="6"/>
  <c r="H145" i="6"/>
  <c r="I145" i="6"/>
  <c r="I135" i="6"/>
  <c r="H135" i="6"/>
  <c r="H115" i="6"/>
  <c r="I115" i="6"/>
  <c r="I55" i="6"/>
  <c r="H55" i="6"/>
  <c r="H15" i="6"/>
  <c r="I15" i="6"/>
  <c r="I5" i="6"/>
  <c r="H5" i="6"/>
  <c r="H1069" i="6"/>
  <c r="I705" i="6"/>
  <c r="J705" i="6" s="1"/>
  <c r="I566" i="6"/>
  <c r="I466" i="6"/>
  <c r="I406" i="6"/>
  <c r="I346" i="6"/>
  <c r="I245" i="6"/>
  <c r="K245" i="6" s="1"/>
  <c r="H1065" i="6"/>
  <c r="H745" i="6"/>
  <c r="H709" i="6"/>
  <c r="H669" i="6"/>
  <c r="H479" i="6"/>
  <c r="H195" i="6"/>
  <c r="I965" i="6"/>
  <c r="K965" i="6" s="1"/>
  <c r="I915" i="6"/>
  <c r="K915" i="6" s="1"/>
  <c r="I835" i="6"/>
  <c r="I785" i="6"/>
  <c r="K785" i="6" s="1"/>
  <c r="I606" i="6"/>
  <c r="I565" i="6"/>
  <c r="L565" i="6" s="1"/>
  <c r="I465" i="6"/>
  <c r="K465" i="6" s="1"/>
  <c r="I405" i="6"/>
  <c r="H1013" i="6"/>
  <c r="I1013" i="6"/>
  <c r="H913" i="6"/>
  <c r="I913" i="6"/>
  <c r="H863" i="6"/>
  <c r="I863" i="6"/>
  <c r="H713" i="6"/>
  <c r="I713" i="6"/>
  <c r="H213" i="6"/>
  <c r="I213" i="6"/>
  <c r="I1091" i="6"/>
  <c r="I1081" i="6"/>
  <c r="I1061" i="6"/>
  <c r="I1051" i="6"/>
  <c r="I1041" i="6"/>
  <c r="I1031" i="6"/>
  <c r="I1021" i="6"/>
  <c r="I1011" i="6"/>
  <c r="I1001" i="6"/>
  <c r="I991" i="6"/>
  <c r="I981" i="6"/>
  <c r="I971" i="6"/>
  <c r="I961" i="6"/>
  <c r="I951" i="6"/>
  <c r="I941" i="6"/>
  <c r="I931" i="6"/>
  <c r="I921" i="6"/>
  <c r="I911" i="6"/>
  <c r="I901" i="6"/>
  <c r="I881" i="6"/>
  <c r="I871" i="6"/>
  <c r="I861" i="6"/>
  <c r="I851" i="6"/>
  <c r="I841" i="6"/>
  <c r="I831" i="6"/>
  <c r="I821" i="6"/>
  <c r="I811" i="6"/>
  <c r="I781" i="6"/>
  <c r="I751" i="6"/>
  <c r="I741" i="6"/>
  <c r="I731" i="6"/>
  <c r="I721" i="6"/>
  <c r="I681" i="6"/>
  <c r="I651" i="6"/>
  <c r="I631" i="6"/>
  <c r="I581" i="6"/>
  <c r="J581" i="6" s="1"/>
  <c r="I571" i="6"/>
  <c r="I561" i="6"/>
  <c r="I531" i="6"/>
  <c r="I501" i="6"/>
  <c r="I491" i="6"/>
  <c r="K491" i="6" s="1"/>
  <c r="I481" i="6"/>
  <c r="K481" i="6" s="1"/>
  <c r="I471" i="6"/>
  <c r="J471" i="6" s="1"/>
  <c r="I431" i="6"/>
  <c r="K431" i="6" s="1"/>
  <c r="I401" i="6"/>
  <c r="J401" i="6" s="1"/>
  <c r="I381" i="6"/>
  <c r="I331" i="6"/>
  <c r="L331" i="6" s="1"/>
  <c r="I321" i="6"/>
  <c r="K321" i="6" s="1"/>
  <c r="I311" i="6"/>
  <c r="I281" i="6"/>
  <c r="I251" i="6"/>
  <c r="K251" i="6" s="1"/>
  <c r="I241" i="6"/>
  <c r="L241" i="6" s="1"/>
  <c r="I231" i="6"/>
  <c r="I221" i="6"/>
  <c r="K221" i="6" s="1"/>
  <c r="I181" i="6"/>
  <c r="I151" i="6"/>
  <c r="I131" i="6"/>
  <c r="K131" i="6" s="1"/>
  <c r="I81" i="6"/>
  <c r="I71" i="6"/>
  <c r="I51" i="6"/>
  <c r="I31" i="6"/>
  <c r="I21" i="6"/>
  <c r="L21" i="6" s="1"/>
  <c r="H1068" i="6"/>
  <c r="H998" i="6"/>
  <c r="H943" i="6"/>
  <c r="H423" i="6"/>
  <c r="H173" i="6"/>
  <c r="I1053" i="6"/>
  <c r="L1053" i="6" s="1"/>
  <c r="I928" i="6"/>
  <c r="I383" i="6"/>
  <c r="I363" i="6"/>
  <c r="J363" i="6" s="1"/>
  <c r="I343" i="6"/>
  <c r="K343" i="6" s="1"/>
  <c r="I323" i="6"/>
  <c r="K323" i="6" s="1"/>
  <c r="I263" i="6"/>
  <c r="L263" i="6" s="1"/>
  <c r="I163" i="6"/>
  <c r="K163" i="6" s="1"/>
  <c r="I63" i="6"/>
  <c r="H1063" i="6"/>
  <c r="I1063" i="6"/>
  <c r="H963" i="6"/>
  <c r="I963" i="6"/>
  <c r="H463" i="6"/>
  <c r="I463" i="6"/>
  <c r="I1071" i="6"/>
  <c r="I891" i="6"/>
  <c r="H1092" i="6"/>
  <c r="H1082" i="6"/>
  <c r="H1072" i="6"/>
  <c r="H1062" i="6"/>
  <c r="H1052" i="6"/>
  <c r="H1042" i="6"/>
  <c r="H1032" i="6"/>
  <c r="H1022" i="6"/>
  <c r="H1012" i="6"/>
  <c r="H1002" i="6"/>
  <c r="H992" i="6"/>
  <c r="H982" i="6"/>
  <c r="H972" i="6"/>
  <c r="H962" i="6"/>
  <c r="H952" i="6"/>
  <c r="H942" i="6"/>
  <c r="H932" i="6"/>
  <c r="H922" i="6"/>
  <c r="H912" i="6"/>
  <c r="H902" i="6"/>
  <c r="H892" i="6"/>
  <c r="H882" i="6"/>
  <c r="H872" i="6"/>
  <c r="H862" i="6"/>
  <c r="H852" i="6"/>
  <c r="H842" i="6"/>
  <c r="H832" i="6"/>
  <c r="H822" i="6"/>
  <c r="H812" i="6"/>
  <c r="H802" i="6"/>
  <c r="H792" i="6"/>
  <c r="H782" i="6"/>
  <c r="H772" i="6"/>
  <c r="H762" i="6"/>
  <c r="H752" i="6"/>
  <c r="H742" i="6"/>
  <c r="H732" i="6"/>
  <c r="H722" i="6"/>
  <c r="H712" i="6"/>
  <c r="H702" i="6"/>
  <c r="H692" i="6"/>
  <c r="H682" i="6"/>
  <c r="H672" i="6"/>
  <c r="H662" i="6"/>
  <c r="H652" i="6"/>
  <c r="H642" i="6"/>
  <c r="H632" i="6"/>
  <c r="H622" i="6"/>
  <c r="H612" i="6"/>
  <c r="H602" i="6"/>
  <c r="H592" i="6"/>
  <c r="H582" i="6"/>
  <c r="H572" i="6"/>
  <c r="H562" i="6"/>
  <c r="H552" i="6"/>
  <c r="H542" i="6"/>
  <c r="H532" i="6"/>
  <c r="H522" i="6"/>
  <c r="H512" i="6"/>
  <c r="H502" i="6"/>
  <c r="H492" i="6"/>
  <c r="H482" i="6"/>
  <c r="H472" i="6"/>
  <c r="H462" i="6"/>
  <c r="H452" i="6"/>
  <c r="H442" i="6"/>
  <c r="H432" i="6"/>
  <c r="H422" i="6"/>
  <c r="H412" i="6"/>
  <c r="H402" i="6"/>
  <c r="H392" i="6"/>
  <c r="H382" i="6"/>
  <c r="H372" i="6"/>
  <c r="H362" i="6"/>
  <c r="H352" i="6"/>
  <c r="H342" i="6"/>
  <c r="H332" i="6"/>
  <c r="H322" i="6"/>
  <c r="H312" i="6"/>
  <c r="H302" i="6"/>
  <c r="H292" i="6"/>
  <c r="H282" i="6"/>
  <c r="H272" i="6"/>
  <c r="H262" i="6"/>
  <c r="H252" i="6"/>
  <c r="H242" i="6"/>
  <c r="H232" i="6"/>
  <c r="H222" i="6"/>
  <c r="H212" i="6"/>
  <c r="H202" i="6"/>
  <c r="H192" i="6"/>
  <c r="H182" i="6"/>
  <c r="H172" i="6"/>
  <c r="H162" i="6"/>
  <c r="H152" i="6"/>
  <c r="H142" i="6"/>
  <c r="H132" i="6"/>
  <c r="H122" i="6"/>
  <c r="H112" i="6"/>
  <c r="H102" i="6"/>
  <c r="H92" i="6"/>
  <c r="H82" i="6"/>
  <c r="H72" i="6"/>
  <c r="H62" i="6"/>
  <c r="H52" i="6"/>
  <c r="H42" i="6"/>
  <c r="H32" i="6"/>
  <c r="H22" i="6"/>
  <c r="H12" i="6"/>
  <c r="I1050" i="6"/>
  <c r="K1050" i="6" s="1"/>
  <c r="I1000" i="6"/>
  <c r="K1000" i="6" s="1"/>
  <c r="I950" i="6"/>
  <c r="K950" i="6" s="1"/>
  <c r="I900" i="6"/>
  <c r="I850" i="6"/>
  <c r="K850" i="6" s="1"/>
  <c r="I820" i="6"/>
  <c r="K820" i="6" s="1"/>
  <c r="I790" i="6"/>
  <c r="H790" i="6"/>
  <c r="H700" i="6"/>
  <c r="I700" i="6"/>
  <c r="I640" i="6"/>
  <c r="H640" i="6"/>
  <c r="I540" i="6"/>
  <c r="H540" i="6"/>
  <c r="H450" i="6"/>
  <c r="I450" i="6"/>
  <c r="I390" i="6"/>
  <c r="H390" i="6"/>
  <c r="I290" i="6"/>
  <c r="H290" i="6"/>
  <c r="H200" i="6"/>
  <c r="I200" i="6"/>
  <c r="I140" i="6"/>
  <c r="H140" i="6"/>
  <c r="H883" i="6"/>
  <c r="H868" i="6"/>
  <c r="H773" i="6"/>
  <c r="H710" i="6"/>
  <c r="H633" i="6"/>
  <c r="H510" i="6"/>
  <c r="H493" i="6"/>
  <c r="H333" i="6"/>
  <c r="H243" i="6"/>
  <c r="H83" i="6"/>
  <c r="H10" i="6"/>
  <c r="I1033" i="6"/>
  <c r="K1033" i="6" s="1"/>
  <c r="I908" i="6"/>
  <c r="I600" i="6"/>
  <c r="I500" i="6"/>
  <c r="I440" i="6"/>
  <c r="I400" i="6"/>
  <c r="I183" i="6"/>
  <c r="J183" i="6" s="1"/>
  <c r="I40" i="6"/>
  <c r="J714" i="6"/>
  <c r="J864" i="6"/>
  <c r="J854" i="6"/>
  <c r="J844" i="6"/>
  <c r="J834" i="6"/>
  <c r="J754" i="6"/>
  <c r="J744" i="6"/>
  <c r="J734" i="6"/>
  <c r="J674" i="6"/>
  <c r="H1078" i="6"/>
  <c r="H1008" i="6"/>
  <c r="H953" i="6"/>
  <c r="H848" i="6"/>
  <c r="H833" i="6"/>
  <c r="H770" i="6"/>
  <c r="H723" i="6"/>
  <c r="H693" i="6"/>
  <c r="H543" i="6"/>
  <c r="H293" i="6"/>
  <c r="H133" i="6"/>
  <c r="H43" i="6"/>
  <c r="I1048" i="6"/>
  <c r="K1048" i="6" s="1"/>
  <c r="I993" i="6"/>
  <c r="K993" i="6" s="1"/>
  <c r="I923" i="6"/>
  <c r="I813" i="6"/>
  <c r="J813" i="6" s="1"/>
  <c r="I13" i="6"/>
  <c r="J1094" i="6"/>
  <c r="J954" i="6"/>
  <c r="H419" i="6"/>
  <c r="H273" i="6"/>
  <c r="H23" i="6"/>
  <c r="I903" i="6"/>
  <c r="I673" i="6"/>
  <c r="I613" i="6"/>
  <c r="J613" i="6" s="1"/>
  <c r="I593" i="6"/>
  <c r="I573" i="6"/>
  <c r="K573" i="6" s="1"/>
  <c r="I513" i="6"/>
  <c r="K513" i="6" s="1"/>
  <c r="I413" i="6"/>
  <c r="K413" i="6" s="1"/>
  <c r="J1054" i="6"/>
  <c r="J1014" i="6"/>
  <c r="J1004" i="6"/>
  <c r="J994" i="6"/>
  <c r="J984" i="6"/>
  <c r="H519" i="6"/>
  <c r="H469" i="6"/>
  <c r="H119" i="6"/>
  <c r="H69" i="6"/>
  <c r="H19" i="6"/>
  <c r="H1088" i="6"/>
  <c r="I1088" i="6"/>
  <c r="H938" i="6"/>
  <c r="I938" i="6"/>
  <c r="H888" i="6"/>
  <c r="I888" i="6"/>
  <c r="I1096" i="6"/>
  <c r="J1096" i="6" s="1"/>
  <c r="I1086" i="6"/>
  <c r="I1076" i="6"/>
  <c r="L1076" i="6" s="1"/>
  <c r="I1066" i="6"/>
  <c r="L1066" i="6" s="1"/>
  <c r="I1056" i="6"/>
  <c r="I1046" i="6"/>
  <c r="L1046" i="6" s="1"/>
  <c r="I1036" i="6"/>
  <c r="L1036" i="6" s="1"/>
  <c r="I1026" i="6"/>
  <c r="I1016" i="6"/>
  <c r="L1016" i="6" s="1"/>
  <c r="I1006" i="6"/>
  <c r="I996" i="6"/>
  <c r="I986" i="6"/>
  <c r="L986" i="6" s="1"/>
  <c r="I976" i="6"/>
  <c r="K976" i="6" s="1"/>
  <c r="I966" i="6"/>
  <c r="I956" i="6"/>
  <c r="I946" i="6"/>
  <c r="L946" i="6" s="1"/>
  <c r="I936" i="6"/>
  <c r="L936" i="6" s="1"/>
  <c r="I926" i="6"/>
  <c r="K926" i="6" s="1"/>
  <c r="I916" i="6"/>
  <c r="L916" i="6" s="1"/>
  <c r="I906" i="6"/>
  <c r="I896" i="6"/>
  <c r="L896" i="6" s="1"/>
  <c r="I886" i="6"/>
  <c r="L886" i="6" s="1"/>
  <c r="I876" i="6"/>
  <c r="L876" i="6" s="1"/>
  <c r="I866" i="6"/>
  <c r="I856" i="6"/>
  <c r="L856" i="6" s="1"/>
  <c r="I846" i="6"/>
  <c r="L846" i="6" s="1"/>
  <c r="I836" i="6"/>
  <c r="L836" i="6" s="1"/>
  <c r="I806" i="6"/>
  <c r="I796" i="6"/>
  <c r="I786" i="6"/>
  <c r="I776" i="6"/>
  <c r="I736" i="6"/>
  <c r="I706" i="6"/>
  <c r="I686" i="6"/>
  <c r="I636" i="6"/>
  <c r="I626" i="6"/>
  <c r="I616" i="6"/>
  <c r="I586" i="6"/>
  <c r="I556" i="6"/>
  <c r="I546" i="6"/>
  <c r="I536" i="6"/>
  <c r="I526" i="6"/>
  <c r="I486" i="6"/>
  <c r="I456" i="6"/>
  <c r="I436" i="6"/>
  <c r="I386" i="6"/>
  <c r="I376" i="6"/>
  <c r="I366" i="6"/>
  <c r="I336" i="6"/>
  <c r="I306" i="6"/>
  <c r="I296" i="6"/>
  <c r="I286" i="6"/>
  <c r="I276" i="6"/>
  <c r="I236" i="6"/>
  <c r="I206" i="6"/>
  <c r="I186" i="6"/>
  <c r="I136" i="6"/>
  <c r="I126" i="6"/>
  <c r="I116" i="6"/>
  <c r="I86" i="6"/>
  <c r="I36" i="6"/>
  <c r="I6" i="6"/>
  <c r="H783" i="6"/>
  <c r="H433" i="6"/>
  <c r="H93" i="6"/>
  <c r="I750" i="6"/>
  <c r="I690" i="6"/>
  <c r="I650" i="6"/>
  <c r="I313" i="6"/>
  <c r="K1093" i="6"/>
  <c r="K1073" i="6"/>
  <c r="K1058" i="6"/>
  <c r="K1053" i="6"/>
  <c r="K1023" i="6"/>
  <c r="J974" i="6"/>
  <c r="J964" i="6"/>
  <c r="H569" i="6"/>
  <c r="H369" i="6"/>
  <c r="H319" i="6"/>
  <c r="H269" i="6"/>
  <c r="H219" i="6"/>
  <c r="H169" i="6"/>
  <c r="H1038" i="6"/>
  <c r="I1038" i="6"/>
  <c r="H988" i="6"/>
  <c r="I988" i="6"/>
  <c r="H838" i="6"/>
  <c r="I838" i="6"/>
  <c r="I2" i="6"/>
  <c r="L2" i="6" s="1"/>
  <c r="H1087" i="6"/>
  <c r="H1077" i="6"/>
  <c r="H1067" i="6"/>
  <c r="H1057" i="6"/>
  <c r="H1047" i="6"/>
  <c r="H1037" i="6"/>
  <c r="H1027" i="6"/>
  <c r="H1017" i="6"/>
  <c r="H1007" i="6"/>
  <c r="H997" i="6"/>
  <c r="H987" i="6"/>
  <c r="H977" i="6"/>
  <c r="H967" i="6"/>
  <c r="H957" i="6"/>
  <c r="H947" i="6"/>
  <c r="H937" i="6"/>
  <c r="H927" i="6"/>
  <c r="H917" i="6"/>
  <c r="H907" i="6"/>
  <c r="H897" i="6"/>
  <c r="H887" i="6"/>
  <c r="H877" i="6"/>
  <c r="H867" i="6"/>
  <c r="H857" i="6"/>
  <c r="H847" i="6"/>
  <c r="H837" i="6"/>
  <c r="H827" i="6"/>
  <c r="H817" i="6"/>
  <c r="H807" i="6"/>
  <c r="H797" i="6"/>
  <c r="H787" i="6"/>
  <c r="H777" i="6"/>
  <c r="H767" i="6"/>
  <c r="H757" i="6"/>
  <c r="H747" i="6"/>
  <c r="H737" i="6"/>
  <c r="H727" i="6"/>
  <c r="H717" i="6"/>
  <c r="H707" i="6"/>
  <c r="H697" i="6"/>
  <c r="H687" i="6"/>
  <c r="H677" i="6"/>
  <c r="H667" i="6"/>
  <c r="H657" i="6"/>
  <c r="H647" i="6"/>
  <c r="H637" i="6"/>
  <c r="H627" i="6"/>
  <c r="H617" i="6"/>
  <c r="H607" i="6"/>
  <c r="H597" i="6"/>
  <c r="H587" i="6"/>
  <c r="H577" i="6"/>
  <c r="H567" i="6"/>
  <c r="H557" i="6"/>
  <c r="H547" i="6"/>
  <c r="H537" i="6"/>
  <c r="H527" i="6"/>
  <c r="H517" i="6"/>
  <c r="H507" i="6"/>
  <c r="H497" i="6"/>
  <c r="H487" i="6"/>
  <c r="H477" i="6"/>
  <c r="H467" i="6"/>
  <c r="H457" i="6"/>
  <c r="H447" i="6"/>
  <c r="H437" i="6"/>
  <c r="H427" i="6"/>
  <c r="H417" i="6"/>
  <c r="H407" i="6"/>
  <c r="H397" i="6"/>
  <c r="H387" i="6"/>
  <c r="H377" i="6"/>
  <c r="H367" i="6"/>
  <c r="H357" i="6"/>
  <c r="H347" i="6"/>
  <c r="H337" i="6"/>
  <c r="H327" i="6"/>
  <c r="H317" i="6"/>
  <c r="H307" i="6"/>
  <c r="H297" i="6"/>
  <c r="H287" i="6"/>
  <c r="H277" i="6"/>
  <c r="H267" i="6"/>
  <c r="H257" i="6"/>
  <c r="H247" i="6"/>
  <c r="H237" i="6"/>
  <c r="H227" i="6"/>
  <c r="H217" i="6"/>
  <c r="H207" i="6"/>
  <c r="H197" i="6"/>
  <c r="H187" i="6"/>
  <c r="H177" i="6"/>
  <c r="H167" i="6"/>
  <c r="H157" i="6"/>
  <c r="H147" i="6"/>
  <c r="H137" i="6"/>
  <c r="H127" i="6"/>
  <c r="H117" i="6"/>
  <c r="H107" i="6"/>
  <c r="H97" i="6"/>
  <c r="H87" i="6"/>
  <c r="H77" i="6"/>
  <c r="H67" i="6"/>
  <c r="H57" i="6"/>
  <c r="H47" i="6"/>
  <c r="H37" i="6"/>
  <c r="H27" i="6"/>
  <c r="H17" i="6"/>
  <c r="H7" i="6"/>
  <c r="I1075" i="6"/>
  <c r="J1075" i="6" s="1"/>
  <c r="I1025" i="6"/>
  <c r="K1025" i="6" s="1"/>
  <c r="I975" i="6"/>
  <c r="I925" i="6"/>
  <c r="K925" i="6" s="1"/>
  <c r="I875" i="6"/>
  <c r="I755" i="6"/>
  <c r="I685" i="6"/>
  <c r="I665" i="6"/>
  <c r="I595" i="6"/>
  <c r="I505" i="6"/>
  <c r="K505" i="6" s="1"/>
  <c r="I435" i="6"/>
  <c r="I415" i="6"/>
  <c r="I345" i="6"/>
  <c r="I255" i="6"/>
  <c r="I185" i="6"/>
  <c r="L185" i="6" s="1"/>
  <c r="I165" i="6"/>
  <c r="J165" i="6" s="1"/>
  <c r="I95" i="6"/>
  <c r="K95" i="6" s="1"/>
  <c r="I35" i="6"/>
  <c r="H520" i="6"/>
  <c r="H430" i="6"/>
  <c r="H270" i="6"/>
  <c r="H73" i="6"/>
  <c r="H20" i="6"/>
  <c r="I590" i="6"/>
  <c r="I550" i="6"/>
  <c r="I490" i="6"/>
  <c r="I113" i="6"/>
  <c r="I50" i="6"/>
  <c r="J604" i="6"/>
  <c r="L601" i="6"/>
  <c r="L591" i="6"/>
  <c r="J574" i="6"/>
  <c r="L551" i="6"/>
  <c r="L541" i="6"/>
  <c r="L531" i="6"/>
  <c r="L1093" i="6"/>
  <c r="J1076" i="6"/>
  <c r="L1073" i="6"/>
  <c r="K1003" i="6"/>
  <c r="K978" i="6"/>
  <c r="K968" i="6"/>
  <c r="I825" i="6"/>
  <c r="K825" i="6" s="1"/>
  <c r="I775" i="6"/>
  <c r="J775" i="6" s="1"/>
  <c r="I725" i="6"/>
  <c r="I675" i="6"/>
  <c r="I625" i="6"/>
  <c r="L625" i="6" s="1"/>
  <c r="I575" i="6"/>
  <c r="I525" i="6"/>
  <c r="I475" i="6"/>
  <c r="K475" i="6" s="1"/>
  <c r="I425" i="6"/>
  <c r="I375" i="6"/>
  <c r="L375" i="6" s="1"/>
  <c r="I325" i="6"/>
  <c r="I275" i="6"/>
  <c r="K275" i="6" s="1"/>
  <c r="I225" i="6"/>
  <c r="L225" i="6" s="1"/>
  <c r="I175" i="6"/>
  <c r="I125" i="6"/>
  <c r="K125" i="6" s="1"/>
  <c r="I75" i="6"/>
  <c r="I65" i="6"/>
  <c r="I25" i="6"/>
  <c r="K25" i="6" s="1"/>
  <c r="K2" i="6"/>
  <c r="L1094" i="6"/>
  <c r="L1064" i="6"/>
  <c r="L1054" i="6"/>
  <c r="L1004" i="6"/>
  <c r="L984" i="6"/>
  <c r="L974" i="6"/>
  <c r="L924" i="6"/>
  <c r="K1016" i="6"/>
  <c r="K946" i="6"/>
  <c r="K916" i="6"/>
  <c r="K876" i="6"/>
  <c r="K826" i="6"/>
  <c r="J1046" i="6"/>
  <c r="L1033" i="6"/>
  <c r="L1023" i="6"/>
  <c r="J1016" i="6"/>
  <c r="J1006" i="6"/>
  <c r="L1003" i="6"/>
  <c r="L978" i="6"/>
  <c r="L928" i="6"/>
  <c r="J916" i="6"/>
  <c r="L898" i="6"/>
  <c r="K908" i="6"/>
  <c r="K858" i="6"/>
  <c r="K853" i="6"/>
  <c r="K843" i="6"/>
  <c r="K803" i="6"/>
  <c r="K763" i="6"/>
  <c r="K743" i="6"/>
  <c r="K683" i="6"/>
  <c r="I828" i="6"/>
  <c r="I818" i="6"/>
  <c r="I808" i="6"/>
  <c r="J808" i="6" s="1"/>
  <c r="I798" i="6"/>
  <c r="J798" i="6" s="1"/>
  <c r="I788" i="6"/>
  <c r="K788" i="6" s="1"/>
  <c r="I778" i="6"/>
  <c r="L778" i="6" s="1"/>
  <c r="I768" i="6"/>
  <c r="K768" i="6" s="1"/>
  <c r="I758" i="6"/>
  <c r="I748" i="6"/>
  <c r="J748" i="6" s="1"/>
  <c r="I738" i="6"/>
  <c r="K738" i="6" s="1"/>
  <c r="I728" i="6"/>
  <c r="I718" i="6"/>
  <c r="I708" i="6"/>
  <c r="K708" i="6" s="1"/>
  <c r="I698" i="6"/>
  <c r="I688" i="6"/>
  <c r="I678" i="6"/>
  <c r="I668" i="6"/>
  <c r="I658" i="6"/>
  <c r="I648" i="6"/>
  <c r="K648" i="6" s="1"/>
  <c r="I638" i="6"/>
  <c r="I628" i="6"/>
  <c r="K628" i="6" s="1"/>
  <c r="I618" i="6"/>
  <c r="J618" i="6" s="1"/>
  <c r="I608" i="6"/>
  <c r="L608" i="6" s="1"/>
  <c r="I598" i="6"/>
  <c r="L598" i="6" s="1"/>
  <c r="I588" i="6"/>
  <c r="I578" i="6"/>
  <c r="J578" i="6" s="1"/>
  <c r="I568" i="6"/>
  <c r="I558" i="6"/>
  <c r="I548" i="6"/>
  <c r="I538" i="6"/>
  <c r="K538" i="6" s="1"/>
  <c r="I528" i="6"/>
  <c r="L528" i="6" s="1"/>
  <c r="I518" i="6"/>
  <c r="I508" i="6"/>
  <c r="I498" i="6"/>
  <c r="I488" i="6"/>
  <c r="K488" i="6" s="1"/>
  <c r="I478" i="6"/>
  <c r="K478" i="6" s="1"/>
  <c r="I468" i="6"/>
  <c r="I458" i="6"/>
  <c r="K458" i="6" s="1"/>
  <c r="I448" i="6"/>
  <c r="I438" i="6"/>
  <c r="K438" i="6" s="1"/>
  <c r="I428" i="6"/>
  <c r="I418" i="6"/>
  <c r="J418" i="6" s="1"/>
  <c r="I408" i="6"/>
  <c r="K408" i="6" s="1"/>
  <c r="I398" i="6"/>
  <c r="J398" i="6" s="1"/>
  <c r="I388" i="6"/>
  <c r="I378" i="6"/>
  <c r="I368" i="6"/>
  <c r="L368" i="6" s="1"/>
  <c r="I358" i="6"/>
  <c r="K358" i="6" s="1"/>
  <c r="I348" i="6"/>
  <c r="I338" i="6"/>
  <c r="K338" i="6" s="1"/>
  <c r="I328" i="6"/>
  <c r="K328" i="6" s="1"/>
  <c r="I318" i="6"/>
  <c r="I308" i="6"/>
  <c r="K308" i="6" s="1"/>
  <c r="I298" i="6"/>
  <c r="K298" i="6" s="1"/>
  <c r="I288" i="6"/>
  <c r="J288" i="6" s="1"/>
  <c r="I278" i="6"/>
  <c r="I268" i="6"/>
  <c r="K268" i="6" s="1"/>
  <c r="I258" i="6"/>
  <c r="I248" i="6"/>
  <c r="I238" i="6"/>
  <c r="K238" i="6" s="1"/>
  <c r="I228" i="6"/>
  <c r="K228" i="6" s="1"/>
  <c r="I218" i="6"/>
  <c r="I208" i="6"/>
  <c r="I198" i="6"/>
  <c r="J198" i="6" s="1"/>
  <c r="I188" i="6"/>
  <c r="K188" i="6" s="1"/>
  <c r="I178" i="6"/>
  <c r="I168" i="6"/>
  <c r="I158" i="6"/>
  <c r="K158" i="6" s="1"/>
  <c r="I148" i="6"/>
  <c r="L148" i="6" s="1"/>
  <c r="I138" i="6"/>
  <c r="I128" i="6"/>
  <c r="J128" i="6" s="1"/>
  <c r="I118" i="6"/>
  <c r="L118" i="6" s="1"/>
  <c r="I108" i="6"/>
  <c r="K108" i="6" s="1"/>
  <c r="I98" i="6"/>
  <c r="I88" i="6"/>
  <c r="J88" i="6" s="1"/>
  <c r="I78" i="6"/>
  <c r="K78" i="6" s="1"/>
  <c r="I68" i="6"/>
  <c r="L68" i="6" s="1"/>
  <c r="I58" i="6"/>
  <c r="I48" i="6"/>
  <c r="I38" i="6"/>
  <c r="I28" i="6"/>
  <c r="L28" i="6" s="1"/>
  <c r="I18" i="6"/>
  <c r="J18" i="6" s="1"/>
  <c r="I8" i="6"/>
  <c r="K8" i="6" s="1"/>
  <c r="J1093" i="6"/>
  <c r="L1080" i="6"/>
  <c r="L1075" i="6"/>
  <c r="J1073" i="6"/>
  <c r="L1070" i="6"/>
  <c r="K780" i="6"/>
  <c r="K760" i="6"/>
  <c r="J1070" i="6"/>
  <c r="J1050" i="6"/>
  <c r="J1040" i="6"/>
  <c r="J1025" i="6"/>
  <c r="J985" i="6"/>
  <c r="J980" i="6"/>
  <c r="J975" i="6"/>
  <c r="J970" i="6"/>
  <c r="J940" i="6"/>
  <c r="J925" i="6"/>
  <c r="J920" i="6"/>
  <c r="J910" i="6"/>
  <c r="J890" i="6"/>
  <c r="J880" i="6"/>
  <c r="J850" i="6"/>
  <c r="J830" i="6"/>
  <c r="J820" i="6"/>
  <c r="J810" i="6"/>
  <c r="L884" i="6"/>
  <c r="L864" i="6"/>
  <c r="L854" i="6"/>
  <c r="L844" i="6"/>
  <c r="L834" i="6"/>
  <c r="L824" i="6"/>
  <c r="K1094" i="6"/>
  <c r="K1054" i="6"/>
  <c r="K1014" i="6"/>
  <c r="K1004" i="6"/>
  <c r="K974" i="6"/>
  <c r="K964" i="6"/>
  <c r="K954" i="6"/>
  <c r="K944" i="6"/>
  <c r="K924" i="6"/>
  <c r="K894" i="6"/>
  <c r="J504" i="6"/>
  <c r="L501" i="6"/>
  <c r="L461" i="6"/>
  <c r="L451" i="6"/>
  <c r="J444" i="6"/>
  <c r="J434" i="6"/>
  <c r="J429" i="6"/>
  <c r="J424" i="6"/>
  <c r="L421" i="6"/>
  <c r="J414" i="6"/>
  <c r="L411" i="6"/>
  <c r="J404" i="6"/>
  <c r="J394" i="6"/>
  <c r="L391" i="6"/>
  <c r="L381" i="6"/>
  <c r="L371" i="6"/>
  <c r="L361" i="6"/>
  <c r="J344" i="6"/>
  <c r="J324" i="6"/>
  <c r="J314" i="6"/>
  <c r="L311" i="6"/>
  <c r="J304" i="6"/>
  <c r="L301" i="6"/>
  <c r="J294" i="6"/>
  <c r="L291" i="6"/>
  <c r="J284" i="6"/>
  <c r="L281" i="6"/>
  <c r="L261" i="6"/>
  <c r="L251" i="6"/>
  <c r="K601" i="6"/>
  <c r="K551" i="6"/>
  <c r="K541" i="6"/>
  <c r="K531" i="6"/>
  <c r="K501" i="6"/>
  <c r="K471" i="6"/>
  <c r="K461" i="6"/>
  <c r="J886" i="6"/>
  <c r="J876" i="6"/>
  <c r="L858" i="6"/>
  <c r="L853" i="6"/>
  <c r="L843" i="6"/>
  <c r="L823" i="6"/>
  <c r="L803" i="6"/>
  <c r="L758" i="6"/>
  <c r="L743" i="6"/>
  <c r="K663" i="6"/>
  <c r="K658" i="6"/>
  <c r="K653" i="6"/>
  <c r="K603" i="6"/>
  <c r="K578" i="6"/>
  <c r="K553" i="6"/>
  <c r="K503" i="6"/>
  <c r="K483" i="6"/>
  <c r="K453" i="6"/>
  <c r="K448" i="6"/>
  <c r="K403" i="6"/>
  <c r="K383" i="6"/>
  <c r="K363" i="6"/>
  <c r="K348" i="6"/>
  <c r="L1060" i="6"/>
  <c r="L1040" i="6"/>
  <c r="J1033" i="6"/>
  <c r="L1030" i="6"/>
  <c r="L1025" i="6"/>
  <c r="J1023" i="6"/>
  <c r="L1010" i="6"/>
  <c r="J1003" i="6"/>
  <c r="J983" i="6"/>
  <c r="L980" i="6"/>
  <c r="J978" i="6"/>
  <c r="L975" i="6"/>
  <c r="L970" i="6"/>
  <c r="J968" i="6"/>
  <c r="L965" i="6"/>
  <c r="J948" i="6"/>
  <c r="L940" i="6"/>
  <c r="J928" i="6"/>
  <c r="L925" i="6"/>
  <c r="L920" i="6"/>
  <c r="L910" i="6"/>
  <c r="J908" i="6"/>
  <c r="L905" i="6"/>
  <c r="L900" i="6"/>
  <c r="L895" i="6"/>
  <c r="J893" i="6"/>
  <c r="L880" i="6"/>
  <c r="L870" i="6"/>
  <c r="L860" i="6"/>
  <c r="J858" i="6"/>
  <c r="J853" i="6"/>
  <c r="J843" i="6"/>
  <c r="L835" i="6"/>
  <c r="L830" i="6"/>
  <c r="L825" i="6"/>
  <c r="J823" i="6"/>
  <c r="L820" i="6"/>
  <c r="L815" i="6"/>
  <c r="L810" i="6"/>
  <c r="L805" i="6"/>
  <c r="J803" i="6"/>
  <c r="L780" i="6"/>
  <c r="J778" i="6"/>
  <c r="J763" i="6"/>
  <c r="L760" i="6"/>
  <c r="J758" i="6"/>
  <c r="J214" i="6"/>
  <c r="L211" i="6"/>
  <c r="J204" i="6"/>
  <c r="J194" i="6"/>
  <c r="J184" i="6"/>
  <c r="L151" i="6"/>
  <c r="J114" i="6"/>
  <c r="J104" i="6"/>
  <c r="J94" i="6"/>
  <c r="L91" i="6"/>
  <c r="J84" i="6"/>
  <c r="L71" i="6"/>
  <c r="L51" i="6"/>
  <c r="L41" i="6"/>
  <c r="L31" i="6"/>
  <c r="L11" i="6"/>
  <c r="J4" i="6"/>
  <c r="K451" i="6"/>
  <c r="K421" i="6"/>
  <c r="K411" i="6"/>
  <c r="K401" i="6"/>
  <c r="K313" i="6"/>
  <c r="K278" i="6"/>
  <c r="K263" i="6"/>
  <c r="K258" i="6"/>
  <c r="K253" i="6"/>
  <c r="K203" i="6"/>
  <c r="K198" i="6"/>
  <c r="K183" i="6"/>
  <c r="K178" i="6"/>
  <c r="J743" i="6"/>
  <c r="L730" i="6"/>
  <c r="J703" i="6"/>
  <c r="L670" i="6"/>
  <c r="J663" i="6"/>
  <c r="L660" i="6"/>
  <c r="K705" i="6"/>
  <c r="K670" i="6"/>
  <c r="J780" i="6"/>
  <c r="J760" i="6"/>
  <c r="J730" i="6"/>
  <c r="J685" i="6"/>
  <c r="J670" i="6"/>
  <c r="L774" i="6"/>
  <c r="L744" i="6"/>
  <c r="L734" i="6"/>
  <c r="K864" i="6"/>
  <c r="K854" i="6"/>
  <c r="K844" i="6"/>
  <c r="K391" i="6"/>
  <c r="K371" i="6"/>
  <c r="K361" i="6"/>
  <c r="K351" i="6"/>
  <c r="K311" i="6"/>
  <c r="K301" i="6"/>
  <c r="K291" i="6"/>
  <c r="K281" i="6"/>
  <c r="K271" i="6"/>
  <c r="K241" i="6"/>
  <c r="K211" i="6"/>
  <c r="K191" i="6"/>
  <c r="K151" i="6"/>
  <c r="L708" i="6"/>
  <c r="L703" i="6"/>
  <c r="L683" i="6"/>
  <c r="L678" i="6"/>
  <c r="L663" i="6"/>
  <c r="L658" i="6"/>
  <c r="L653" i="6"/>
  <c r="L648" i="6"/>
  <c r="L643" i="6"/>
  <c r="L628" i="6"/>
  <c r="L613" i="6"/>
  <c r="L603" i="6"/>
  <c r="L563" i="6"/>
  <c r="L558" i="6"/>
  <c r="L553" i="6"/>
  <c r="L548" i="6"/>
  <c r="L518" i="6"/>
  <c r="L508" i="6"/>
  <c r="J501" i="6"/>
  <c r="J491" i="6"/>
  <c r="L483" i="6"/>
  <c r="L478" i="6"/>
  <c r="J461" i="6"/>
  <c r="L453" i="6"/>
  <c r="J451" i="6"/>
  <c r="L448" i="6"/>
  <c r="J441" i="6"/>
  <c r="J421" i="6"/>
  <c r="L413" i="6"/>
  <c r="J411" i="6"/>
  <c r="L403" i="6"/>
  <c r="J391" i="6"/>
  <c r="L383" i="6"/>
  <c r="J381" i="6"/>
  <c r="L378" i="6"/>
  <c r="J371" i="6"/>
  <c r="L363" i="6"/>
  <c r="J361" i="6"/>
  <c r="L358" i="6"/>
  <c r="L343" i="6"/>
  <c r="J341" i="6"/>
  <c r="L313" i="6"/>
  <c r="J311" i="6"/>
  <c r="J301" i="6"/>
  <c r="J291" i="6"/>
  <c r="K153" i="6"/>
  <c r="K128" i="6"/>
  <c r="K103" i="6"/>
  <c r="K63" i="6"/>
  <c r="L645" i="6"/>
  <c r="J643" i="6"/>
  <c r="L635" i="6"/>
  <c r="L630" i="6"/>
  <c r="L620" i="6"/>
  <c r="L610" i="6"/>
  <c r="J608" i="6"/>
  <c r="L605" i="6"/>
  <c r="J603" i="6"/>
  <c r="L575" i="6"/>
  <c r="L570" i="6"/>
  <c r="L560" i="6"/>
  <c r="J548" i="6"/>
  <c r="L530" i="6"/>
  <c r="L525" i="6"/>
  <c r="J503" i="6"/>
  <c r="J488" i="6"/>
  <c r="L485" i="6"/>
  <c r="J483" i="6"/>
  <c r="L480" i="6"/>
  <c r="J478" i="6"/>
  <c r="L475" i="6"/>
  <c r="L460" i="6"/>
  <c r="J458" i="6"/>
  <c r="J453" i="6"/>
  <c r="J448" i="6"/>
  <c r="L435" i="6"/>
  <c r="J428" i="6"/>
  <c r="L425" i="6"/>
  <c r="L420" i="6"/>
  <c r="L415" i="6"/>
  <c r="L410" i="6"/>
  <c r="L405" i="6"/>
  <c r="J403" i="6"/>
  <c r="L385" i="6"/>
  <c r="J383" i="6"/>
  <c r="L380" i="6"/>
  <c r="J378" i="6"/>
  <c r="L365" i="6"/>
  <c r="L360" i="6"/>
  <c r="J358" i="6"/>
  <c r="J353" i="6"/>
  <c r="L345" i="6"/>
  <c r="L330" i="6"/>
  <c r="J328" i="6"/>
  <c r="L325" i="6"/>
  <c r="L320" i="6"/>
  <c r="J313" i="6"/>
  <c r="L310" i="6"/>
  <c r="J298" i="6"/>
  <c r="L285" i="6"/>
  <c r="L280" i="6"/>
  <c r="J278" i="6"/>
  <c r="J258" i="6"/>
  <c r="L255" i="6"/>
  <c r="J253" i="6"/>
  <c r="J248" i="6"/>
  <c r="K645" i="6"/>
  <c r="K630" i="6"/>
  <c r="K610" i="6"/>
  <c r="K605" i="6"/>
  <c r="K575" i="6"/>
  <c r="K565" i="6"/>
  <c r="K485" i="6"/>
  <c r="K480" i="6"/>
  <c r="K460" i="6"/>
  <c r="K435" i="6"/>
  <c r="K425" i="6"/>
  <c r="K420" i="6"/>
  <c r="K415" i="6"/>
  <c r="K405" i="6"/>
  <c r="K385" i="6"/>
  <c r="K380" i="6"/>
  <c r="K375" i="6"/>
  <c r="K370" i="6"/>
  <c r="K365" i="6"/>
  <c r="K360" i="6"/>
  <c r="K330" i="6"/>
  <c r="K325" i="6"/>
  <c r="K320" i="6"/>
  <c r="K310" i="6"/>
  <c r="K285" i="6"/>
  <c r="K280" i="6"/>
  <c r="K255" i="6"/>
  <c r="J630" i="6"/>
  <c r="J620" i="6"/>
  <c r="J570" i="6"/>
  <c r="J565" i="6"/>
  <c r="J525" i="6"/>
  <c r="J485" i="6"/>
  <c r="J480" i="6"/>
  <c r="J475" i="6"/>
  <c r="J470" i="6"/>
  <c r="J465" i="6"/>
  <c r="J460" i="6"/>
  <c r="J435" i="6"/>
  <c r="J420" i="6"/>
  <c r="J415" i="6"/>
  <c r="J410" i="6"/>
  <c r="J405" i="6"/>
  <c r="J385" i="6"/>
  <c r="J380" i="6"/>
  <c r="J370" i="6"/>
  <c r="J365" i="6"/>
  <c r="J360" i="6"/>
  <c r="J345" i="6"/>
  <c r="J330" i="6"/>
  <c r="J325" i="6"/>
  <c r="J320" i="6"/>
  <c r="J310" i="6"/>
  <c r="J305" i="6"/>
  <c r="J285" i="6"/>
  <c r="J280" i="6"/>
  <c r="J255" i="6"/>
  <c r="L724" i="6"/>
  <c r="L714" i="6"/>
  <c r="L704" i="6"/>
  <c r="L694" i="6"/>
  <c r="L684" i="6"/>
  <c r="L664" i="6"/>
  <c r="L654" i="6"/>
  <c r="L644" i="6"/>
  <c r="L624" i="6"/>
  <c r="L604" i="6"/>
  <c r="L594" i="6"/>
  <c r="L584" i="6"/>
  <c r="L574" i="6"/>
  <c r="L564" i="6"/>
  <c r="L554" i="6"/>
  <c r="L544" i="6"/>
  <c r="L524" i="6"/>
  <c r="L514" i="6"/>
  <c r="L504" i="6"/>
  <c r="L484" i="6"/>
  <c r="L454" i="6"/>
  <c r="L444" i="6"/>
  <c r="L434" i="6"/>
  <c r="L429" i="6"/>
  <c r="L424" i="6"/>
  <c r="L414" i="6"/>
  <c r="L404" i="6"/>
  <c r="L394" i="6"/>
  <c r="L374" i="6"/>
  <c r="K834" i="6"/>
  <c r="K824" i="6"/>
  <c r="K804" i="6"/>
  <c r="K784" i="6"/>
  <c r="K774" i="6"/>
  <c r="K764" i="6"/>
  <c r="K754" i="6"/>
  <c r="K744" i="6"/>
  <c r="K734" i="6"/>
  <c r="K714" i="6"/>
  <c r="K704" i="6"/>
  <c r="K694" i="6"/>
  <c r="K684" i="6"/>
  <c r="K674" i="6"/>
  <c r="K654" i="6"/>
  <c r="K644" i="6"/>
  <c r="K604" i="6"/>
  <c r="K594" i="6"/>
  <c r="K584" i="6"/>
  <c r="K564" i="6"/>
  <c r="K544" i="6"/>
  <c r="K514" i="6"/>
  <c r="K494" i="6"/>
  <c r="K484" i="6"/>
  <c r="K464" i="6"/>
  <c r="K454" i="6"/>
  <c r="K444" i="6"/>
  <c r="K434" i="6"/>
  <c r="K429" i="6"/>
  <c r="K424" i="6"/>
  <c r="K414" i="6"/>
  <c r="K404" i="6"/>
  <c r="K111" i="6"/>
  <c r="K91" i="6"/>
  <c r="K81" i="6"/>
  <c r="K71" i="6"/>
  <c r="K51" i="6"/>
  <c r="K41" i="6"/>
  <c r="K21" i="6"/>
  <c r="K11" i="6"/>
  <c r="J281" i="6"/>
  <c r="L278" i="6"/>
  <c r="J271" i="6"/>
  <c r="J261" i="6"/>
  <c r="L258" i="6"/>
  <c r="L253" i="6"/>
  <c r="J251" i="6"/>
  <c r="L248" i="6"/>
  <c r="L228" i="6"/>
  <c r="L218" i="6"/>
  <c r="J211" i="6"/>
  <c r="L203" i="6"/>
  <c r="J191" i="6"/>
  <c r="L183" i="6"/>
  <c r="J181" i="6"/>
  <c r="L178" i="6"/>
  <c r="J171" i="6"/>
  <c r="L163" i="6"/>
  <c r="L158" i="6"/>
  <c r="L153" i="6"/>
  <c r="J151" i="6"/>
  <c r="L128" i="6"/>
  <c r="L103" i="6"/>
  <c r="L78" i="6"/>
  <c r="J71" i="6"/>
  <c r="L63" i="6"/>
  <c r="L58" i="6"/>
  <c r="L53" i="6"/>
  <c r="J51" i="6"/>
  <c r="L48" i="6"/>
  <c r="J41" i="6"/>
  <c r="L13" i="6"/>
  <c r="J11" i="6"/>
  <c r="L8" i="6"/>
  <c r="L3" i="6"/>
  <c r="K58" i="6"/>
  <c r="K53" i="6"/>
  <c r="K48" i="6"/>
  <c r="K38" i="6"/>
  <c r="K28" i="6"/>
  <c r="K18" i="6"/>
  <c r="K13" i="6"/>
  <c r="K3" i="6"/>
  <c r="L230" i="6"/>
  <c r="J228" i="6"/>
  <c r="L220" i="6"/>
  <c r="L210" i="6"/>
  <c r="L205" i="6"/>
  <c r="J203" i="6"/>
  <c r="J188" i="6"/>
  <c r="J178" i="6"/>
  <c r="L170" i="6"/>
  <c r="L165" i="6"/>
  <c r="J163" i="6"/>
  <c r="L160" i="6"/>
  <c r="J158" i="6"/>
  <c r="J148" i="6"/>
  <c r="L130" i="6"/>
  <c r="L120" i="6"/>
  <c r="L110" i="6"/>
  <c r="J108" i="6"/>
  <c r="J103" i="6"/>
  <c r="L80" i="6"/>
  <c r="J78" i="6"/>
  <c r="L75" i="6"/>
  <c r="L70" i="6"/>
  <c r="L65" i="6"/>
  <c r="J63" i="6"/>
  <c r="L60" i="6"/>
  <c r="J58" i="6"/>
  <c r="J53" i="6"/>
  <c r="J48" i="6"/>
  <c r="L45" i="6"/>
  <c r="L30" i="6"/>
  <c r="L25" i="6"/>
  <c r="J13" i="6"/>
  <c r="J3" i="6"/>
  <c r="K230" i="6"/>
  <c r="K220" i="6"/>
  <c r="K210" i="6"/>
  <c r="K205" i="6"/>
  <c r="K185" i="6"/>
  <c r="K170" i="6"/>
  <c r="K165" i="6"/>
  <c r="K160" i="6"/>
  <c r="K130" i="6"/>
  <c r="K120" i="6"/>
  <c r="K110" i="6"/>
  <c r="K80" i="6"/>
  <c r="K75" i="6"/>
  <c r="K70" i="6"/>
  <c r="K65" i="6"/>
  <c r="K60" i="6"/>
  <c r="K45" i="6"/>
  <c r="K35" i="6"/>
  <c r="K30" i="6"/>
  <c r="J230" i="6"/>
  <c r="J220" i="6"/>
  <c r="J210" i="6"/>
  <c r="J205" i="6"/>
  <c r="J185" i="6"/>
  <c r="J175" i="6"/>
  <c r="J170" i="6"/>
  <c r="J160" i="6"/>
  <c r="J130" i="6"/>
  <c r="J120" i="6"/>
  <c r="J110" i="6"/>
  <c r="J80" i="6"/>
  <c r="J75" i="6"/>
  <c r="J70" i="6"/>
  <c r="J65" i="6"/>
  <c r="J60" i="6"/>
  <c r="J45" i="6"/>
  <c r="J30" i="6"/>
  <c r="J25" i="6"/>
  <c r="L344" i="6"/>
  <c r="L324" i="6"/>
  <c r="L314" i="6"/>
  <c r="L304" i="6"/>
  <c r="L294" i="6"/>
  <c r="L284" i="6"/>
  <c r="L274" i="6"/>
  <c r="L264" i="6"/>
  <c r="L254" i="6"/>
  <c r="L244" i="6"/>
  <c r="L224" i="6"/>
  <c r="L214" i="6"/>
  <c r="L204" i="6"/>
  <c r="L194" i="6"/>
  <c r="L184" i="6"/>
  <c r="L174" i="6"/>
  <c r="L164" i="6"/>
  <c r="L144" i="6"/>
  <c r="L124" i="6"/>
  <c r="L114" i="6"/>
  <c r="L104" i="6"/>
  <c r="L94" i="6"/>
  <c r="L84" i="6"/>
  <c r="L74" i="6"/>
  <c r="L64" i="6"/>
  <c r="K394" i="6"/>
  <c r="K389" i="6"/>
  <c r="K374" i="6"/>
  <c r="K344" i="6"/>
  <c r="K334" i="6"/>
  <c r="K324" i="6"/>
  <c r="K314" i="6"/>
  <c r="K304" i="6"/>
  <c r="K294" i="6"/>
  <c r="K284" i="6"/>
  <c r="K274" i="6"/>
  <c r="K264" i="6"/>
  <c r="K244" i="6"/>
  <c r="K234" i="6"/>
  <c r="K224" i="6"/>
  <c r="K214" i="6"/>
  <c r="K204" i="6"/>
  <c r="K194" i="6"/>
  <c r="K184" i="6"/>
  <c r="K174" i="6"/>
  <c r="K164" i="6"/>
  <c r="K144" i="6"/>
  <c r="K124" i="6"/>
  <c r="K114" i="6"/>
  <c r="K104" i="6"/>
  <c r="K94" i="6"/>
  <c r="K84" i="6"/>
  <c r="K74" i="6"/>
  <c r="K64" i="6"/>
  <c r="L34" i="6"/>
  <c r="L24" i="6"/>
  <c r="L14" i="6"/>
  <c r="L4" i="6"/>
  <c r="K14" i="6"/>
  <c r="K4" i="6"/>
  <c r="D1978" i="4" l="1"/>
  <c r="L1976" i="4"/>
  <c r="A1984" i="4"/>
  <c r="M1984" i="4" s="1"/>
  <c r="D1973" i="4"/>
  <c r="L1975" i="4"/>
  <c r="G1975" i="4" s="1"/>
  <c r="D1974" i="4"/>
  <c r="L1974" i="4"/>
  <c r="D1970" i="4"/>
  <c r="L1970" i="4"/>
  <c r="D1968" i="4"/>
  <c r="L1968" i="4"/>
  <c r="H1973" i="4"/>
  <c r="I1973" i="4"/>
  <c r="G1973" i="4"/>
  <c r="D1969" i="4"/>
  <c r="L1969" i="4"/>
  <c r="I1977" i="4"/>
  <c r="H1977" i="4"/>
  <c r="G1977" i="4"/>
  <c r="D1980" i="4"/>
  <c r="L1980" i="4"/>
  <c r="I1976" i="4"/>
  <c r="G1976" i="4"/>
  <c r="H1976" i="4"/>
  <c r="D1971" i="4"/>
  <c r="L1971" i="4"/>
  <c r="C1983" i="4"/>
  <c r="M1983" i="4"/>
  <c r="L1972" i="4"/>
  <c r="D1972" i="4"/>
  <c r="H1978" i="4"/>
  <c r="G1978" i="4"/>
  <c r="I1978" i="4"/>
  <c r="H1979" i="4"/>
  <c r="I1979" i="4"/>
  <c r="G1979" i="4"/>
  <c r="A1985" i="4"/>
  <c r="C1984" i="4"/>
  <c r="J511" i="6"/>
  <c r="K341" i="6"/>
  <c r="L814" i="6"/>
  <c r="K511" i="6"/>
  <c r="L481" i="6"/>
  <c r="K1064" i="6"/>
  <c r="L983" i="6"/>
  <c r="L906" i="6"/>
  <c r="J906" i="6"/>
  <c r="K906" i="6"/>
  <c r="L1006" i="6"/>
  <c r="K1006" i="6"/>
  <c r="C519" i="6"/>
  <c r="K519" i="6" s="1"/>
  <c r="B519" i="6"/>
  <c r="J519" i="6" s="1"/>
  <c r="D519" i="6"/>
  <c r="L519" i="6" s="1"/>
  <c r="B26" i="6"/>
  <c r="J26" i="6" s="1"/>
  <c r="C26" i="6"/>
  <c r="K26" i="6" s="1"/>
  <c r="D26" i="6"/>
  <c r="L26" i="6" s="1"/>
  <c r="J635" i="6"/>
  <c r="K635" i="6"/>
  <c r="D1059" i="6"/>
  <c r="L1059" i="6" s="1"/>
  <c r="C1059" i="6"/>
  <c r="K1059" i="6" s="1"/>
  <c r="B1059" i="6"/>
  <c r="J1059" i="6" s="1"/>
  <c r="K985" i="6"/>
  <c r="L985" i="6"/>
  <c r="C699" i="6"/>
  <c r="K699" i="6" s="1"/>
  <c r="B699" i="6"/>
  <c r="J699" i="6" s="1"/>
  <c r="D699" i="6"/>
  <c r="L699" i="6" s="1"/>
  <c r="D40" i="6"/>
  <c r="B40" i="6"/>
  <c r="C40" i="6"/>
  <c r="D150" i="6"/>
  <c r="L150" i="6" s="1"/>
  <c r="B150" i="6"/>
  <c r="J150" i="6" s="1"/>
  <c r="C150" i="6"/>
  <c r="K150" i="6" s="1"/>
  <c r="C680" i="6"/>
  <c r="K680" i="6" s="1"/>
  <c r="B680" i="6"/>
  <c r="J680" i="6" s="1"/>
  <c r="D680" i="6"/>
  <c r="L680" i="6" s="1"/>
  <c r="C800" i="6"/>
  <c r="K800" i="6" s="1"/>
  <c r="D800" i="6"/>
  <c r="L800" i="6" s="1"/>
  <c r="B800" i="6"/>
  <c r="J800" i="6" s="1"/>
  <c r="K960" i="6"/>
  <c r="L960" i="6"/>
  <c r="J960" i="6"/>
  <c r="L904" i="6"/>
  <c r="D139" i="6"/>
  <c r="L139" i="6" s="1"/>
  <c r="C139" i="6"/>
  <c r="K139" i="6" s="1"/>
  <c r="B139" i="6"/>
  <c r="J139" i="6" s="1"/>
  <c r="B339" i="6"/>
  <c r="J339" i="6" s="1"/>
  <c r="D339" i="6"/>
  <c r="L339" i="6" s="1"/>
  <c r="C339" i="6"/>
  <c r="K339" i="6" s="1"/>
  <c r="C855" i="6"/>
  <c r="K855" i="6" s="1"/>
  <c r="D855" i="6"/>
  <c r="L855" i="6" s="1"/>
  <c r="B855" i="6"/>
  <c r="J855" i="6" s="1"/>
  <c r="L784" i="6"/>
  <c r="J784" i="6"/>
  <c r="J624" i="6"/>
  <c r="C549" i="6"/>
  <c r="K549" i="6" s="1"/>
  <c r="B549" i="6"/>
  <c r="D549" i="6"/>
  <c r="J878" i="6"/>
  <c r="L878" i="6"/>
  <c r="B49" i="6"/>
  <c r="C49" i="6"/>
  <c r="K49" i="6" s="1"/>
  <c r="D49" i="6"/>
  <c r="L49" i="6" s="1"/>
  <c r="K753" i="6"/>
  <c r="J753" i="6"/>
  <c r="L753" i="6"/>
  <c r="J933" i="6"/>
  <c r="L933" i="6"/>
  <c r="B46" i="6"/>
  <c r="J46" i="6" s="1"/>
  <c r="C46" i="6"/>
  <c r="K46" i="6" s="1"/>
  <c r="D46" i="6"/>
  <c r="L46" i="6" s="1"/>
  <c r="B146" i="6"/>
  <c r="J146" i="6" s="1"/>
  <c r="C146" i="6"/>
  <c r="K146" i="6" s="1"/>
  <c r="D146" i="6"/>
  <c r="L146" i="6" s="1"/>
  <c r="B346" i="6"/>
  <c r="J346" i="6" s="1"/>
  <c r="C346" i="6"/>
  <c r="K346" i="6" s="1"/>
  <c r="D346" i="6"/>
  <c r="L346" i="6" s="1"/>
  <c r="B446" i="6"/>
  <c r="J446" i="6" s="1"/>
  <c r="C446" i="6"/>
  <c r="K446" i="6" s="1"/>
  <c r="D446" i="6"/>
  <c r="L446" i="6" s="1"/>
  <c r="B546" i="6"/>
  <c r="J546" i="6" s="1"/>
  <c r="C546" i="6"/>
  <c r="D546" i="6"/>
  <c r="L546" i="6" s="1"/>
  <c r="B646" i="6"/>
  <c r="J646" i="6" s="1"/>
  <c r="C646" i="6"/>
  <c r="K646" i="6" s="1"/>
  <c r="D646" i="6"/>
  <c r="L646" i="6" s="1"/>
  <c r="B746" i="6"/>
  <c r="J746" i="6" s="1"/>
  <c r="C746" i="6"/>
  <c r="K746" i="6" s="1"/>
  <c r="D746" i="6"/>
  <c r="L746" i="6" s="1"/>
  <c r="K898" i="6"/>
  <c r="J898" i="6"/>
  <c r="B973" i="6"/>
  <c r="J973" i="6" s="1"/>
  <c r="C973" i="6"/>
  <c r="K973" i="6" s="1"/>
  <c r="D973" i="6"/>
  <c r="L973" i="6" s="1"/>
  <c r="B961" i="6"/>
  <c r="C961" i="6"/>
  <c r="D961" i="6"/>
  <c r="D811" i="6"/>
  <c r="B811" i="6"/>
  <c r="J811" i="6" s="1"/>
  <c r="C811" i="6"/>
  <c r="K811" i="6" s="1"/>
  <c r="B681" i="6"/>
  <c r="C681" i="6"/>
  <c r="D681" i="6"/>
  <c r="D661" i="6"/>
  <c r="L661" i="6" s="1"/>
  <c r="B661" i="6"/>
  <c r="J661" i="6" s="1"/>
  <c r="C661" i="6"/>
  <c r="K661" i="6" s="1"/>
  <c r="B631" i="6"/>
  <c r="J631" i="6" s="1"/>
  <c r="C631" i="6"/>
  <c r="D631" i="6"/>
  <c r="L631" i="6" s="1"/>
  <c r="K930" i="6"/>
  <c r="L930" i="6"/>
  <c r="J930" i="6"/>
  <c r="J915" i="6"/>
  <c r="J874" i="6"/>
  <c r="L401" i="6"/>
  <c r="K181" i="6"/>
  <c r="L494" i="6"/>
  <c r="J755" i="6"/>
  <c r="L755" i="6"/>
  <c r="B47" i="6"/>
  <c r="J47" i="6" s="1"/>
  <c r="D47" i="6"/>
  <c r="L47" i="6" s="1"/>
  <c r="C47" i="6"/>
  <c r="K47" i="6" s="1"/>
  <c r="B147" i="6"/>
  <c r="J147" i="6" s="1"/>
  <c r="D147" i="6"/>
  <c r="L147" i="6" s="1"/>
  <c r="C147" i="6"/>
  <c r="K147" i="6" s="1"/>
  <c r="B247" i="6"/>
  <c r="J247" i="6" s="1"/>
  <c r="C247" i="6"/>
  <c r="K247" i="6" s="1"/>
  <c r="D247" i="6"/>
  <c r="L247" i="6" s="1"/>
  <c r="B347" i="6"/>
  <c r="J347" i="6" s="1"/>
  <c r="C347" i="6"/>
  <c r="K347" i="6" s="1"/>
  <c r="D347" i="6"/>
  <c r="L347" i="6" s="1"/>
  <c r="B447" i="6"/>
  <c r="J447" i="6" s="1"/>
  <c r="C447" i="6"/>
  <c r="K447" i="6" s="1"/>
  <c r="D447" i="6"/>
  <c r="L447" i="6" s="1"/>
  <c r="B547" i="6"/>
  <c r="J547" i="6" s="1"/>
  <c r="C547" i="6"/>
  <c r="K547" i="6" s="1"/>
  <c r="D547" i="6"/>
  <c r="L547" i="6" s="1"/>
  <c r="B647" i="6"/>
  <c r="J647" i="6" s="1"/>
  <c r="D647" i="6"/>
  <c r="L647" i="6" s="1"/>
  <c r="C647" i="6"/>
  <c r="K647" i="6" s="1"/>
  <c r="B747" i="6"/>
  <c r="J747" i="6" s="1"/>
  <c r="C747" i="6"/>
  <c r="K747" i="6" s="1"/>
  <c r="D747" i="6"/>
  <c r="L747" i="6" s="1"/>
  <c r="B847" i="6"/>
  <c r="J847" i="6" s="1"/>
  <c r="C847" i="6"/>
  <c r="K847" i="6" s="1"/>
  <c r="D847" i="6"/>
  <c r="L847" i="6" s="1"/>
  <c r="B947" i="6"/>
  <c r="J947" i="6" s="1"/>
  <c r="C947" i="6"/>
  <c r="K947" i="6" s="1"/>
  <c r="D947" i="6"/>
  <c r="L947" i="6" s="1"/>
  <c r="B1047" i="6"/>
  <c r="J1047" i="6" s="1"/>
  <c r="C1047" i="6"/>
  <c r="K1047" i="6" s="1"/>
  <c r="D1047" i="6"/>
  <c r="L1047" i="6" s="1"/>
  <c r="K1038" i="6"/>
  <c r="K673" i="6"/>
  <c r="J673" i="6"/>
  <c r="L673" i="6"/>
  <c r="B249" i="6"/>
  <c r="J249" i="6" s="1"/>
  <c r="C249" i="6"/>
  <c r="K249" i="6" s="1"/>
  <c r="D249" i="6"/>
  <c r="L249" i="6" s="1"/>
  <c r="C109" i="6"/>
  <c r="K109" i="6" s="1"/>
  <c r="B109" i="6"/>
  <c r="J109" i="6" s="1"/>
  <c r="D109" i="6"/>
  <c r="L109" i="6" s="1"/>
  <c r="C539" i="6"/>
  <c r="K539" i="6" s="1"/>
  <c r="B539" i="6"/>
  <c r="J539" i="6" s="1"/>
  <c r="D539" i="6"/>
  <c r="L539" i="6" s="1"/>
  <c r="D929" i="6"/>
  <c r="L929" i="6" s="1"/>
  <c r="B929" i="6"/>
  <c r="J929" i="6" s="1"/>
  <c r="C929" i="6"/>
  <c r="K929" i="6" s="1"/>
  <c r="K875" i="6"/>
  <c r="L875" i="6"/>
  <c r="B57" i="6"/>
  <c r="J57" i="6" s="1"/>
  <c r="C57" i="6"/>
  <c r="K57" i="6" s="1"/>
  <c r="D57" i="6"/>
  <c r="L57" i="6" s="1"/>
  <c r="B157" i="6"/>
  <c r="J157" i="6" s="1"/>
  <c r="C157" i="6"/>
  <c r="K157" i="6" s="1"/>
  <c r="D157" i="6"/>
  <c r="L157" i="6" s="1"/>
  <c r="B257" i="6"/>
  <c r="J257" i="6" s="1"/>
  <c r="D257" i="6"/>
  <c r="L257" i="6" s="1"/>
  <c r="C257" i="6"/>
  <c r="K257" i="6" s="1"/>
  <c r="B357" i="6"/>
  <c r="J357" i="6" s="1"/>
  <c r="C357" i="6"/>
  <c r="K357" i="6" s="1"/>
  <c r="D357" i="6"/>
  <c r="L357" i="6" s="1"/>
  <c r="B457" i="6"/>
  <c r="J457" i="6" s="1"/>
  <c r="C457" i="6"/>
  <c r="K457" i="6" s="1"/>
  <c r="D457" i="6"/>
  <c r="L457" i="6" s="1"/>
  <c r="B557" i="6"/>
  <c r="J557" i="6" s="1"/>
  <c r="D557" i="6"/>
  <c r="L557" i="6" s="1"/>
  <c r="C557" i="6"/>
  <c r="K557" i="6" s="1"/>
  <c r="B657" i="6"/>
  <c r="J657" i="6" s="1"/>
  <c r="D657" i="6"/>
  <c r="L657" i="6" s="1"/>
  <c r="C657" i="6"/>
  <c r="K657" i="6" s="1"/>
  <c r="B757" i="6"/>
  <c r="J757" i="6" s="1"/>
  <c r="C757" i="6"/>
  <c r="K757" i="6" s="1"/>
  <c r="D757" i="6"/>
  <c r="L757" i="6" s="1"/>
  <c r="B857" i="6"/>
  <c r="J857" i="6" s="1"/>
  <c r="C857" i="6"/>
  <c r="K857" i="6" s="1"/>
  <c r="D857" i="6"/>
  <c r="L857" i="6" s="1"/>
  <c r="B957" i="6"/>
  <c r="J957" i="6" s="1"/>
  <c r="C957" i="6"/>
  <c r="K957" i="6" s="1"/>
  <c r="D957" i="6"/>
  <c r="L957" i="6" s="1"/>
  <c r="B1057" i="6"/>
  <c r="J1057" i="6" s="1"/>
  <c r="C1057" i="6"/>
  <c r="K1057" i="6" s="1"/>
  <c r="D1057" i="6"/>
  <c r="L1057" i="6" s="1"/>
  <c r="B1038" i="6"/>
  <c r="J1038" i="6" s="1"/>
  <c r="C1038" i="6"/>
  <c r="D1038" i="6"/>
  <c r="L903" i="6"/>
  <c r="K903" i="6"/>
  <c r="D295" i="6"/>
  <c r="L295" i="6" s="1"/>
  <c r="B295" i="6"/>
  <c r="J295" i="6" s="1"/>
  <c r="C295" i="6"/>
  <c r="K295" i="6" s="1"/>
  <c r="B149" i="6"/>
  <c r="J149" i="6" s="1"/>
  <c r="D149" i="6"/>
  <c r="L149" i="6" s="1"/>
  <c r="C149" i="6"/>
  <c r="K149" i="6" s="1"/>
  <c r="C579" i="6"/>
  <c r="K579" i="6" s="1"/>
  <c r="B579" i="6"/>
  <c r="J579" i="6" s="1"/>
  <c r="D579" i="6"/>
  <c r="L579" i="6" s="1"/>
  <c r="D949" i="6"/>
  <c r="L949" i="6" s="1"/>
  <c r="B949" i="6"/>
  <c r="J949" i="6" s="1"/>
  <c r="C949" i="6"/>
  <c r="K949" i="6" s="1"/>
  <c r="B809" i="6"/>
  <c r="J809" i="6" s="1"/>
  <c r="C809" i="6"/>
  <c r="K809" i="6" s="1"/>
  <c r="D809" i="6"/>
  <c r="L809" i="6" s="1"/>
  <c r="J521" i="6"/>
  <c r="L521" i="6"/>
  <c r="K521" i="6"/>
  <c r="J840" i="6"/>
  <c r="L840" i="6"/>
  <c r="K840" i="6"/>
  <c r="L990" i="6"/>
  <c r="K990" i="6"/>
  <c r="J990" i="6"/>
  <c r="D533" i="6"/>
  <c r="L533" i="6" s="1"/>
  <c r="B533" i="6"/>
  <c r="J533" i="6" s="1"/>
  <c r="C533" i="6"/>
  <c r="K533" i="6" s="1"/>
  <c r="B123" i="6"/>
  <c r="J123" i="6" s="1"/>
  <c r="D123" i="6"/>
  <c r="L123" i="6" s="1"/>
  <c r="C123" i="6"/>
  <c r="K123" i="6" s="1"/>
  <c r="B373" i="6"/>
  <c r="J373" i="6" s="1"/>
  <c r="C373" i="6"/>
  <c r="K373" i="6" s="1"/>
  <c r="D373" i="6"/>
  <c r="L373" i="6" s="1"/>
  <c r="B56" i="6"/>
  <c r="C56" i="6"/>
  <c r="K56" i="6" s="1"/>
  <c r="D56" i="6"/>
  <c r="B156" i="6"/>
  <c r="J156" i="6" s="1"/>
  <c r="C156" i="6"/>
  <c r="D156" i="6"/>
  <c r="D256" i="6"/>
  <c r="B256" i="6"/>
  <c r="J256" i="6" s="1"/>
  <c r="C256" i="6"/>
  <c r="B356" i="6"/>
  <c r="J356" i="6" s="1"/>
  <c r="C356" i="6"/>
  <c r="K356" i="6" s="1"/>
  <c r="D356" i="6"/>
  <c r="L356" i="6" s="1"/>
  <c r="B456" i="6"/>
  <c r="D456" i="6"/>
  <c r="C456" i="6"/>
  <c r="K456" i="6" s="1"/>
  <c r="B556" i="6"/>
  <c r="J556" i="6" s="1"/>
  <c r="C556" i="6"/>
  <c r="D556" i="6"/>
  <c r="L556" i="6" s="1"/>
  <c r="B656" i="6"/>
  <c r="J656" i="6" s="1"/>
  <c r="C656" i="6"/>
  <c r="K656" i="6" s="1"/>
  <c r="D656" i="6"/>
  <c r="L656" i="6" s="1"/>
  <c r="B1021" i="6"/>
  <c r="D1021" i="6"/>
  <c r="C1021" i="6"/>
  <c r="B881" i="6"/>
  <c r="J881" i="6" s="1"/>
  <c r="D881" i="6"/>
  <c r="C881" i="6"/>
  <c r="K881" i="6" s="1"/>
  <c r="D711" i="6"/>
  <c r="L711" i="6" s="1"/>
  <c r="B711" i="6"/>
  <c r="J711" i="6" s="1"/>
  <c r="C711" i="6"/>
  <c r="K711" i="6" s="1"/>
  <c r="B691" i="6"/>
  <c r="J691" i="6" s="1"/>
  <c r="C691" i="6"/>
  <c r="K691" i="6" s="1"/>
  <c r="D691" i="6"/>
  <c r="L691" i="6" s="1"/>
  <c r="B671" i="6"/>
  <c r="J671" i="6" s="1"/>
  <c r="C671" i="6"/>
  <c r="K671" i="6" s="1"/>
  <c r="D671" i="6"/>
  <c r="L671" i="6" s="1"/>
  <c r="L1020" i="6"/>
  <c r="J1020" i="6"/>
  <c r="J425" i="6"/>
  <c r="K720" i="6"/>
  <c r="J241" i="6"/>
  <c r="J118" i="6"/>
  <c r="L1090" i="6"/>
  <c r="L181" i="6"/>
  <c r="L389" i="6"/>
  <c r="J481" i="6"/>
  <c r="D833" i="6"/>
  <c r="L833" i="6" s="1"/>
  <c r="B833" i="6"/>
  <c r="J833" i="6" s="1"/>
  <c r="C833" i="6"/>
  <c r="K833" i="6" s="1"/>
  <c r="D333" i="6"/>
  <c r="L333" i="6" s="1"/>
  <c r="B333" i="6"/>
  <c r="J333" i="6" s="1"/>
  <c r="C333" i="6"/>
  <c r="K333" i="6" s="1"/>
  <c r="C640" i="6"/>
  <c r="K640" i="6" s="1"/>
  <c r="B640" i="6"/>
  <c r="D640" i="6"/>
  <c r="L640" i="6" s="1"/>
  <c r="B92" i="6"/>
  <c r="J92" i="6" s="1"/>
  <c r="C92" i="6"/>
  <c r="K92" i="6" s="1"/>
  <c r="D92" i="6"/>
  <c r="L92" i="6" s="1"/>
  <c r="B192" i="6"/>
  <c r="J192" i="6" s="1"/>
  <c r="D192" i="6"/>
  <c r="L192" i="6" s="1"/>
  <c r="C192" i="6"/>
  <c r="K192" i="6" s="1"/>
  <c r="C292" i="6"/>
  <c r="K292" i="6" s="1"/>
  <c r="B292" i="6"/>
  <c r="J292" i="6" s="1"/>
  <c r="D292" i="6"/>
  <c r="L292" i="6" s="1"/>
  <c r="C392" i="6"/>
  <c r="K392" i="6" s="1"/>
  <c r="B392" i="6"/>
  <c r="J392" i="6" s="1"/>
  <c r="D392" i="6"/>
  <c r="L392" i="6" s="1"/>
  <c r="D492" i="6"/>
  <c r="L492" i="6" s="1"/>
  <c r="B492" i="6"/>
  <c r="J492" i="6" s="1"/>
  <c r="C492" i="6"/>
  <c r="K492" i="6" s="1"/>
  <c r="D592" i="6"/>
  <c r="L592" i="6" s="1"/>
  <c r="B592" i="6"/>
  <c r="J592" i="6" s="1"/>
  <c r="C592" i="6"/>
  <c r="K592" i="6" s="1"/>
  <c r="D692" i="6"/>
  <c r="L692" i="6" s="1"/>
  <c r="B692" i="6"/>
  <c r="J692" i="6" s="1"/>
  <c r="C692" i="6"/>
  <c r="K692" i="6" s="1"/>
  <c r="C792" i="6"/>
  <c r="K792" i="6" s="1"/>
  <c r="B792" i="6"/>
  <c r="J792" i="6" s="1"/>
  <c r="D792" i="6"/>
  <c r="L792" i="6" s="1"/>
  <c r="C892" i="6"/>
  <c r="K892" i="6" s="1"/>
  <c r="B892" i="6"/>
  <c r="J892" i="6" s="1"/>
  <c r="D892" i="6"/>
  <c r="L892" i="6" s="1"/>
  <c r="C992" i="6"/>
  <c r="K992" i="6" s="1"/>
  <c r="B992" i="6"/>
  <c r="J992" i="6" s="1"/>
  <c r="D992" i="6"/>
  <c r="L992" i="6" s="1"/>
  <c r="B1092" i="6"/>
  <c r="J1092" i="6" s="1"/>
  <c r="C1092" i="6"/>
  <c r="K1092" i="6" s="1"/>
  <c r="D1092" i="6"/>
  <c r="L1092" i="6" s="1"/>
  <c r="B943" i="6"/>
  <c r="J943" i="6" s="1"/>
  <c r="C943" i="6"/>
  <c r="K943" i="6" s="1"/>
  <c r="D943" i="6"/>
  <c r="L943" i="6" s="1"/>
  <c r="B863" i="6"/>
  <c r="J863" i="6" s="1"/>
  <c r="C863" i="6"/>
  <c r="D863" i="6"/>
  <c r="L863" i="6" s="1"/>
  <c r="B745" i="6"/>
  <c r="J745" i="6" s="1"/>
  <c r="C745" i="6"/>
  <c r="K745" i="6" s="1"/>
  <c r="D745" i="6"/>
  <c r="L745" i="6" s="1"/>
  <c r="C145" i="6"/>
  <c r="K145" i="6" s="1"/>
  <c r="B145" i="6"/>
  <c r="J145" i="6" s="1"/>
  <c r="D145" i="6"/>
  <c r="L145" i="6" s="1"/>
  <c r="D315" i="6"/>
  <c r="L315" i="6" s="1"/>
  <c r="B315" i="6"/>
  <c r="J315" i="6" s="1"/>
  <c r="C315" i="6"/>
  <c r="K315" i="6" s="1"/>
  <c r="D615" i="6"/>
  <c r="L615" i="6" s="1"/>
  <c r="B615" i="6"/>
  <c r="J615" i="6" s="1"/>
  <c r="C615" i="6"/>
  <c r="K615" i="6" s="1"/>
  <c r="C85" i="6"/>
  <c r="K85" i="6" s="1"/>
  <c r="B85" i="6"/>
  <c r="J85" i="6" s="1"/>
  <c r="D85" i="6"/>
  <c r="L85" i="6" s="1"/>
  <c r="J464" i="6"/>
  <c r="L464" i="6"/>
  <c r="L874" i="6"/>
  <c r="K874" i="6"/>
  <c r="L994" i="6"/>
  <c r="K994" i="6"/>
  <c r="L305" i="6"/>
  <c r="K305" i="6"/>
  <c r="B409" i="6"/>
  <c r="J409" i="6" s="1"/>
  <c r="D409" i="6"/>
  <c r="L409" i="6" s="1"/>
  <c r="C409" i="6"/>
  <c r="K409" i="6" s="1"/>
  <c r="C459" i="6"/>
  <c r="K459" i="6" s="1"/>
  <c r="B459" i="6"/>
  <c r="J459" i="6" s="1"/>
  <c r="D459" i="6"/>
  <c r="L459" i="6" s="1"/>
  <c r="C789" i="6"/>
  <c r="K789" i="6" s="1"/>
  <c r="D789" i="6"/>
  <c r="L789" i="6" s="1"/>
  <c r="B789" i="6"/>
  <c r="J789" i="6" s="1"/>
  <c r="B201" i="6"/>
  <c r="J201" i="6" s="1"/>
  <c r="D201" i="6"/>
  <c r="L201" i="6" s="1"/>
  <c r="C201" i="6"/>
  <c r="K201" i="6" s="1"/>
  <c r="C101" i="6"/>
  <c r="K101" i="6" s="1"/>
  <c r="D101" i="6"/>
  <c r="L101" i="6" s="1"/>
  <c r="B101" i="6"/>
  <c r="J101" i="6" s="1"/>
  <c r="C1045" i="6"/>
  <c r="B1045" i="6"/>
  <c r="J1045" i="6" s="1"/>
  <c r="D1045" i="6"/>
  <c r="L1045" i="6" s="1"/>
  <c r="K1020" i="6"/>
  <c r="B873" i="6"/>
  <c r="J873" i="6" s="1"/>
  <c r="C873" i="6"/>
  <c r="K873" i="6" s="1"/>
  <c r="D873" i="6"/>
  <c r="L873" i="6" s="1"/>
  <c r="J1010" i="6"/>
  <c r="K1010" i="6"/>
  <c r="J343" i="6"/>
  <c r="K118" i="6"/>
  <c r="J351" i="6"/>
  <c r="L915" i="6"/>
  <c r="K893" i="6"/>
  <c r="L893" i="6"/>
  <c r="L18" i="6"/>
  <c r="J21" i="6"/>
  <c r="L618" i="6"/>
  <c r="K814" i="6"/>
  <c r="L948" i="6"/>
  <c r="K933" i="6"/>
  <c r="D433" i="6"/>
  <c r="L433" i="6" s="1"/>
  <c r="B433" i="6"/>
  <c r="J433" i="6" s="1"/>
  <c r="C433" i="6"/>
  <c r="K433" i="6" s="1"/>
  <c r="L456" i="6"/>
  <c r="K866" i="6"/>
  <c r="J866" i="6"/>
  <c r="L966" i="6"/>
  <c r="K966" i="6"/>
  <c r="B19" i="6"/>
  <c r="J19" i="6" s="1"/>
  <c r="C19" i="6"/>
  <c r="K19" i="6" s="1"/>
  <c r="D19" i="6"/>
  <c r="L19" i="6" s="1"/>
  <c r="B100" i="6"/>
  <c r="J100" i="6" s="1"/>
  <c r="C100" i="6"/>
  <c r="K100" i="6" s="1"/>
  <c r="D100" i="6"/>
  <c r="L100" i="6" s="1"/>
  <c r="B340" i="6"/>
  <c r="J340" i="6" s="1"/>
  <c r="C340" i="6"/>
  <c r="K340" i="6" s="1"/>
  <c r="D340" i="6"/>
  <c r="L340" i="6" s="1"/>
  <c r="K470" i="6"/>
  <c r="L470" i="6"/>
  <c r="J580" i="6"/>
  <c r="L580" i="6"/>
  <c r="J24" i="6"/>
  <c r="K24" i="6"/>
  <c r="K755" i="6"/>
  <c r="J218" i="6"/>
  <c r="K218" i="6"/>
  <c r="J318" i="6"/>
  <c r="L318" i="6"/>
  <c r="K418" i="6"/>
  <c r="L418" i="6"/>
  <c r="K518" i="6"/>
  <c r="J518" i="6"/>
  <c r="K818" i="6"/>
  <c r="L818" i="6"/>
  <c r="C43" i="6"/>
  <c r="K43" i="6" s="1"/>
  <c r="B43" i="6"/>
  <c r="J43" i="6" s="1"/>
  <c r="D43" i="6"/>
  <c r="L43" i="6" s="1"/>
  <c r="D1008" i="6"/>
  <c r="L1008" i="6" s="1"/>
  <c r="C1008" i="6"/>
  <c r="K1008" i="6" s="1"/>
  <c r="B1008" i="6"/>
  <c r="J1008" i="6" s="1"/>
  <c r="D633" i="6"/>
  <c r="L633" i="6" s="1"/>
  <c r="B633" i="6"/>
  <c r="J633" i="6" s="1"/>
  <c r="C633" i="6"/>
  <c r="K633" i="6" s="1"/>
  <c r="C700" i="6"/>
  <c r="B700" i="6"/>
  <c r="D700" i="6"/>
  <c r="L700" i="6" s="1"/>
  <c r="B22" i="6"/>
  <c r="J22" i="6" s="1"/>
  <c r="C22" i="6"/>
  <c r="K22" i="6" s="1"/>
  <c r="D22" i="6"/>
  <c r="L22" i="6" s="1"/>
  <c r="B122" i="6"/>
  <c r="J122" i="6" s="1"/>
  <c r="D122" i="6"/>
  <c r="L122" i="6" s="1"/>
  <c r="C122" i="6"/>
  <c r="K122" i="6" s="1"/>
  <c r="C222" i="6"/>
  <c r="K222" i="6" s="1"/>
  <c r="B222" i="6"/>
  <c r="J222" i="6" s="1"/>
  <c r="D222" i="6"/>
  <c r="L222" i="6" s="1"/>
  <c r="C322" i="6"/>
  <c r="K322" i="6" s="1"/>
  <c r="D322" i="6"/>
  <c r="L322" i="6" s="1"/>
  <c r="B322" i="6"/>
  <c r="J322" i="6" s="1"/>
  <c r="B422" i="6"/>
  <c r="J422" i="6" s="1"/>
  <c r="D422" i="6"/>
  <c r="L422" i="6" s="1"/>
  <c r="C422" i="6"/>
  <c r="K422" i="6" s="1"/>
  <c r="D522" i="6"/>
  <c r="L522" i="6" s="1"/>
  <c r="B522" i="6"/>
  <c r="J522" i="6" s="1"/>
  <c r="C522" i="6"/>
  <c r="K522" i="6" s="1"/>
  <c r="D622" i="6"/>
  <c r="L622" i="6" s="1"/>
  <c r="C622" i="6"/>
  <c r="K622" i="6" s="1"/>
  <c r="B622" i="6"/>
  <c r="J622" i="6" s="1"/>
  <c r="D722" i="6"/>
  <c r="L722" i="6" s="1"/>
  <c r="B722" i="6"/>
  <c r="J722" i="6" s="1"/>
  <c r="C722" i="6"/>
  <c r="K722" i="6" s="1"/>
  <c r="D822" i="6"/>
  <c r="L822" i="6" s="1"/>
  <c r="B822" i="6"/>
  <c r="J822" i="6" s="1"/>
  <c r="C822" i="6"/>
  <c r="K822" i="6" s="1"/>
  <c r="C922" i="6"/>
  <c r="K922" i="6" s="1"/>
  <c r="D922" i="6"/>
  <c r="L922" i="6" s="1"/>
  <c r="B922" i="6"/>
  <c r="J922" i="6" s="1"/>
  <c r="B1022" i="6"/>
  <c r="J1022" i="6" s="1"/>
  <c r="C1022" i="6"/>
  <c r="K1022" i="6" s="1"/>
  <c r="D1022" i="6"/>
  <c r="L1022" i="6" s="1"/>
  <c r="K835" i="6"/>
  <c r="J835" i="6"/>
  <c r="C55" i="6"/>
  <c r="K55" i="6" s="1"/>
  <c r="B55" i="6"/>
  <c r="J55" i="6" s="1"/>
  <c r="D55" i="6"/>
  <c r="L55" i="6" s="1"/>
  <c r="B495" i="6"/>
  <c r="J495" i="6" s="1"/>
  <c r="D495" i="6"/>
  <c r="L495" i="6" s="1"/>
  <c r="C495" i="6"/>
  <c r="K495" i="6" s="1"/>
  <c r="C246" i="6"/>
  <c r="K246" i="6" s="1"/>
  <c r="D246" i="6"/>
  <c r="L246" i="6" s="1"/>
  <c r="B246" i="6"/>
  <c r="J246" i="6" s="1"/>
  <c r="J54" i="6"/>
  <c r="L54" i="6"/>
  <c r="K54" i="6"/>
  <c r="J154" i="6"/>
  <c r="L154" i="6"/>
  <c r="K154" i="6"/>
  <c r="K254" i="6"/>
  <c r="J254" i="6"/>
  <c r="K364" i="6"/>
  <c r="J364" i="6"/>
  <c r="L364" i="6"/>
  <c r="L1044" i="6"/>
  <c r="K1044" i="6"/>
  <c r="J1044" i="6"/>
  <c r="B9" i="6"/>
  <c r="J9" i="6" s="1"/>
  <c r="C9" i="6"/>
  <c r="K9" i="6" s="1"/>
  <c r="D9" i="6"/>
  <c r="L9" i="6" s="1"/>
  <c r="B99" i="6"/>
  <c r="J99" i="6" s="1"/>
  <c r="C99" i="6"/>
  <c r="K99" i="6" s="1"/>
  <c r="D99" i="6"/>
  <c r="L99" i="6" s="1"/>
  <c r="C599" i="6"/>
  <c r="K599" i="6" s="1"/>
  <c r="B599" i="6"/>
  <c r="J599" i="6" s="1"/>
  <c r="D599" i="6"/>
  <c r="L599" i="6" s="1"/>
  <c r="D939" i="6"/>
  <c r="L939" i="6" s="1"/>
  <c r="B939" i="6"/>
  <c r="J939" i="6" s="1"/>
  <c r="C939" i="6"/>
  <c r="K939" i="6" s="1"/>
  <c r="D161" i="6"/>
  <c r="B161" i="6"/>
  <c r="J161" i="6" s="1"/>
  <c r="C161" i="6"/>
  <c r="C609" i="6"/>
  <c r="K609" i="6" s="1"/>
  <c r="B609" i="6"/>
  <c r="J609" i="6" s="1"/>
  <c r="D609" i="6"/>
  <c r="L609" i="6" s="1"/>
  <c r="K735" i="6"/>
  <c r="L735" i="6"/>
  <c r="J735" i="6"/>
  <c r="D919" i="6"/>
  <c r="L919" i="6" s="1"/>
  <c r="B919" i="6"/>
  <c r="J919" i="6" s="1"/>
  <c r="C919" i="6"/>
  <c r="K919" i="6" s="1"/>
  <c r="B384" i="6"/>
  <c r="J384" i="6" s="1"/>
  <c r="C384" i="6"/>
  <c r="K384" i="6" s="1"/>
  <c r="D384" i="6"/>
  <c r="L384" i="6" s="1"/>
  <c r="K303" i="6"/>
  <c r="J303" i="6"/>
  <c r="L828" i="6"/>
  <c r="J828" i="6"/>
  <c r="B133" i="6"/>
  <c r="J133" i="6" s="1"/>
  <c r="C133" i="6"/>
  <c r="K133" i="6" s="1"/>
  <c r="D133" i="6"/>
  <c r="L133" i="6" s="1"/>
  <c r="B1078" i="6"/>
  <c r="J1078" i="6" s="1"/>
  <c r="C1078" i="6"/>
  <c r="K1078" i="6" s="1"/>
  <c r="D1078" i="6"/>
  <c r="L1078" i="6" s="1"/>
  <c r="C710" i="6"/>
  <c r="K710" i="6" s="1"/>
  <c r="B710" i="6"/>
  <c r="J710" i="6" s="1"/>
  <c r="D710" i="6"/>
  <c r="L710" i="6" s="1"/>
  <c r="B390" i="6"/>
  <c r="J390" i="6" s="1"/>
  <c r="C390" i="6"/>
  <c r="K390" i="6" s="1"/>
  <c r="D390" i="6"/>
  <c r="L390" i="6" s="1"/>
  <c r="C790" i="6"/>
  <c r="K790" i="6" s="1"/>
  <c r="B790" i="6"/>
  <c r="J790" i="6" s="1"/>
  <c r="D790" i="6"/>
  <c r="L790" i="6" s="1"/>
  <c r="B32" i="6"/>
  <c r="J32" i="6" s="1"/>
  <c r="C32" i="6"/>
  <c r="K32" i="6" s="1"/>
  <c r="D32" i="6"/>
  <c r="L32" i="6" s="1"/>
  <c r="B132" i="6"/>
  <c r="J132" i="6" s="1"/>
  <c r="C132" i="6"/>
  <c r="K132" i="6" s="1"/>
  <c r="D132" i="6"/>
  <c r="L132" i="6" s="1"/>
  <c r="C232" i="6"/>
  <c r="K232" i="6" s="1"/>
  <c r="B232" i="6"/>
  <c r="J232" i="6" s="1"/>
  <c r="D232" i="6"/>
  <c r="L232" i="6" s="1"/>
  <c r="C332" i="6"/>
  <c r="K332" i="6" s="1"/>
  <c r="B332" i="6"/>
  <c r="J332" i="6" s="1"/>
  <c r="D332" i="6"/>
  <c r="L332" i="6" s="1"/>
  <c r="B432" i="6"/>
  <c r="J432" i="6" s="1"/>
  <c r="D432" i="6"/>
  <c r="L432" i="6" s="1"/>
  <c r="C432" i="6"/>
  <c r="K432" i="6" s="1"/>
  <c r="D532" i="6"/>
  <c r="L532" i="6" s="1"/>
  <c r="C532" i="6"/>
  <c r="K532" i="6" s="1"/>
  <c r="B532" i="6"/>
  <c r="J532" i="6" s="1"/>
  <c r="D632" i="6"/>
  <c r="L632" i="6" s="1"/>
  <c r="C632" i="6"/>
  <c r="K632" i="6" s="1"/>
  <c r="B632" i="6"/>
  <c r="J632" i="6" s="1"/>
  <c r="C732" i="6"/>
  <c r="K732" i="6" s="1"/>
  <c r="D732" i="6"/>
  <c r="L732" i="6" s="1"/>
  <c r="B732" i="6"/>
  <c r="J732" i="6" s="1"/>
  <c r="B832" i="6"/>
  <c r="J832" i="6" s="1"/>
  <c r="C832" i="6"/>
  <c r="K832" i="6" s="1"/>
  <c r="D832" i="6"/>
  <c r="L832" i="6" s="1"/>
  <c r="C932" i="6"/>
  <c r="K932" i="6" s="1"/>
  <c r="B932" i="6"/>
  <c r="J932" i="6" s="1"/>
  <c r="D932" i="6"/>
  <c r="L932" i="6" s="1"/>
  <c r="B1032" i="6"/>
  <c r="J1032" i="6" s="1"/>
  <c r="D1032" i="6"/>
  <c r="L1032" i="6" s="1"/>
  <c r="C1032" i="6"/>
  <c r="K1032" i="6" s="1"/>
  <c r="D463" i="6"/>
  <c r="C463" i="6"/>
  <c r="K463" i="6" s="1"/>
  <c r="B463" i="6"/>
  <c r="J31" i="6"/>
  <c r="K31" i="6"/>
  <c r="B1013" i="6"/>
  <c r="J1013" i="6" s="1"/>
  <c r="C1013" i="6"/>
  <c r="K1013" i="6" s="1"/>
  <c r="D1013" i="6"/>
  <c r="L1013" i="6" s="1"/>
  <c r="D215" i="6"/>
  <c r="L215" i="6" s="1"/>
  <c r="B215" i="6"/>
  <c r="J215" i="6" s="1"/>
  <c r="C215" i="6"/>
  <c r="K215" i="6" s="1"/>
  <c r="C715" i="6"/>
  <c r="D715" i="6"/>
  <c r="L715" i="6" s="1"/>
  <c r="B715" i="6"/>
  <c r="J715" i="6" s="1"/>
  <c r="B445" i="6"/>
  <c r="J445" i="6" s="1"/>
  <c r="C445" i="6"/>
  <c r="K445" i="6" s="1"/>
  <c r="D445" i="6"/>
  <c r="L445" i="6" s="1"/>
  <c r="K934" i="6"/>
  <c r="L934" i="6"/>
  <c r="J934" i="6"/>
  <c r="B756" i="6"/>
  <c r="J756" i="6" s="1"/>
  <c r="C756" i="6"/>
  <c r="K756" i="6" s="1"/>
  <c r="D756" i="6"/>
  <c r="L756" i="6" s="1"/>
  <c r="L256" i="6"/>
  <c r="B129" i="6"/>
  <c r="J129" i="6" s="1"/>
  <c r="C129" i="6"/>
  <c r="K129" i="6" s="1"/>
  <c r="D129" i="6"/>
  <c r="L129" i="6" s="1"/>
  <c r="C629" i="6"/>
  <c r="K629" i="6" s="1"/>
  <c r="B629" i="6"/>
  <c r="J629" i="6" s="1"/>
  <c r="D629" i="6"/>
  <c r="L629" i="6" s="1"/>
  <c r="D979" i="6"/>
  <c r="L979" i="6" s="1"/>
  <c r="B979" i="6"/>
  <c r="J979" i="6" s="1"/>
  <c r="C979" i="6"/>
  <c r="K979" i="6" s="1"/>
  <c r="L353" i="6"/>
  <c r="K353" i="6"/>
  <c r="L428" i="6"/>
  <c r="K428" i="6"/>
  <c r="L328" i="6"/>
  <c r="L804" i="6"/>
  <c r="K878" i="6"/>
  <c r="C520" i="6"/>
  <c r="K520" i="6" s="1"/>
  <c r="D520" i="6"/>
  <c r="L520" i="6" s="1"/>
  <c r="B520" i="6"/>
  <c r="J520" i="6" s="1"/>
  <c r="C17" i="6"/>
  <c r="K17" i="6" s="1"/>
  <c r="B17" i="6"/>
  <c r="J17" i="6" s="1"/>
  <c r="D17" i="6"/>
  <c r="L17" i="6" s="1"/>
  <c r="C117" i="6"/>
  <c r="K117" i="6" s="1"/>
  <c r="B117" i="6"/>
  <c r="J117" i="6" s="1"/>
  <c r="D117" i="6"/>
  <c r="L117" i="6" s="1"/>
  <c r="D217" i="6"/>
  <c r="L217" i="6" s="1"/>
  <c r="B217" i="6"/>
  <c r="J217" i="6" s="1"/>
  <c r="C217" i="6"/>
  <c r="K217" i="6" s="1"/>
  <c r="C317" i="6"/>
  <c r="K317" i="6" s="1"/>
  <c r="B317" i="6"/>
  <c r="J317" i="6" s="1"/>
  <c r="D317" i="6"/>
  <c r="L317" i="6" s="1"/>
  <c r="B417" i="6"/>
  <c r="J417" i="6" s="1"/>
  <c r="C417" i="6"/>
  <c r="K417" i="6" s="1"/>
  <c r="D417" i="6"/>
  <c r="L417" i="6" s="1"/>
  <c r="B517" i="6"/>
  <c r="J517" i="6" s="1"/>
  <c r="C517" i="6"/>
  <c r="K517" i="6" s="1"/>
  <c r="D517" i="6"/>
  <c r="L517" i="6" s="1"/>
  <c r="B617" i="6"/>
  <c r="J617" i="6" s="1"/>
  <c r="C617" i="6"/>
  <c r="K617" i="6" s="1"/>
  <c r="D617" i="6"/>
  <c r="L617" i="6" s="1"/>
  <c r="B717" i="6"/>
  <c r="J717" i="6" s="1"/>
  <c r="D717" i="6"/>
  <c r="L717" i="6" s="1"/>
  <c r="C717" i="6"/>
  <c r="K717" i="6" s="1"/>
  <c r="B817" i="6"/>
  <c r="J817" i="6" s="1"/>
  <c r="D817" i="6"/>
  <c r="L817" i="6" s="1"/>
  <c r="C817" i="6"/>
  <c r="K817" i="6" s="1"/>
  <c r="B917" i="6"/>
  <c r="J917" i="6" s="1"/>
  <c r="C917" i="6"/>
  <c r="K917" i="6" s="1"/>
  <c r="D917" i="6"/>
  <c r="L917" i="6" s="1"/>
  <c r="B1017" i="6"/>
  <c r="J1017" i="6" s="1"/>
  <c r="C1017" i="6"/>
  <c r="K1017" i="6" s="1"/>
  <c r="D1017" i="6"/>
  <c r="L1017" i="6" s="1"/>
  <c r="B838" i="6"/>
  <c r="C838" i="6"/>
  <c r="D838" i="6"/>
  <c r="C569" i="6"/>
  <c r="K569" i="6" s="1"/>
  <c r="B569" i="6"/>
  <c r="J569" i="6" s="1"/>
  <c r="D569" i="6"/>
  <c r="L569" i="6" s="1"/>
  <c r="K996" i="6"/>
  <c r="L996" i="6"/>
  <c r="C469" i="6"/>
  <c r="K469" i="6" s="1"/>
  <c r="B469" i="6"/>
  <c r="J469" i="6" s="1"/>
  <c r="D469" i="6"/>
  <c r="L469" i="6" s="1"/>
  <c r="D989" i="6"/>
  <c r="L989" i="6" s="1"/>
  <c r="B989" i="6"/>
  <c r="J989" i="6" s="1"/>
  <c r="C989" i="6"/>
  <c r="K989" i="6" s="1"/>
  <c r="K16" i="6"/>
  <c r="B761" i="6"/>
  <c r="J761" i="6" s="1"/>
  <c r="C761" i="6"/>
  <c r="K761" i="6" s="1"/>
  <c r="D761" i="6"/>
  <c r="L761" i="6" s="1"/>
  <c r="B399" i="6"/>
  <c r="J399" i="6" s="1"/>
  <c r="C399" i="6"/>
  <c r="K399" i="6" s="1"/>
  <c r="D399" i="6"/>
  <c r="L399" i="6" s="1"/>
  <c r="C829" i="6"/>
  <c r="K829" i="6" s="1"/>
  <c r="D829" i="6"/>
  <c r="L829" i="6" s="1"/>
  <c r="B829" i="6"/>
  <c r="J829" i="6" s="1"/>
  <c r="K441" i="6"/>
  <c r="L441" i="6"/>
  <c r="C260" i="6"/>
  <c r="K260" i="6" s="1"/>
  <c r="B260" i="6"/>
  <c r="J260" i="6" s="1"/>
  <c r="D260" i="6"/>
  <c r="L260" i="6" s="1"/>
  <c r="C500" i="6"/>
  <c r="K500" i="6" s="1"/>
  <c r="D500" i="6"/>
  <c r="L500" i="6" s="1"/>
  <c r="B500" i="6"/>
  <c r="B233" i="6"/>
  <c r="J233" i="6" s="1"/>
  <c r="C233" i="6"/>
  <c r="K233" i="6" s="1"/>
  <c r="D233" i="6"/>
  <c r="L233" i="6" s="1"/>
  <c r="B16" i="6"/>
  <c r="J16" i="6" s="1"/>
  <c r="C16" i="6"/>
  <c r="D16" i="6"/>
  <c r="L16" i="6" s="1"/>
  <c r="B116" i="6"/>
  <c r="J116" i="6" s="1"/>
  <c r="C116" i="6"/>
  <c r="K116" i="6" s="1"/>
  <c r="D116" i="6"/>
  <c r="L116" i="6" s="1"/>
  <c r="B216" i="6"/>
  <c r="J216" i="6" s="1"/>
  <c r="D216" i="6"/>
  <c r="L216" i="6" s="1"/>
  <c r="C216" i="6"/>
  <c r="K216" i="6" s="1"/>
  <c r="B316" i="6"/>
  <c r="J316" i="6" s="1"/>
  <c r="C316" i="6"/>
  <c r="K316" i="6" s="1"/>
  <c r="D316" i="6"/>
  <c r="L316" i="6" s="1"/>
  <c r="B416" i="6"/>
  <c r="J416" i="6" s="1"/>
  <c r="C416" i="6"/>
  <c r="K416" i="6" s="1"/>
  <c r="D416" i="6"/>
  <c r="L416" i="6" s="1"/>
  <c r="B516" i="6"/>
  <c r="J516" i="6" s="1"/>
  <c r="C516" i="6"/>
  <c r="K516" i="6" s="1"/>
  <c r="D516" i="6"/>
  <c r="L516" i="6" s="1"/>
  <c r="B616" i="6"/>
  <c r="J616" i="6" s="1"/>
  <c r="C616" i="6"/>
  <c r="D616" i="6"/>
  <c r="B816" i="6"/>
  <c r="J816" i="6" s="1"/>
  <c r="C816" i="6"/>
  <c r="K816" i="6" s="1"/>
  <c r="D816" i="6"/>
  <c r="L816" i="6" s="1"/>
  <c r="B1018" i="6"/>
  <c r="J1018" i="6" s="1"/>
  <c r="D1018" i="6"/>
  <c r="L1018" i="6" s="1"/>
  <c r="C1018" i="6"/>
  <c r="K1018" i="6" s="1"/>
  <c r="B791" i="6"/>
  <c r="J791" i="6" s="1"/>
  <c r="C791" i="6"/>
  <c r="K791" i="6" s="1"/>
  <c r="D791" i="6"/>
  <c r="L791" i="6" s="1"/>
  <c r="B1001" i="6"/>
  <c r="J1001" i="6" s="1"/>
  <c r="C1001" i="6"/>
  <c r="K1001" i="6" s="1"/>
  <c r="D1001" i="6"/>
  <c r="L498" i="6"/>
  <c r="L698" i="6"/>
  <c r="L1048" i="6"/>
  <c r="B27" i="6"/>
  <c r="J27" i="6" s="1"/>
  <c r="C27" i="6"/>
  <c r="K27" i="6" s="1"/>
  <c r="D27" i="6"/>
  <c r="L27" i="6" s="1"/>
  <c r="B127" i="6"/>
  <c r="J127" i="6" s="1"/>
  <c r="D127" i="6"/>
  <c r="L127" i="6" s="1"/>
  <c r="C127" i="6"/>
  <c r="K127" i="6" s="1"/>
  <c r="B227" i="6"/>
  <c r="J227" i="6" s="1"/>
  <c r="C227" i="6"/>
  <c r="K227" i="6" s="1"/>
  <c r="D227" i="6"/>
  <c r="L227" i="6" s="1"/>
  <c r="B327" i="6"/>
  <c r="J327" i="6" s="1"/>
  <c r="C327" i="6"/>
  <c r="K327" i="6" s="1"/>
  <c r="D327" i="6"/>
  <c r="L327" i="6" s="1"/>
  <c r="B427" i="6"/>
  <c r="J427" i="6" s="1"/>
  <c r="C427" i="6"/>
  <c r="K427" i="6" s="1"/>
  <c r="D427" i="6"/>
  <c r="L427" i="6" s="1"/>
  <c r="B527" i="6"/>
  <c r="J527" i="6" s="1"/>
  <c r="C527" i="6"/>
  <c r="K527" i="6" s="1"/>
  <c r="D527" i="6"/>
  <c r="L527" i="6" s="1"/>
  <c r="B627" i="6"/>
  <c r="J627" i="6" s="1"/>
  <c r="C627" i="6"/>
  <c r="K627" i="6" s="1"/>
  <c r="D627" i="6"/>
  <c r="L627" i="6" s="1"/>
  <c r="B727" i="6"/>
  <c r="J727" i="6" s="1"/>
  <c r="C727" i="6"/>
  <c r="K727" i="6" s="1"/>
  <c r="D727" i="6"/>
  <c r="L727" i="6" s="1"/>
  <c r="B827" i="6"/>
  <c r="J827" i="6" s="1"/>
  <c r="C827" i="6"/>
  <c r="K827" i="6" s="1"/>
  <c r="D827" i="6"/>
  <c r="L827" i="6" s="1"/>
  <c r="B927" i="6"/>
  <c r="J927" i="6" s="1"/>
  <c r="C927" i="6"/>
  <c r="K927" i="6" s="1"/>
  <c r="D927" i="6"/>
  <c r="L927" i="6" s="1"/>
  <c r="B1027" i="6"/>
  <c r="J1027" i="6" s="1"/>
  <c r="C1027" i="6"/>
  <c r="K1027" i="6" s="1"/>
  <c r="D1027" i="6"/>
  <c r="L1027" i="6" s="1"/>
  <c r="D783" i="6"/>
  <c r="L783" i="6" s="1"/>
  <c r="B783" i="6"/>
  <c r="J783" i="6" s="1"/>
  <c r="C783" i="6"/>
  <c r="K783" i="6" s="1"/>
  <c r="C69" i="6"/>
  <c r="K69" i="6" s="1"/>
  <c r="D69" i="6"/>
  <c r="L69" i="6" s="1"/>
  <c r="B69" i="6"/>
  <c r="J69" i="6" s="1"/>
  <c r="D848" i="6"/>
  <c r="L848" i="6" s="1"/>
  <c r="B848" i="6"/>
  <c r="J848" i="6" s="1"/>
  <c r="C848" i="6"/>
  <c r="K848" i="6" s="1"/>
  <c r="K400" i="6"/>
  <c r="D493" i="6"/>
  <c r="L493" i="6" s="1"/>
  <c r="B493" i="6"/>
  <c r="J493" i="6" s="1"/>
  <c r="C493" i="6"/>
  <c r="K493" i="6" s="1"/>
  <c r="B200" i="6"/>
  <c r="J200" i="6" s="1"/>
  <c r="C200" i="6"/>
  <c r="K200" i="6" s="1"/>
  <c r="D200" i="6"/>
  <c r="L200" i="6" s="1"/>
  <c r="B102" i="6"/>
  <c r="J102" i="6" s="1"/>
  <c r="D102" i="6"/>
  <c r="L102" i="6" s="1"/>
  <c r="C102" i="6"/>
  <c r="K102" i="6" s="1"/>
  <c r="C202" i="6"/>
  <c r="K202" i="6" s="1"/>
  <c r="B202" i="6"/>
  <c r="J202" i="6" s="1"/>
  <c r="D202" i="6"/>
  <c r="L202" i="6" s="1"/>
  <c r="C302" i="6"/>
  <c r="K302" i="6" s="1"/>
  <c r="D302" i="6"/>
  <c r="L302" i="6" s="1"/>
  <c r="B302" i="6"/>
  <c r="J302" i="6" s="1"/>
  <c r="C402" i="6"/>
  <c r="K402" i="6" s="1"/>
  <c r="B402" i="6"/>
  <c r="J402" i="6" s="1"/>
  <c r="D402" i="6"/>
  <c r="L402" i="6" s="1"/>
  <c r="D502" i="6"/>
  <c r="L502" i="6" s="1"/>
  <c r="B502" i="6"/>
  <c r="J502" i="6" s="1"/>
  <c r="C502" i="6"/>
  <c r="K502" i="6" s="1"/>
  <c r="D602" i="6"/>
  <c r="L602" i="6" s="1"/>
  <c r="B602" i="6"/>
  <c r="J602" i="6" s="1"/>
  <c r="C602" i="6"/>
  <c r="K602" i="6" s="1"/>
  <c r="D702" i="6"/>
  <c r="L702" i="6" s="1"/>
  <c r="B702" i="6"/>
  <c r="J702" i="6" s="1"/>
  <c r="C702" i="6"/>
  <c r="K702" i="6" s="1"/>
  <c r="B802" i="6"/>
  <c r="J802" i="6" s="1"/>
  <c r="D802" i="6"/>
  <c r="L802" i="6" s="1"/>
  <c r="C802" i="6"/>
  <c r="K802" i="6" s="1"/>
  <c r="C902" i="6"/>
  <c r="K902" i="6" s="1"/>
  <c r="B902" i="6"/>
  <c r="J902" i="6" s="1"/>
  <c r="D902" i="6"/>
  <c r="L902" i="6" s="1"/>
  <c r="C1002" i="6"/>
  <c r="K1002" i="6" s="1"/>
  <c r="B1002" i="6"/>
  <c r="J1002" i="6" s="1"/>
  <c r="D1002" i="6"/>
  <c r="L1002" i="6" s="1"/>
  <c r="C998" i="6"/>
  <c r="K998" i="6" s="1"/>
  <c r="B998" i="6"/>
  <c r="J998" i="6" s="1"/>
  <c r="D998" i="6"/>
  <c r="L998" i="6" s="1"/>
  <c r="K1051" i="6"/>
  <c r="B1065" i="6"/>
  <c r="J1065" i="6" s="1"/>
  <c r="C1065" i="6"/>
  <c r="K1065" i="6" s="1"/>
  <c r="D1065" i="6"/>
  <c r="L1065" i="6" s="1"/>
  <c r="C155" i="6"/>
  <c r="B155" i="6"/>
  <c r="J155" i="6" s="1"/>
  <c r="D155" i="6"/>
  <c r="K395" i="6"/>
  <c r="B695" i="6"/>
  <c r="C695" i="6"/>
  <c r="D695" i="6"/>
  <c r="B121" i="6"/>
  <c r="J121" i="6" s="1"/>
  <c r="C121" i="6"/>
  <c r="K121" i="6" s="1"/>
  <c r="D121" i="6"/>
  <c r="L121" i="6" s="1"/>
  <c r="J56" i="6"/>
  <c r="D39" i="6"/>
  <c r="L39" i="6" s="1"/>
  <c r="C39" i="6"/>
  <c r="K39" i="6" s="1"/>
  <c r="B39" i="6"/>
  <c r="J39" i="6" s="1"/>
  <c r="C529" i="6"/>
  <c r="K529" i="6" s="1"/>
  <c r="B529" i="6"/>
  <c r="J529" i="6" s="1"/>
  <c r="D529" i="6"/>
  <c r="L529" i="6" s="1"/>
  <c r="D859" i="6"/>
  <c r="L859" i="6" s="1"/>
  <c r="B859" i="6"/>
  <c r="J859" i="6" s="1"/>
  <c r="C859" i="6"/>
  <c r="K859" i="6" s="1"/>
  <c r="B29" i="6"/>
  <c r="J29" i="6" s="1"/>
  <c r="C29" i="6"/>
  <c r="K29" i="6" s="1"/>
  <c r="D29" i="6"/>
  <c r="L29" i="6" s="1"/>
  <c r="C449" i="6"/>
  <c r="K449" i="6" s="1"/>
  <c r="B449" i="6"/>
  <c r="J449" i="6" s="1"/>
  <c r="D449" i="6"/>
  <c r="L449" i="6" s="1"/>
  <c r="D869" i="6"/>
  <c r="L869" i="6" s="1"/>
  <c r="B869" i="6"/>
  <c r="J869" i="6" s="1"/>
  <c r="C869" i="6"/>
  <c r="K869" i="6" s="1"/>
  <c r="B739" i="6"/>
  <c r="J739" i="6" s="1"/>
  <c r="D739" i="6"/>
  <c r="L739" i="6" s="1"/>
  <c r="C739" i="6"/>
  <c r="K739" i="6" s="1"/>
  <c r="C105" i="6"/>
  <c r="K105" i="6" s="1"/>
  <c r="B105" i="6"/>
  <c r="J105" i="6" s="1"/>
  <c r="D105" i="6"/>
  <c r="L105" i="6" s="1"/>
  <c r="B426" i="6"/>
  <c r="J426" i="6" s="1"/>
  <c r="C426" i="6"/>
  <c r="K426" i="6" s="1"/>
  <c r="D426" i="6"/>
  <c r="L426" i="6" s="1"/>
  <c r="C1035" i="6"/>
  <c r="K1035" i="6" s="1"/>
  <c r="D1035" i="6"/>
  <c r="L1035" i="6" s="1"/>
  <c r="B1035" i="6"/>
  <c r="B240" i="6"/>
  <c r="J240" i="6" s="1"/>
  <c r="C240" i="6"/>
  <c r="K240" i="6" s="1"/>
  <c r="D240" i="6"/>
  <c r="L240" i="6" s="1"/>
  <c r="D350" i="6"/>
  <c r="L350" i="6" s="1"/>
  <c r="B350" i="6"/>
  <c r="J350" i="6" s="1"/>
  <c r="C350" i="6"/>
  <c r="K350" i="6" s="1"/>
  <c r="C590" i="6"/>
  <c r="K590" i="6" s="1"/>
  <c r="B590" i="6"/>
  <c r="J590" i="6" s="1"/>
  <c r="D590" i="6"/>
  <c r="C690" i="6"/>
  <c r="B690" i="6"/>
  <c r="D690" i="6"/>
  <c r="D443" i="6"/>
  <c r="L443" i="6" s="1"/>
  <c r="B443" i="6"/>
  <c r="J443" i="6" s="1"/>
  <c r="C443" i="6"/>
  <c r="K443" i="6" s="1"/>
  <c r="D523" i="6"/>
  <c r="L523" i="6" s="1"/>
  <c r="C523" i="6"/>
  <c r="K523" i="6" s="1"/>
  <c r="B523" i="6"/>
  <c r="J523" i="6" s="1"/>
  <c r="B126" i="6"/>
  <c r="C126" i="6"/>
  <c r="D126" i="6"/>
  <c r="C226" i="6"/>
  <c r="K226" i="6" s="1"/>
  <c r="D226" i="6"/>
  <c r="L226" i="6" s="1"/>
  <c r="B226" i="6"/>
  <c r="J226" i="6" s="1"/>
  <c r="C326" i="6"/>
  <c r="K326" i="6" s="1"/>
  <c r="D326" i="6"/>
  <c r="B326" i="6"/>
  <c r="B526" i="6"/>
  <c r="C526" i="6"/>
  <c r="K526" i="6" s="1"/>
  <c r="D526" i="6"/>
  <c r="L526" i="6" s="1"/>
  <c r="B626" i="6"/>
  <c r="D626" i="6"/>
  <c r="C626" i="6"/>
  <c r="K626" i="6" s="1"/>
  <c r="C726" i="6"/>
  <c r="D726" i="6"/>
  <c r="L726" i="6" s="1"/>
  <c r="B726" i="6"/>
  <c r="J726" i="6" s="1"/>
  <c r="B1083" i="6"/>
  <c r="J1083" i="6" s="1"/>
  <c r="C1083" i="6"/>
  <c r="K1083" i="6" s="1"/>
  <c r="D1083" i="6"/>
  <c r="L1083" i="6" s="1"/>
  <c r="D851" i="6"/>
  <c r="C851" i="6"/>
  <c r="B851" i="6"/>
  <c r="B1051" i="6"/>
  <c r="C1051" i="6"/>
  <c r="D1051" i="6"/>
  <c r="D611" i="6"/>
  <c r="L611" i="6" s="1"/>
  <c r="B611" i="6"/>
  <c r="J611" i="6" s="1"/>
  <c r="C611" i="6"/>
  <c r="K611" i="6" s="1"/>
  <c r="B1031" i="6"/>
  <c r="C1031" i="6"/>
  <c r="D1031" i="6"/>
  <c r="L578" i="6"/>
  <c r="K208" i="6"/>
  <c r="K508" i="6"/>
  <c r="K778" i="6"/>
  <c r="B37" i="6"/>
  <c r="J37" i="6" s="1"/>
  <c r="C37" i="6"/>
  <c r="K37" i="6" s="1"/>
  <c r="D37" i="6"/>
  <c r="L37" i="6" s="1"/>
  <c r="B137" i="6"/>
  <c r="J137" i="6" s="1"/>
  <c r="C137" i="6"/>
  <c r="K137" i="6" s="1"/>
  <c r="D137" i="6"/>
  <c r="L137" i="6" s="1"/>
  <c r="B237" i="6"/>
  <c r="J237" i="6" s="1"/>
  <c r="C237" i="6"/>
  <c r="K237" i="6" s="1"/>
  <c r="D237" i="6"/>
  <c r="L237" i="6" s="1"/>
  <c r="C337" i="6"/>
  <c r="K337" i="6" s="1"/>
  <c r="D337" i="6"/>
  <c r="L337" i="6" s="1"/>
  <c r="B337" i="6"/>
  <c r="J337" i="6" s="1"/>
  <c r="B437" i="6"/>
  <c r="J437" i="6" s="1"/>
  <c r="C437" i="6"/>
  <c r="K437" i="6" s="1"/>
  <c r="D437" i="6"/>
  <c r="L437" i="6" s="1"/>
  <c r="B537" i="6"/>
  <c r="J537" i="6" s="1"/>
  <c r="C537" i="6"/>
  <c r="K537" i="6" s="1"/>
  <c r="D537" i="6"/>
  <c r="L537" i="6" s="1"/>
  <c r="B637" i="6"/>
  <c r="J637" i="6" s="1"/>
  <c r="C637" i="6"/>
  <c r="K637" i="6" s="1"/>
  <c r="D637" i="6"/>
  <c r="L637" i="6" s="1"/>
  <c r="B737" i="6"/>
  <c r="J737" i="6" s="1"/>
  <c r="D737" i="6"/>
  <c r="L737" i="6" s="1"/>
  <c r="C737" i="6"/>
  <c r="K737" i="6" s="1"/>
  <c r="B837" i="6"/>
  <c r="J837" i="6" s="1"/>
  <c r="D837" i="6"/>
  <c r="L837" i="6" s="1"/>
  <c r="C837" i="6"/>
  <c r="K837" i="6" s="1"/>
  <c r="B937" i="6"/>
  <c r="J937" i="6" s="1"/>
  <c r="C937" i="6"/>
  <c r="K937" i="6" s="1"/>
  <c r="D937" i="6"/>
  <c r="L937" i="6" s="1"/>
  <c r="B1037" i="6"/>
  <c r="J1037" i="6" s="1"/>
  <c r="C1037" i="6"/>
  <c r="K1037" i="6" s="1"/>
  <c r="D1037" i="6"/>
  <c r="L1037" i="6" s="1"/>
  <c r="C988" i="6"/>
  <c r="K988" i="6" s="1"/>
  <c r="B988" i="6"/>
  <c r="D988" i="6"/>
  <c r="K1086" i="6"/>
  <c r="B119" i="6"/>
  <c r="J119" i="6" s="1"/>
  <c r="D119" i="6"/>
  <c r="L119" i="6" s="1"/>
  <c r="C119" i="6"/>
  <c r="K119" i="6" s="1"/>
  <c r="B953" i="6"/>
  <c r="J953" i="6" s="1"/>
  <c r="C953" i="6"/>
  <c r="K953" i="6" s="1"/>
  <c r="D953" i="6"/>
  <c r="L953" i="6" s="1"/>
  <c r="C510" i="6"/>
  <c r="K510" i="6" s="1"/>
  <c r="D510" i="6"/>
  <c r="L510" i="6" s="1"/>
  <c r="B510" i="6"/>
  <c r="J510" i="6" s="1"/>
  <c r="B290" i="6"/>
  <c r="J290" i="6" s="1"/>
  <c r="D290" i="6"/>
  <c r="C290" i="6"/>
  <c r="J700" i="6"/>
  <c r="B12" i="6"/>
  <c r="J12" i="6" s="1"/>
  <c r="C12" i="6"/>
  <c r="K12" i="6" s="1"/>
  <c r="D12" i="6"/>
  <c r="L12" i="6" s="1"/>
  <c r="B112" i="6"/>
  <c r="J112" i="6" s="1"/>
  <c r="C112" i="6"/>
  <c r="K112" i="6" s="1"/>
  <c r="D112" i="6"/>
  <c r="L112" i="6" s="1"/>
  <c r="C212" i="6"/>
  <c r="K212" i="6" s="1"/>
  <c r="B212" i="6"/>
  <c r="J212" i="6" s="1"/>
  <c r="D212" i="6"/>
  <c r="L212" i="6" s="1"/>
  <c r="C312" i="6"/>
  <c r="K312" i="6" s="1"/>
  <c r="B312" i="6"/>
  <c r="J312" i="6" s="1"/>
  <c r="D312" i="6"/>
  <c r="L312" i="6" s="1"/>
  <c r="C412" i="6"/>
  <c r="K412" i="6" s="1"/>
  <c r="B412" i="6"/>
  <c r="J412" i="6" s="1"/>
  <c r="D412" i="6"/>
  <c r="L412" i="6" s="1"/>
  <c r="D512" i="6"/>
  <c r="L512" i="6" s="1"/>
  <c r="C512" i="6"/>
  <c r="K512" i="6" s="1"/>
  <c r="B512" i="6"/>
  <c r="J512" i="6" s="1"/>
  <c r="D612" i="6"/>
  <c r="L612" i="6" s="1"/>
  <c r="B612" i="6"/>
  <c r="J612" i="6" s="1"/>
  <c r="C612" i="6"/>
  <c r="K612" i="6" s="1"/>
  <c r="B712" i="6"/>
  <c r="J712" i="6" s="1"/>
  <c r="C712" i="6"/>
  <c r="K712" i="6" s="1"/>
  <c r="D712" i="6"/>
  <c r="L712" i="6" s="1"/>
  <c r="B812" i="6"/>
  <c r="J812" i="6" s="1"/>
  <c r="C812" i="6"/>
  <c r="K812" i="6" s="1"/>
  <c r="D812" i="6"/>
  <c r="L812" i="6" s="1"/>
  <c r="C912" i="6"/>
  <c r="K912" i="6" s="1"/>
  <c r="D912" i="6"/>
  <c r="L912" i="6" s="1"/>
  <c r="B912" i="6"/>
  <c r="J912" i="6" s="1"/>
  <c r="B1012" i="6"/>
  <c r="J1012" i="6" s="1"/>
  <c r="D1012" i="6"/>
  <c r="L1012" i="6" s="1"/>
  <c r="C1012" i="6"/>
  <c r="K1012" i="6" s="1"/>
  <c r="K1071" i="6"/>
  <c r="D1068" i="6"/>
  <c r="L1068" i="6" s="1"/>
  <c r="B1068" i="6"/>
  <c r="J1068" i="6" s="1"/>
  <c r="C1068" i="6"/>
  <c r="K1068" i="6" s="1"/>
  <c r="K851" i="6"/>
  <c r="J961" i="6"/>
  <c r="B913" i="6"/>
  <c r="J913" i="6" s="1"/>
  <c r="C913" i="6"/>
  <c r="D913" i="6"/>
  <c r="L913" i="6" s="1"/>
  <c r="C15" i="6"/>
  <c r="K15" i="6" s="1"/>
  <c r="B15" i="6"/>
  <c r="D15" i="6"/>
  <c r="L155" i="6"/>
  <c r="D395" i="6"/>
  <c r="B395" i="6"/>
  <c r="J395" i="6" s="1"/>
  <c r="C395" i="6"/>
  <c r="K695" i="6"/>
  <c r="C159" i="6"/>
  <c r="K159" i="6" s="1"/>
  <c r="D159" i="6"/>
  <c r="L159" i="6" s="1"/>
  <c r="B159" i="6"/>
  <c r="J159" i="6" s="1"/>
  <c r="J1034" i="6"/>
  <c r="K156" i="6"/>
  <c r="B59" i="6"/>
  <c r="J59" i="6" s="1"/>
  <c r="C59" i="6"/>
  <c r="K59" i="6" s="1"/>
  <c r="D59" i="6"/>
  <c r="L59" i="6" s="1"/>
  <c r="C559" i="6"/>
  <c r="K559" i="6" s="1"/>
  <c r="B559" i="6"/>
  <c r="J559" i="6" s="1"/>
  <c r="D559" i="6"/>
  <c r="L559" i="6" s="1"/>
  <c r="D879" i="6"/>
  <c r="L879" i="6" s="1"/>
  <c r="B879" i="6"/>
  <c r="J879" i="6" s="1"/>
  <c r="C879" i="6"/>
  <c r="K879" i="6" s="1"/>
  <c r="B89" i="6"/>
  <c r="J89" i="6" s="1"/>
  <c r="C89" i="6"/>
  <c r="K89" i="6" s="1"/>
  <c r="D89" i="6"/>
  <c r="L89" i="6" s="1"/>
  <c r="B79" i="6"/>
  <c r="J79" i="6" s="1"/>
  <c r="C79" i="6"/>
  <c r="K79" i="6" s="1"/>
  <c r="D79" i="6"/>
  <c r="L79" i="6" s="1"/>
  <c r="C489" i="6"/>
  <c r="K489" i="6" s="1"/>
  <c r="B489" i="6"/>
  <c r="J489" i="6" s="1"/>
  <c r="D489" i="6"/>
  <c r="L489" i="6" s="1"/>
  <c r="D899" i="6"/>
  <c r="L899" i="6" s="1"/>
  <c r="B899" i="6"/>
  <c r="J899" i="6" s="1"/>
  <c r="C899" i="6"/>
  <c r="K899" i="6" s="1"/>
  <c r="D909" i="6"/>
  <c r="L909" i="6" s="1"/>
  <c r="B909" i="6"/>
  <c r="J909" i="6" s="1"/>
  <c r="C909" i="6"/>
  <c r="K909" i="6" s="1"/>
  <c r="C509" i="6"/>
  <c r="K509" i="6" s="1"/>
  <c r="B509" i="6"/>
  <c r="J509" i="6" s="1"/>
  <c r="D509" i="6"/>
  <c r="L509" i="6" s="1"/>
  <c r="L549" i="6"/>
  <c r="J49" i="6"/>
  <c r="C589" i="6"/>
  <c r="K589" i="6" s="1"/>
  <c r="B589" i="6"/>
  <c r="J589" i="6" s="1"/>
  <c r="D589" i="6"/>
  <c r="L589" i="6" s="1"/>
  <c r="K1045" i="6"/>
  <c r="B250" i="6"/>
  <c r="J250" i="6" s="1"/>
  <c r="C250" i="6"/>
  <c r="K250" i="6" s="1"/>
  <c r="D250" i="6"/>
  <c r="L250" i="6" s="1"/>
  <c r="C490" i="6"/>
  <c r="K490" i="6" s="1"/>
  <c r="D490" i="6"/>
  <c r="L490" i="6" s="1"/>
  <c r="B490" i="6"/>
  <c r="J490" i="6" s="1"/>
  <c r="C600" i="6"/>
  <c r="B600" i="6"/>
  <c r="J600" i="6" s="1"/>
  <c r="D600" i="6"/>
  <c r="L600" i="6" s="1"/>
  <c r="B33" i="6"/>
  <c r="J33" i="6" s="1"/>
  <c r="C33" i="6"/>
  <c r="K33" i="6" s="1"/>
  <c r="D33" i="6"/>
  <c r="L33" i="6" s="1"/>
  <c r="B283" i="6"/>
  <c r="J283" i="6" s="1"/>
  <c r="C283" i="6"/>
  <c r="K283" i="6" s="1"/>
  <c r="D283" i="6"/>
  <c r="L283" i="6" s="1"/>
  <c r="D623" i="6"/>
  <c r="L623" i="6" s="1"/>
  <c r="B623" i="6"/>
  <c r="J623" i="6" s="1"/>
  <c r="C623" i="6"/>
  <c r="K623" i="6" s="1"/>
  <c r="B36" i="6"/>
  <c r="J36" i="6" s="1"/>
  <c r="D36" i="6"/>
  <c r="C36" i="6"/>
  <c r="K36" i="6" s="1"/>
  <c r="B136" i="6"/>
  <c r="C136" i="6"/>
  <c r="D136" i="6"/>
  <c r="B236" i="6"/>
  <c r="C236" i="6"/>
  <c r="D236" i="6"/>
  <c r="B336" i="6"/>
  <c r="J336" i="6" s="1"/>
  <c r="C336" i="6"/>
  <c r="K336" i="6" s="1"/>
  <c r="D336" i="6"/>
  <c r="L336" i="6" s="1"/>
  <c r="B436" i="6"/>
  <c r="C436" i="6"/>
  <c r="D436" i="6"/>
  <c r="B536" i="6"/>
  <c r="D536" i="6"/>
  <c r="C536" i="6"/>
  <c r="B636" i="6"/>
  <c r="D636" i="6"/>
  <c r="C636" i="6"/>
  <c r="B736" i="6"/>
  <c r="J736" i="6" s="1"/>
  <c r="C736" i="6"/>
  <c r="K736" i="6" s="1"/>
  <c r="D736" i="6"/>
  <c r="L736" i="6" s="1"/>
  <c r="B901" i="6"/>
  <c r="J901" i="6" s="1"/>
  <c r="C901" i="6"/>
  <c r="K901" i="6" s="1"/>
  <c r="D901" i="6"/>
  <c r="L901" i="6" s="1"/>
  <c r="B751" i="6"/>
  <c r="J751" i="6" s="1"/>
  <c r="C751" i="6"/>
  <c r="K751" i="6" s="1"/>
  <c r="D751" i="6"/>
  <c r="L751" i="6" s="1"/>
  <c r="B651" i="6"/>
  <c r="D651" i="6"/>
  <c r="L651" i="6" s="1"/>
  <c r="C651" i="6"/>
  <c r="B641" i="6"/>
  <c r="J641" i="6" s="1"/>
  <c r="C641" i="6"/>
  <c r="K641" i="6" s="1"/>
  <c r="D641" i="6"/>
  <c r="L641" i="6" s="1"/>
  <c r="B1091" i="6"/>
  <c r="J1091" i="6" s="1"/>
  <c r="C1091" i="6"/>
  <c r="K1091" i="6" s="1"/>
  <c r="D1091" i="6"/>
  <c r="L1091" i="6" s="1"/>
  <c r="D999" i="6"/>
  <c r="L999" i="6" s="1"/>
  <c r="B999" i="6"/>
  <c r="J999" i="6" s="1"/>
  <c r="C999" i="6"/>
  <c r="K999" i="6" s="1"/>
  <c r="D1029" i="6"/>
  <c r="L1029" i="6" s="1"/>
  <c r="B1029" i="6"/>
  <c r="J1029" i="6" s="1"/>
  <c r="C1029" i="6"/>
  <c r="K1029" i="6" s="1"/>
  <c r="J986" i="6"/>
  <c r="L590" i="6"/>
  <c r="B67" i="6"/>
  <c r="J67" i="6" s="1"/>
  <c r="C67" i="6"/>
  <c r="K67" i="6" s="1"/>
  <c r="D67" i="6"/>
  <c r="L67" i="6" s="1"/>
  <c r="B167" i="6"/>
  <c r="J167" i="6" s="1"/>
  <c r="D167" i="6"/>
  <c r="L167" i="6" s="1"/>
  <c r="C167" i="6"/>
  <c r="K167" i="6" s="1"/>
  <c r="D267" i="6"/>
  <c r="L267" i="6" s="1"/>
  <c r="C267" i="6"/>
  <c r="K267" i="6" s="1"/>
  <c r="B267" i="6"/>
  <c r="J267" i="6" s="1"/>
  <c r="B367" i="6"/>
  <c r="J367" i="6" s="1"/>
  <c r="C367" i="6"/>
  <c r="K367" i="6" s="1"/>
  <c r="D367" i="6"/>
  <c r="L367" i="6" s="1"/>
  <c r="B467" i="6"/>
  <c r="J467" i="6" s="1"/>
  <c r="C467" i="6"/>
  <c r="K467" i="6" s="1"/>
  <c r="D467" i="6"/>
  <c r="L467" i="6" s="1"/>
  <c r="B567" i="6"/>
  <c r="J567" i="6" s="1"/>
  <c r="C567" i="6"/>
  <c r="K567" i="6" s="1"/>
  <c r="D567" i="6"/>
  <c r="L567" i="6" s="1"/>
  <c r="B667" i="6"/>
  <c r="J667" i="6" s="1"/>
  <c r="C667" i="6"/>
  <c r="K667" i="6" s="1"/>
  <c r="D667" i="6"/>
  <c r="L667" i="6" s="1"/>
  <c r="B767" i="6"/>
  <c r="J767" i="6" s="1"/>
  <c r="C767" i="6"/>
  <c r="K767" i="6" s="1"/>
  <c r="D767" i="6"/>
  <c r="L767" i="6" s="1"/>
  <c r="B867" i="6"/>
  <c r="J867" i="6" s="1"/>
  <c r="C867" i="6"/>
  <c r="K867" i="6" s="1"/>
  <c r="D867" i="6"/>
  <c r="L867" i="6" s="1"/>
  <c r="B967" i="6"/>
  <c r="J967" i="6" s="1"/>
  <c r="C967" i="6"/>
  <c r="K967" i="6" s="1"/>
  <c r="D967" i="6"/>
  <c r="L967" i="6" s="1"/>
  <c r="B1067" i="6"/>
  <c r="J1067" i="6" s="1"/>
  <c r="C1067" i="6"/>
  <c r="K1067" i="6" s="1"/>
  <c r="D1067" i="6"/>
  <c r="L1067" i="6" s="1"/>
  <c r="C169" i="6"/>
  <c r="K169" i="6" s="1"/>
  <c r="B169" i="6"/>
  <c r="J169" i="6" s="1"/>
  <c r="D169" i="6"/>
  <c r="L169" i="6" s="1"/>
  <c r="L796" i="6"/>
  <c r="B888" i="6"/>
  <c r="J888" i="6" s="1"/>
  <c r="C888" i="6"/>
  <c r="K888" i="6" s="1"/>
  <c r="D888" i="6"/>
  <c r="L888" i="6" s="1"/>
  <c r="B23" i="6"/>
  <c r="J23" i="6" s="1"/>
  <c r="C23" i="6"/>
  <c r="K23" i="6" s="1"/>
  <c r="D23" i="6"/>
  <c r="L23" i="6" s="1"/>
  <c r="D293" i="6"/>
  <c r="L293" i="6" s="1"/>
  <c r="B293" i="6"/>
  <c r="J293" i="6" s="1"/>
  <c r="C293" i="6"/>
  <c r="K293" i="6" s="1"/>
  <c r="D773" i="6"/>
  <c r="L773" i="6" s="1"/>
  <c r="B773" i="6"/>
  <c r="J773" i="6" s="1"/>
  <c r="C773" i="6"/>
  <c r="K773" i="6" s="1"/>
  <c r="B42" i="6"/>
  <c r="J42" i="6" s="1"/>
  <c r="C42" i="6"/>
  <c r="K42" i="6" s="1"/>
  <c r="D42" i="6"/>
  <c r="L42" i="6" s="1"/>
  <c r="B142" i="6"/>
  <c r="J142" i="6" s="1"/>
  <c r="C142" i="6"/>
  <c r="K142" i="6" s="1"/>
  <c r="D142" i="6"/>
  <c r="L142" i="6" s="1"/>
  <c r="C242" i="6"/>
  <c r="K242" i="6" s="1"/>
  <c r="B242" i="6"/>
  <c r="J242" i="6" s="1"/>
  <c r="D242" i="6"/>
  <c r="L242" i="6" s="1"/>
  <c r="C342" i="6"/>
  <c r="K342" i="6" s="1"/>
  <c r="B342" i="6"/>
  <c r="J342" i="6" s="1"/>
  <c r="D342" i="6"/>
  <c r="L342" i="6" s="1"/>
  <c r="B442" i="6"/>
  <c r="J442" i="6" s="1"/>
  <c r="D442" i="6"/>
  <c r="L442" i="6" s="1"/>
  <c r="C442" i="6"/>
  <c r="K442" i="6" s="1"/>
  <c r="D542" i="6"/>
  <c r="L542" i="6" s="1"/>
  <c r="B542" i="6"/>
  <c r="J542" i="6" s="1"/>
  <c r="C542" i="6"/>
  <c r="K542" i="6" s="1"/>
  <c r="D642" i="6"/>
  <c r="L642" i="6" s="1"/>
  <c r="B642" i="6"/>
  <c r="J642" i="6" s="1"/>
  <c r="C642" i="6"/>
  <c r="K642" i="6" s="1"/>
  <c r="B742" i="6"/>
  <c r="J742" i="6" s="1"/>
  <c r="C742" i="6"/>
  <c r="K742" i="6" s="1"/>
  <c r="D742" i="6"/>
  <c r="L742" i="6" s="1"/>
  <c r="B842" i="6"/>
  <c r="J842" i="6" s="1"/>
  <c r="C842" i="6"/>
  <c r="K842" i="6" s="1"/>
  <c r="D842" i="6"/>
  <c r="L842" i="6" s="1"/>
  <c r="C942" i="6"/>
  <c r="K942" i="6" s="1"/>
  <c r="B942" i="6"/>
  <c r="J942" i="6" s="1"/>
  <c r="D942" i="6"/>
  <c r="L942" i="6" s="1"/>
  <c r="B1042" i="6"/>
  <c r="J1042" i="6" s="1"/>
  <c r="C1042" i="6"/>
  <c r="K1042" i="6" s="1"/>
  <c r="D1042" i="6"/>
  <c r="L1042" i="6" s="1"/>
  <c r="L881" i="6"/>
  <c r="L466" i="6"/>
  <c r="J235" i="6"/>
  <c r="B515" i="6"/>
  <c r="J515" i="6" s="1"/>
  <c r="D515" i="6"/>
  <c r="L515" i="6" s="1"/>
  <c r="C515" i="6"/>
  <c r="K515" i="6" s="1"/>
  <c r="B765" i="6"/>
  <c r="J765" i="6" s="1"/>
  <c r="D765" i="6"/>
  <c r="L765" i="6" s="1"/>
  <c r="C765" i="6"/>
  <c r="K765" i="6" s="1"/>
  <c r="C639" i="6"/>
  <c r="K639" i="6" s="1"/>
  <c r="B639" i="6"/>
  <c r="J639" i="6" s="1"/>
  <c r="D639" i="6"/>
  <c r="L639" i="6" s="1"/>
  <c r="J824" i="6"/>
  <c r="D945" i="6"/>
  <c r="L945" i="6" s="1"/>
  <c r="B945" i="6"/>
  <c r="J945" i="6" s="1"/>
  <c r="C945" i="6"/>
  <c r="K945" i="6" s="1"/>
  <c r="B199" i="6"/>
  <c r="J199" i="6" s="1"/>
  <c r="C199" i="6"/>
  <c r="K199" i="6" s="1"/>
  <c r="D199" i="6"/>
  <c r="L199" i="6" s="1"/>
  <c r="C659" i="6"/>
  <c r="K659" i="6" s="1"/>
  <c r="B659" i="6"/>
  <c r="J659" i="6" s="1"/>
  <c r="D659" i="6"/>
  <c r="L659" i="6" s="1"/>
  <c r="D1039" i="6"/>
  <c r="L1039" i="6" s="1"/>
  <c r="C1039" i="6"/>
  <c r="K1039" i="6" s="1"/>
  <c r="B1039" i="6"/>
  <c r="J1039" i="6" s="1"/>
  <c r="B455" i="6"/>
  <c r="J455" i="6" s="1"/>
  <c r="C455" i="6"/>
  <c r="K455" i="6" s="1"/>
  <c r="D455" i="6"/>
  <c r="L455" i="6" s="1"/>
  <c r="B189" i="6"/>
  <c r="J189" i="6" s="1"/>
  <c r="C189" i="6"/>
  <c r="K189" i="6" s="1"/>
  <c r="D189" i="6"/>
  <c r="L189" i="6" s="1"/>
  <c r="C619" i="6"/>
  <c r="K619" i="6" s="1"/>
  <c r="B619" i="6"/>
  <c r="J619" i="6" s="1"/>
  <c r="D619" i="6"/>
  <c r="L619" i="6" s="1"/>
  <c r="D969" i="6"/>
  <c r="L969" i="6" s="1"/>
  <c r="B969" i="6"/>
  <c r="J969" i="6" s="1"/>
  <c r="C969" i="6"/>
  <c r="K969" i="6" s="1"/>
  <c r="B179" i="6"/>
  <c r="J179" i="6" s="1"/>
  <c r="C179" i="6"/>
  <c r="K179" i="6" s="1"/>
  <c r="D179" i="6"/>
  <c r="L179" i="6" s="1"/>
  <c r="D61" i="6"/>
  <c r="L61" i="6" s="1"/>
  <c r="B61" i="6"/>
  <c r="J61" i="6" s="1"/>
  <c r="C61" i="6"/>
  <c r="K61" i="6" s="1"/>
  <c r="C499" i="6"/>
  <c r="K499" i="6" s="1"/>
  <c r="B499" i="6"/>
  <c r="J499" i="6" s="1"/>
  <c r="D499" i="6"/>
  <c r="L499" i="6" s="1"/>
  <c r="D50" i="6"/>
  <c r="B50" i="6"/>
  <c r="J50" i="6" s="1"/>
  <c r="C50" i="6"/>
  <c r="K50" i="6" s="1"/>
  <c r="B400" i="6"/>
  <c r="C400" i="6"/>
  <c r="D400" i="6"/>
  <c r="B66" i="6"/>
  <c r="J66" i="6" s="1"/>
  <c r="C66" i="6"/>
  <c r="K66" i="6" s="1"/>
  <c r="D66" i="6"/>
  <c r="L66" i="6" s="1"/>
  <c r="B166" i="6"/>
  <c r="J166" i="6" s="1"/>
  <c r="C166" i="6"/>
  <c r="K166" i="6" s="1"/>
  <c r="D166" i="6"/>
  <c r="L166" i="6" s="1"/>
  <c r="B266" i="6"/>
  <c r="J266" i="6" s="1"/>
  <c r="D266" i="6"/>
  <c r="C266" i="6"/>
  <c r="K266" i="6" s="1"/>
  <c r="D366" i="6"/>
  <c r="L366" i="6" s="1"/>
  <c r="B366" i="6"/>
  <c r="C366" i="6"/>
  <c r="B466" i="6"/>
  <c r="C466" i="6"/>
  <c r="D466" i="6"/>
  <c r="B566" i="6"/>
  <c r="J566" i="6" s="1"/>
  <c r="C566" i="6"/>
  <c r="D566" i="6"/>
  <c r="L566" i="6" s="1"/>
  <c r="B666" i="6"/>
  <c r="J666" i="6" s="1"/>
  <c r="C666" i="6"/>
  <c r="K666" i="6" s="1"/>
  <c r="D666" i="6"/>
  <c r="L666" i="6" s="1"/>
  <c r="B766" i="6"/>
  <c r="J766" i="6" s="1"/>
  <c r="C766" i="6"/>
  <c r="K766" i="6" s="1"/>
  <c r="D766" i="6"/>
  <c r="L766" i="6" s="1"/>
  <c r="B1043" i="6"/>
  <c r="J1043" i="6" s="1"/>
  <c r="C1043" i="6"/>
  <c r="K1043" i="6" s="1"/>
  <c r="D1043" i="6"/>
  <c r="L1043" i="6" s="1"/>
  <c r="B1071" i="6"/>
  <c r="J1071" i="6" s="1"/>
  <c r="C1071" i="6"/>
  <c r="D1071" i="6"/>
  <c r="B951" i="6"/>
  <c r="J951" i="6" s="1"/>
  <c r="C951" i="6"/>
  <c r="K951" i="6" s="1"/>
  <c r="D951" i="6"/>
  <c r="L951" i="6" s="1"/>
  <c r="B731" i="6"/>
  <c r="J731" i="6" s="1"/>
  <c r="C731" i="6"/>
  <c r="K731" i="6" s="1"/>
  <c r="D731" i="6"/>
  <c r="L731" i="6" s="1"/>
  <c r="C721" i="6"/>
  <c r="D721" i="6"/>
  <c r="L721" i="6" s="1"/>
  <c r="B721" i="6"/>
  <c r="J721" i="6" s="1"/>
  <c r="L465" i="6"/>
  <c r="J95" i="6"/>
  <c r="J375" i="6"/>
  <c r="L458" i="6"/>
  <c r="L850" i="6"/>
  <c r="J1048" i="6"/>
  <c r="L813" i="6"/>
  <c r="K581" i="6"/>
  <c r="K248" i="6"/>
  <c r="L348" i="6"/>
  <c r="B20" i="6"/>
  <c r="J20" i="6" s="1"/>
  <c r="C20" i="6"/>
  <c r="K20" i="6" s="1"/>
  <c r="D20" i="6"/>
  <c r="L20" i="6" s="1"/>
  <c r="D77" i="6"/>
  <c r="L77" i="6" s="1"/>
  <c r="B77" i="6"/>
  <c r="J77" i="6" s="1"/>
  <c r="C77" i="6"/>
  <c r="K77" i="6" s="1"/>
  <c r="C177" i="6"/>
  <c r="K177" i="6" s="1"/>
  <c r="B177" i="6"/>
  <c r="J177" i="6" s="1"/>
  <c r="D177" i="6"/>
  <c r="L177" i="6" s="1"/>
  <c r="B277" i="6"/>
  <c r="J277" i="6" s="1"/>
  <c r="C277" i="6"/>
  <c r="K277" i="6" s="1"/>
  <c r="D277" i="6"/>
  <c r="L277" i="6" s="1"/>
  <c r="B377" i="6"/>
  <c r="J377" i="6" s="1"/>
  <c r="C377" i="6"/>
  <c r="K377" i="6" s="1"/>
  <c r="D377" i="6"/>
  <c r="L377" i="6" s="1"/>
  <c r="B477" i="6"/>
  <c r="J477" i="6" s="1"/>
  <c r="C477" i="6"/>
  <c r="K477" i="6" s="1"/>
  <c r="D477" i="6"/>
  <c r="L477" i="6" s="1"/>
  <c r="B577" i="6"/>
  <c r="J577" i="6" s="1"/>
  <c r="C577" i="6"/>
  <c r="K577" i="6" s="1"/>
  <c r="D577" i="6"/>
  <c r="L577" i="6" s="1"/>
  <c r="B677" i="6"/>
  <c r="J677" i="6" s="1"/>
  <c r="C677" i="6"/>
  <c r="K677" i="6" s="1"/>
  <c r="D677" i="6"/>
  <c r="L677" i="6" s="1"/>
  <c r="B777" i="6"/>
  <c r="J777" i="6" s="1"/>
  <c r="D777" i="6"/>
  <c r="L777" i="6" s="1"/>
  <c r="C777" i="6"/>
  <c r="K777" i="6" s="1"/>
  <c r="B877" i="6"/>
  <c r="J877" i="6" s="1"/>
  <c r="C877" i="6"/>
  <c r="K877" i="6" s="1"/>
  <c r="D877" i="6"/>
  <c r="L877" i="6" s="1"/>
  <c r="B977" i="6"/>
  <c r="J977" i="6" s="1"/>
  <c r="C977" i="6"/>
  <c r="K977" i="6" s="1"/>
  <c r="D977" i="6"/>
  <c r="L977" i="6" s="1"/>
  <c r="B1077" i="6"/>
  <c r="J1077" i="6" s="1"/>
  <c r="C1077" i="6"/>
  <c r="K1077" i="6" s="1"/>
  <c r="D1077" i="6"/>
  <c r="L1077" i="6" s="1"/>
  <c r="B219" i="6"/>
  <c r="J219" i="6" s="1"/>
  <c r="D219" i="6"/>
  <c r="L219" i="6" s="1"/>
  <c r="C219" i="6"/>
  <c r="K219" i="6" s="1"/>
  <c r="K126" i="6"/>
  <c r="L1026" i="6"/>
  <c r="L938" i="6"/>
  <c r="B273" i="6"/>
  <c r="J273" i="6" s="1"/>
  <c r="C273" i="6"/>
  <c r="K273" i="6" s="1"/>
  <c r="D273" i="6"/>
  <c r="L273" i="6" s="1"/>
  <c r="D543" i="6"/>
  <c r="L543" i="6" s="1"/>
  <c r="B543" i="6"/>
  <c r="J543" i="6" s="1"/>
  <c r="C543" i="6"/>
  <c r="K543" i="6" s="1"/>
  <c r="B868" i="6"/>
  <c r="J868" i="6" s="1"/>
  <c r="D868" i="6"/>
  <c r="L868" i="6" s="1"/>
  <c r="C868" i="6"/>
  <c r="K868" i="6" s="1"/>
  <c r="B52" i="6"/>
  <c r="J52" i="6" s="1"/>
  <c r="C52" i="6"/>
  <c r="K52" i="6" s="1"/>
  <c r="D52" i="6"/>
  <c r="L52" i="6" s="1"/>
  <c r="B152" i="6"/>
  <c r="J152" i="6" s="1"/>
  <c r="C152" i="6"/>
  <c r="K152" i="6" s="1"/>
  <c r="D152" i="6"/>
  <c r="L152" i="6" s="1"/>
  <c r="C252" i="6"/>
  <c r="K252" i="6" s="1"/>
  <c r="B252" i="6"/>
  <c r="J252" i="6" s="1"/>
  <c r="D252" i="6"/>
  <c r="L252" i="6" s="1"/>
  <c r="C352" i="6"/>
  <c r="K352" i="6" s="1"/>
  <c r="B352" i="6"/>
  <c r="J352" i="6" s="1"/>
  <c r="D352" i="6"/>
  <c r="L352" i="6" s="1"/>
  <c r="B452" i="6"/>
  <c r="J452" i="6" s="1"/>
  <c r="D452" i="6"/>
  <c r="L452" i="6" s="1"/>
  <c r="C452" i="6"/>
  <c r="K452" i="6" s="1"/>
  <c r="D552" i="6"/>
  <c r="L552" i="6" s="1"/>
  <c r="B552" i="6"/>
  <c r="J552" i="6" s="1"/>
  <c r="C552" i="6"/>
  <c r="K552" i="6" s="1"/>
  <c r="D652" i="6"/>
  <c r="L652" i="6" s="1"/>
  <c r="B652" i="6"/>
  <c r="J652" i="6" s="1"/>
  <c r="C652" i="6"/>
  <c r="K652" i="6" s="1"/>
  <c r="C752" i="6"/>
  <c r="K752" i="6" s="1"/>
  <c r="D752" i="6"/>
  <c r="L752" i="6" s="1"/>
  <c r="B752" i="6"/>
  <c r="J752" i="6" s="1"/>
  <c r="C852" i="6"/>
  <c r="K852" i="6" s="1"/>
  <c r="D852" i="6"/>
  <c r="L852" i="6" s="1"/>
  <c r="B852" i="6"/>
  <c r="J852" i="6" s="1"/>
  <c r="C952" i="6"/>
  <c r="K952" i="6" s="1"/>
  <c r="B952" i="6"/>
  <c r="J952" i="6" s="1"/>
  <c r="D952" i="6"/>
  <c r="L952" i="6" s="1"/>
  <c r="B1052" i="6"/>
  <c r="J1052" i="6" s="1"/>
  <c r="D1052" i="6"/>
  <c r="L1052" i="6" s="1"/>
  <c r="C1052" i="6"/>
  <c r="K1052" i="6" s="1"/>
  <c r="B963" i="6"/>
  <c r="J963" i="6" s="1"/>
  <c r="C963" i="6"/>
  <c r="K963" i="6" s="1"/>
  <c r="D963" i="6"/>
  <c r="L963" i="6" s="1"/>
  <c r="L1001" i="6"/>
  <c r="B213" i="6"/>
  <c r="J213" i="6" s="1"/>
  <c r="C213" i="6"/>
  <c r="K213" i="6" s="1"/>
  <c r="D213" i="6"/>
  <c r="L213" i="6" s="1"/>
  <c r="C195" i="6"/>
  <c r="K195" i="6" s="1"/>
  <c r="B195" i="6"/>
  <c r="J195" i="6" s="1"/>
  <c r="D195" i="6"/>
  <c r="L195" i="6" s="1"/>
  <c r="C115" i="6"/>
  <c r="K115" i="6" s="1"/>
  <c r="D115" i="6"/>
  <c r="L115" i="6" s="1"/>
  <c r="B115" i="6"/>
  <c r="J115" i="6" s="1"/>
  <c r="D235" i="6"/>
  <c r="L235" i="6" s="1"/>
  <c r="B235" i="6"/>
  <c r="C235" i="6"/>
  <c r="K235" i="6" s="1"/>
  <c r="C679" i="6"/>
  <c r="K679" i="6" s="1"/>
  <c r="B679" i="6"/>
  <c r="J679" i="6" s="1"/>
  <c r="D679" i="6"/>
  <c r="L679" i="6" s="1"/>
  <c r="B239" i="6"/>
  <c r="J239" i="6" s="1"/>
  <c r="C239" i="6"/>
  <c r="K239" i="6" s="1"/>
  <c r="D239" i="6"/>
  <c r="L239" i="6" s="1"/>
  <c r="C689" i="6"/>
  <c r="K689" i="6" s="1"/>
  <c r="B689" i="6"/>
  <c r="J689" i="6" s="1"/>
  <c r="D689" i="6"/>
  <c r="L689" i="6" s="1"/>
  <c r="D1089" i="6"/>
  <c r="L1089" i="6" s="1"/>
  <c r="B1089" i="6"/>
  <c r="J1089" i="6" s="1"/>
  <c r="C1089" i="6"/>
  <c r="K1089" i="6" s="1"/>
  <c r="B795" i="6"/>
  <c r="J795" i="6" s="1"/>
  <c r="C795" i="6"/>
  <c r="K795" i="6" s="1"/>
  <c r="D795" i="6"/>
  <c r="L795" i="6" s="1"/>
  <c r="B279" i="6"/>
  <c r="J279" i="6" s="1"/>
  <c r="D279" i="6"/>
  <c r="L279" i="6" s="1"/>
  <c r="C279" i="6"/>
  <c r="K279" i="6" s="1"/>
  <c r="C649" i="6"/>
  <c r="K649" i="6" s="1"/>
  <c r="B649" i="6"/>
  <c r="J649" i="6" s="1"/>
  <c r="D649" i="6"/>
  <c r="L649" i="6" s="1"/>
  <c r="D1019" i="6"/>
  <c r="L1019" i="6" s="1"/>
  <c r="B1019" i="6"/>
  <c r="J1019" i="6" s="1"/>
  <c r="C1019" i="6"/>
  <c r="K1019" i="6" s="1"/>
  <c r="B849" i="6"/>
  <c r="J849" i="6" s="1"/>
  <c r="C849" i="6"/>
  <c r="K849" i="6" s="1"/>
  <c r="D849" i="6"/>
  <c r="L849" i="6" s="1"/>
  <c r="K805" i="6"/>
  <c r="B545" i="6"/>
  <c r="J545" i="6" s="1"/>
  <c r="D545" i="6"/>
  <c r="L545" i="6" s="1"/>
  <c r="C545" i="6"/>
  <c r="K545" i="6" s="1"/>
  <c r="D995" i="6"/>
  <c r="L995" i="6" s="1"/>
  <c r="B995" i="6"/>
  <c r="J995" i="6" s="1"/>
  <c r="C995" i="6"/>
  <c r="K995" i="6" s="1"/>
  <c r="B845" i="6"/>
  <c r="J845" i="6" s="1"/>
  <c r="C845" i="6"/>
  <c r="D845" i="6"/>
  <c r="L845" i="6" s="1"/>
  <c r="L111" i="6"/>
  <c r="C180" i="6"/>
  <c r="K180" i="6" s="1"/>
  <c r="D180" i="6"/>
  <c r="L180" i="6" s="1"/>
  <c r="B180" i="6"/>
  <c r="J180" i="6" s="1"/>
  <c r="C300" i="6"/>
  <c r="K300" i="6" s="1"/>
  <c r="D300" i="6"/>
  <c r="L300" i="6" s="1"/>
  <c r="B300" i="6"/>
  <c r="J300" i="6" s="1"/>
  <c r="B73" i="6"/>
  <c r="J73" i="6" s="1"/>
  <c r="D73" i="6"/>
  <c r="L73" i="6" s="1"/>
  <c r="C73" i="6"/>
  <c r="K73" i="6" s="1"/>
  <c r="D87" i="6"/>
  <c r="L87" i="6" s="1"/>
  <c r="B87" i="6"/>
  <c r="J87" i="6" s="1"/>
  <c r="C87" i="6"/>
  <c r="K87" i="6" s="1"/>
  <c r="D187" i="6"/>
  <c r="L187" i="6" s="1"/>
  <c r="B187" i="6"/>
  <c r="J187" i="6" s="1"/>
  <c r="C187" i="6"/>
  <c r="K187" i="6" s="1"/>
  <c r="C287" i="6"/>
  <c r="K287" i="6" s="1"/>
  <c r="B287" i="6"/>
  <c r="J287" i="6" s="1"/>
  <c r="D287" i="6"/>
  <c r="L287" i="6" s="1"/>
  <c r="C387" i="6"/>
  <c r="K387" i="6" s="1"/>
  <c r="D387" i="6"/>
  <c r="L387" i="6" s="1"/>
  <c r="B387" i="6"/>
  <c r="J387" i="6" s="1"/>
  <c r="B487" i="6"/>
  <c r="J487" i="6" s="1"/>
  <c r="C487" i="6"/>
  <c r="K487" i="6" s="1"/>
  <c r="D487" i="6"/>
  <c r="L487" i="6" s="1"/>
  <c r="B587" i="6"/>
  <c r="J587" i="6" s="1"/>
  <c r="C587" i="6"/>
  <c r="K587" i="6" s="1"/>
  <c r="D587" i="6"/>
  <c r="L587" i="6" s="1"/>
  <c r="B687" i="6"/>
  <c r="J687" i="6" s="1"/>
  <c r="C687" i="6"/>
  <c r="K687" i="6" s="1"/>
  <c r="D687" i="6"/>
  <c r="L687" i="6" s="1"/>
  <c r="B787" i="6"/>
  <c r="J787" i="6" s="1"/>
  <c r="C787" i="6"/>
  <c r="K787" i="6" s="1"/>
  <c r="D787" i="6"/>
  <c r="L787" i="6" s="1"/>
  <c r="B887" i="6"/>
  <c r="J887" i="6" s="1"/>
  <c r="C887" i="6"/>
  <c r="K887" i="6" s="1"/>
  <c r="D887" i="6"/>
  <c r="L887" i="6" s="1"/>
  <c r="B987" i="6"/>
  <c r="J987" i="6" s="1"/>
  <c r="C987" i="6"/>
  <c r="K987" i="6" s="1"/>
  <c r="D987" i="6"/>
  <c r="L987" i="6" s="1"/>
  <c r="B1087" i="6"/>
  <c r="J1087" i="6" s="1"/>
  <c r="C1087" i="6"/>
  <c r="K1087" i="6" s="1"/>
  <c r="D1087" i="6"/>
  <c r="L1087" i="6" s="1"/>
  <c r="B269" i="6"/>
  <c r="J269" i="6" s="1"/>
  <c r="C269" i="6"/>
  <c r="K269" i="6" s="1"/>
  <c r="D269" i="6"/>
  <c r="L269" i="6" s="1"/>
  <c r="L136" i="6"/>
  <c r="L616" i="6"/>
  <c r="C938" i="6"/>
  <c r="B938" i="6"/>
  <c r="D938" i="6"/>
  <c r="C419" i="6"/>
  <c r="K419" i="6" s="1"/>
  <c r="D419" i="6"/>
  <c r="L419" i="6" s="1"/>
  <c r="B419" i="6"/>
  <c r="J419" i="6" s="1"/>
  <c r="D693" i="6"/>
  <c r="L693" i="6" s="1"/>
  <c r="C693" i="6"/>
  <c r="K693" i="6" s="1"/>
  <c r="B693" i="6"/>
  <c r="J693" i="6" s="1"/>
  <c r="B10" i="6"/>
  <c r="J10" i="6" s="1"/>
  <c r="C10" i="6"/>
  <c r="K10" i="6" s="1"/>
  <c r="D10" i="6"/>
  <c r="L10" i="6" s="1"/>
  <c r="B883" i="6"/>
  <c r="J883" i="6" s="1"/>
  <c r="C883" i="6"/>
  <c r="K883" i="6" s="1"/>
  <c r="D883" i="6"/>
  <c r="L883" i="6" s="1"/>
  <c r="C450" i="6"/>
  <c r="K450" i="6" s="1"/>
  <c r="D450" i="6"/>
  <c r="L450" i="6" s="1"/>
  <c r="B450" i="6"/>
  <c r="J450" i="6" s="1"/>
  <c r="B62" i="6"/>
  <c r="J62" i="6" s="1"/>
  <c r="C62" i="6"/>
  <c r="K62" i="6" s="1"/>
  <c r="D62" i="6"/>
  <c r="L62" i="6" s="1"/>
  <c r="B162" i="6"/>
  <c r="J162" i="6" s="1"/>
  <c r="C162" i="6"/>
  <c r="K162" i="6" s="1"/>
  <c r="D162" i="6"/>
  <c r="L162" i="6" s="1"/>
  <c r="C262" i="6"/>
  <c r="K262" i="6" s="1"/>
  <c r="B262" i="6"/>
  <c r="J262" i="6" s="1"/>
  <c r="D262" i="6"/>
  <c r="L262" i="6" s="1"/>
  <c r="C362" i="6"/>
  <c r="K362" i="6" s="1"/>
  <c r="B362" i="6"/>
  <c r="J362" i="6" s="1"/>
  <c r="D362" i="6"/>
  <c r="L362" i="6" s="1"/>
  <c r="B462" i="6"/>
  <c r="J462" i="6" s="1"/>
  <c r="D462" i="6"/>
  <c r="L462" i="6" s="1"/>
  <c r="C462" i="6"/>
  <c r="K462" i="6" s="1"/>
  <c r="D562" i="6"/>
  <c r="L562" i="6" s="1"/>
  <c r="B562" i="6"/>
  <c r="J562" i="6" s="1"/>
  <c r="C562" i="6"/>
  <c r="K562" i="6" s="1"/>
  <c r="D662" i="6"/>
  <c r="L662" i="6" s="1"/>
  <c r="B662" i="6"/>
  <c r="J662" i="6" s="1"/>
  <c r="C662" i="6"/>
  <c r="K662" i="6" s="1"/>
  <c r="B762" i="6"/>
  <c r="J762" i="6" s="1"/>
  <c r="C762" i="6"/>
  <c r="K762" i="6" s="1"/>
  <c r="D762" i="6"/>
  <c r="L762" i="6" s="1"/>
  <c r="C862" i="6"/>
  <c r="K862" i="6" s="1"/>
  <c r="D862" i="6"/>
  <c r="L862" i="6" s="1"/>
  <c r="B862" i="6"/>
  <c r="J862" i="6" s="1"/>
  <c r="C962" i="6"/>
  <c r="K962" i="6" s="1"/>
  <c r="D962" i="6"/>
  <c r="L962" i="6" s="1"/>
  <c r="B962" i="6"/>
  <c r="J962" i="6" s="1"/>
  <c r="B1062" i="6"/>
  <c r="J1062" i="6" s="1"/>
  <c r="D1062" i="6"/>
  <c r="L1062" i="6" s="1"/>
  <c r="C1062" i="6"/>
  <c r="K1062" i="6" s="1"/>
  <c r="L561" i="6"/>
  <c r="K1011" i="6"/>
  <c r="C479" i="6"/>
  <c r="K479" i="6" s="1"/>
  <c r="D479" i="6"/>
  <c r="L479" i="6" s="1"/>
  <c r="B479" i="6"/>
  <c r="J479" i="6" s="1"/>
  <c r="C135" i="6"/>
  <c r="K135" i="6" s="1"/>
  <c r="B135" i="6"/>
  <c r="J135" i="6" s="1"/>
  <c r="D135" i="6"/>
  <c r="L135" i="6" s="1"/>
  <c r="D265" i="6"/>
  <c r="L265" i="6" s="1"/>
  <c r="B265" i="6"/>
  <c r="J265" i="6" s="1"/>
  <c r="C265" i="6"/>
  <c r="K265" i="6" s="1"/>
  <c r="D935" i="6"/>
  <c r="L935" i="6" s="1"/>
  <c r="B935" i="6"/>
  <c r="J935" i="6" s="1"/>
  <c r="C935" i="6"/>
  <c r="B716" i="6"/>
  <c r="J716" i="6" s="1"/>
  <c r="C716" i="6"/>
  <c r="K716" i="6" s="1"/>
  <c r="D716" i="6"/>
  <c r="L716" i="6" s="1"/>
  <c r="B289" i="6"/>
  <c r="J289" i="6" s="1"/>
  <c r="C289" i="6"/>
  <c r="K289" i="6" s="1"/>
  <c r="D289" i="6"/>
  <c r="L289" i="6" s="1"/>
  <c r="B729" i="6"/>
  <c r="J729" i="6" s="1"/>
  <c r="C729" i="6"/>
  <c r="K729" i="6" s="1"/>
  <c r="D729" i="6"/>
  <c r="L729" i="6" s="1"/>
  <c r="B839" i="6"/>
  <c r="J839" i="6" s="1"/>
  <c r="C839" i="6"/>
  <c r="K839" i="6" s="1"/>
  <c r="D839" i="6"/>
  <c r="L839" i="6" s="1"/>
  <c r="B309" i="6"/>
  <c r="J309" i="6" s="1"/>
  <c r="C309" i="6"/>
  <c r="K309" i="6" s="1"/>
  <c r="D309" i="6"/>
  <c r="L309" i="6" s="1"/>
  <c r="B719" i="6"/>
  <c r="J719" i="6" s="1"/>
  <c r="C719" i="6"/>
  <c r="K719" i="6" s="1"/>
  <c r="D719" i="6"/>
  <c r="L719" i="6" s="1"/>
  <c r="D1049" i="6"/>
  <c r="L1049" i="6" s="1"/>
  <c r="C1049" i="6"/>
  <c r="K1049" i="6" s="1"/>
  <c r="B1049" i="6"/>
  <c r="J1049" i="6" s="1"/>
  <c r="D959" i="6"/>
  <c r="L959" i="6" s="1"/>
  <c r="B959" i="6"/>
  <c r="J959" i="6" s="1"/>
  <c r="C959" i="6"/>
  <c r="K959" i="6" s="1"/>
  <c r="B259" i="6"/>
  <c r="J259" i="6" s="1"/>
  <c r="C259" i="6"/>
  <c r="K259" i="6" s="1"/>
  <c r="D259" i="6"/>
  <c r="L259" i="6" s="1"/>
  <c r="B585" i="6"/>
  <c r="J585" i="6" s="1"/>
  <c r="C585" i="6"/>
  <c r="K585" i="6" s="1"/>
  <c r="D585" i="6"/>
  <c r="L585" i="6" s="1"/>
  <c r="K845" i="6"/>
  <c r="L171" i="6"/>
  <c r="K613" i="6"/>
  <c r="C750" i="6"/>
  <c r="K750" i="6" s="1"/>
  <c r="B750" i="6"/>
  <c r="J750" i="6" s="1"/>
  <c r="D750" i="6"/>
  <c r="L750" i="6" s="1"/>
  <c r="D733" i="6"/>
  <c r="L733" i="6" s="1"/>
  <c r="B733" i="6"/>
  <c r="J733" i="6" s="1"/>
  <c r="C733" i="6"/>
  <c r="K733" i="6" s="1"/>
  <c r="L175" i="6"/>
  <c r="B270" i="6"/>
  <c r="J270" i="6" s="1"/>
  <c r="C270" i="6"/>
  <c r="K270" i="6" s="1"/>
  <c r="D270" i="6"/>
  <c r="L270" i="6" s="1"/>
  <c r="B97" i="6"/>
  <c r="J97" i="6" s="1"/>
  <c r="C97" i="6"/>
  <c r="K97" i="6" s="1"/>
  <c r="D97" i="6"/>
  <c r="L97" i="6" s="1"/>
  <c r="B197" i="6"/>
  <c r="J197" i="6" s="1"/>
  <c r="C197" i="6"/>
  <c r="K197" i="6" s="1"/>
  <c r="D197" i="6"/>
  <c r="L197" i="6" s="1"/>
  <c r="C297" i="6"/>
  <c r="K297" i="6" s="1"/>
  <c r="B297" i="6"/>
  <c r="J297" i="6" s="1"/>
  <c r="D297" i="6"/>
  <c r="L297" i="6" s="1"/>
  <c r="C397" i="6"/>
  <c r="K397" i="6" s="1"/>
  <c r="B397" i="6"/>
  <c r="J397" i="6" s="1"/>
  <c r="D397" i="6"/>
  <c r="L397" i="6" s="1"/>
  <c r="B497" i="6"/>
  <c r="J497" i="6" s="1"/>
  <c r="C497" i="6"/>
  <c r="K497" i="6" s="1"/>
  <c r="D497" i="6"/>
  <c r="L497" i="6" s="1"/>
  <c r="B597" i="6"/>
  <c r="J597" i="6" s="1"/>
  <c r="D597" i="6"/>
  <c r="L597" i="6" s="1"/>
  <c r="C597" i="6"/>
  <c r="K597" i="6" s="1"/>
  <c r="B697" i="6"/>
  <c r="J697" i="6" s="1"/>
  <c r="D697" i="6"/>
  <c r="L697" i="6" s="1"/>
  <c r="C697" i="6"/>
  <c r="K697" i="6" s="1"/>
  <c r="B797" i="6"/>
  <c r="J797" i="6" s="1"/>
  <c r="C797" i="6"/>
  <c r="K797" i="6" s="1"/>
  <c r="D797" i="6"/>
  <c r="L797" i="6" s="1"/>
  <c r="B897" i="6"/>
  <c r="J897" i="6" s="1"/>
  <c r="C897" i="6"/>
  <c r="K897" i="6" s="1"/>
  <c r="D897" i="6"/>
  <c r="L897" i="6" s="1"/>
  <c r="B997" i="6"/>
  <c r="J997" i="6" s="1"/>
  <c r="C997" i="6"/>
  <c r="K997" i="6" s="1"/>
  <c r="D997" i="6"/>
  <c r="L997" i="6" s="1"/>
  <c r="B319" i="6"/>
  <c r="J319" i="6" s="1"/>
  <c r="C319" i="6"/>
  <c r="K319" i="6" s="1"/>
  <c r="D319" i="6"/>
  <c r="L319" i="6" s="1"/>
  <c r="L626" i="6"/>
  <c r="D723" i="6"/>
  <c r="L723" i="6" s="1"/>
  <c r="B723" i="6"/>
  <c r="J723" i="6" s="1"/>
  <c r="C723" i="6"/>
  <c r="K723" i="6" s="1"/>
  <c r="B83" i="6"/>
  <c r="J83" i="6" s="1"/>
  <c r="C83" i="6"/>
  <c r="K83" i="6" s="1"/>
  <c r="D83" i="6"/>
  <c r="L83" i="6" s="1"/>
  <c r="C140" i="6"/>
  <c r="K140" i="6" s="1"/>
  <c r="D140" i="6"/>
  <c r="B140" i="6"/>
  <c r="C540" i="6"/>
  <c r="D540" i="6"/>
  <c r="B540" i="6"/>
  <c r="K900" i="6"/>
  <c r="B72" i="6"/>
  <c r="J72" i="6" s="1"/>
  <c r="C72" i="6"/>
  <c r="K72" i="6" s="1"/>
  <c r="D72" i="6"/>
  <c r="L72" i="6" s="1"/>
  <c r="B172" i="6"/>
  <c r="J172" i="6" s="1"/>
  <c r="C172" i="6"/>
  <c r="K172" i="6" s="1"/>
  <c r="D172" i="6"/>
  <c r="L172" i="6" s="1"/>
  <c r="C272" i="6"/>
  <c r="K272" i="6" s="1"/>
  <c r="B272" i="6"/>
  <c r="J272" i="6" s="1"/>
  <c r="D272" i="6"/>
  <c r="L272" i="6" s="1"/>
  <c r="C372" i="6"/>
  <c r="K372" i="6" s="1"/>
  <c r="B372" i="6"/>
  <c r="J372" i="6" s="1"/>
  <c r="D372" i="6"/>
  <c r="L372" i="6" s="1"/>
  <c r="B472" i="6"/>
  <c r="J472" i="6" s="1"/>
  <c r="D472" i="6"/>
  <c r="L472" i="6" s="1"/>
  <c r="C472" i="6"/>
  <c r="K472" i="6" s="1"/>
  <c r="D572" i="6"/>
  <c r="L572" i="6" s="1"/>
  <c r="C572" i="6"/>
  <c r="K572" i="6" s="1"/>
  <c r="B572" i="6"/>
  <c r="J572" i="6" s="1"/>
  <c r="D672" i="6"/>
  <c r="L672" i="6" s="1"/>
  <c r="C672" i="6"/>
  <c r="K672" i="6" s="1"/>
  <c r="B672" i="6"/>
  <c r="J672" i="6" s="1"/>
  <c r="B772" i="6"/>
  <c r="J772" i="6" s="1"/>
  <c r="C772" i="6"/>
  <c r="K772" i="6" s="1"/>
  <c r="D772" i="6"/>
  <c r="L772" i="6" s="1"/>
  <c r="C872" i="6"/>
  <c r="K872" i="6" s="1"/>
  <c r="B872" i="6"/>
  <c r="J872" i="6" s="1"/>
  <c r="D872" i="6"/>
  <c r="L872" i="6" s="1"/>
  <c r="C972" i="6"/>
  <c r="K972" i="6" s="1"/>
  <c r="D972" i="6"/>
  <c r="L972" i="6" s="1"/>
  <c r="B972" i="6"/>
  <c r="J972" i="6" s="1"/>
  <c r="B1072" i="6"/>
  <c r="J1072" i="6" s="1"/>
  <c r="C1072" i="6"/>
  <c r="K1072" i="6" s="1"/>
  <c r="D1072" i="6"/>
  <c r="L1072" i="6" s="1"/>
  <c r="B1063" i="6"/>
  <c r="J1063" i="6" s="1"/>
  <c r="C1063" i="6"/>
  <c r="K1063" i="6" s="1"/>
  <c r="D1063" i="6"/>
  <c r="L1063" i="6" s="1"/>
  <c r="B173" i="6"/>
  <c r="J173" i="6" s="1"/>
  <c r="C173" i="6"/>
  <c r="K173" i="6" s="1"/>
  <c r="D173" i="6"/>
  <c r="L173" i="6" s="1"/>
  <c r="L811" i="6"/>
  <c r="D713" i="6"/>
  <c r="L713" i="6" s="1"/>
  <c r="B713" i="6"/>
  <c r="C713" i="6"/>
  <c r="C669" i="6"/>
  <c r="K669" i="6" s="1"/>
  <c r="B669" i="6"/>
  <c r="J669" i="6" s="1"/>
  <c r="D669" i="6"/>
  <c r="L669" i="6" s="1"/>
  <c r="D1069" i="6"/>
  <c r="L1069" i="6" s="1"/>
  <c r="B1069" i="6"/>
  <c r="J1069" i="6" s="1"/>
  <c r="C1069" i="6"/>
  <c r="K1069" i="6" s="1"/>
  <c r="B555" i="6"/>
  <c r="J555" i="6" s="1"/>
  <c r="D555" i="6"/>
  <c r="L555" i="6" s="1"/>
  <c r="C555" i="6"/>
  <c r="K555" i="6" s="1"/>
  <c r="K935" i="6"/>
  <c r="D1009" i="6"/>
  <c r="L1009" i="6" s="1"/>
  <c r="B1009" i="6"/>
  <c r="J1009" i="6" s="1"/>
  <c r="C1009" i="6"/>
  <c r="K1009" i="6" s="1"/>
  <c r="D865" i="6"/>
  <c r="L865" i="6" s="1"/>
  <c r="C865" i="6"/>
  <c r="K865" i="6" s="1"/>
  <c r="B865" i="6"/>
  <c r="J865" i="6" s="1"/>
  <c r="B349" i="6"/>
  <c r="J349" i="6" s="1"/>
  <c r="C349" i="6"/>
  <c r="K349" i="6" s="1"/>
  <c r="D349" i="6"/>
  <c r="L349" i="6" s="1"/>
  <c r="D759" i="6"/>
  <c r="L759" i="6" s="1"/>
  <c r="B759" i="6"/>
  <c r="J759" i="6" s="1"/>
  <c r="C759" i="6"/>
  <c r="K759" i="6" s="1"/>
  <c r="C1015" i="6"/>
  <c r="K1015" i="6" s="1"/>
  <c r="D1015" i="6"/>
  <c r="L1015" i="6" s="1"/>
  <c r="B1015" i="6"/>
  <c r="J1015" i="6" s="1"/>
  <c r="B299" i="6"/>
  <c r="J299" i="6" s="1"/>
  <c r="C299" i="6"/>
  <c r="K299" i="6" s="1"/>
  <c r="D299" i="6"/>
  <c r="L299" i="6" s="1"/>
  <c r="B329" i="6"/>
  <c r="J329" i="6" s="1"/>
  <c r="C329" i="6"/>
  <c r="K329" i="6" s="1"/>
  <c r="D329" i="6"/>
  <c r="L329" i="6" s="1"/>
  <c r="B749" i="6"/>
  <c r="J749" i="6" s="1"/>
  <c r="C749" i="6"/>
  <c r="K749" i="6" s="1"/>
  <c r="D749" i="6"/>
  <c r="L749" i="6" s="1"/>
  <c r="C1055" i="6"/>
  <c r="K1055" i="6" s="1"/>
  <c r="D1055" i="6"/>
  <c r="L1055" i="6" s="1"/>
  <c r="B1055" i="6"/>
  <c r="J1055" i="6" s="1"/>
  <c r="B209" i="6"/>
  <c r="J209" i="6" s="1"/>
  <c r="C209" i="6"/>
  <c r="K209" i="6" s="1"/>
  <c r="D209" i="6"/>
  <c r="L209" i="6" s="1"/>
  <c r="B655" i="6"/>
  <c r="J655" i="6" s="1"/>
  <c r="D655" i="6"/>
  <c r="L655" i="6" s="1"/>
  <c r="C655" i="6"/>
  <c r="K655" i="6" s="1"/>
  <c r="B141" i="6"/>
  <c r="J141" i="6" s="1"/>
  <c r="D141" i="6"/>
  <c r="L141" i="6" s="1"/>
  <c r="C141" i="6"/>
  <c r="K141" i="6" s="1"/>
  <c r="D955" i="6"/>
  <c r="L955" i="6" s="1"/>
  <c r="B955" i="6"/>
  <c r="C955" i="6"/>
  <c r="B190" i="6"/>
  <c r="J190" i="6" s="1"/>
  <c r="D190" i="6"/>
  <c r="L190" i="6" s="1"/>
  <c r="C190" i="6"/>
  <c r="K190" i="6" s="1"/>
  <c r="C440" i="6"/>
  <c r="K440" i="6" s="1"/>
  <c r="D440" i="6"/>
  <c r="B440" i="6"/>
  <c r="J440" i="6" s="1"/>
  <c r="C223" i="6"/>
  <c r="K223" i="6" s="1"/>
  <c r="B223" i="6"/>
  <c r="J223" i="6" s="1"/>
  <c r="D223" i="6"/>
  <c r="L223" i="6" s="1"/>
  <c r="D473" i="6"/>
  <c r="L473" i="6" s="1"/>
  <c r="B473" i="6"/>
  <c r="J473" i="6" s="1"/>
  <c r="C473" i="6"/>
  <c r="K473" i="6" s="1"/>
  <c r="B96" i="6"/>
  <c r="J96" i="6" s="1"/>
  <c r="C96" i="6"/>
  <c r="K96" i="6" s="1"/>
  <c r="D96" i="6"/>
  <c r="L96" i="6" s="1"/>
  <c r="D196" i="6"/>
  <c r="L196" i="6" s="1"/>
  <c r="B196" i="6"/>
  <c r="J196" i="6" s="1"/>
  <c r="C196" i="6"/>
  <c r="K196" i="6" s="1"/>
  <c r="C296" i="6"/>
  <c r="K296" i="6" s="1"/>
  <c r="D296" i="6"/>
  <c r="B296" i="6"/>
  <c r="J296" i="6" s="1"/>
  <c r="B396" i="6"/>
  <c r="J396" i="6" s="1"/>
  <c r="C396" i="6"/>
  <c r="K396" i="6" s="1"/>
  <c r="D396" i="6"/>
  <c r="L396" i="6" s="1"/>
  <c r="B496" i="6"/>
  <c r="J496" i="6" s="1"/>
  <c r="C496" i="6"/>
  <c r="K496" i="6" s="1"/>
  <c r="D496" i="6"/>
  <c r="L496" i="6" s="1"/>
  <c r="B596" i="6"/>
  <c r="J596" i="6" s="1"/>
  <c r="C596" i="6"/>
  <c r="D596" i="6"/>
  <c r="L596" i="6" s="1"/>
  <c r="B696" i="6"/>
  <c r="J696" i="6" s="1"/>
  <c r="C696" i="6"/>
  <c r="K696" i="6" s="1"/>
  <c r="D696" i="6"/>
  <c r="L696" i="6" s="1"/>
  <c r="D796" i="6"/>
  <c r="B796" i="6"/>
  <c r="J796" i="6" s="1"/>
  <c r="C796" i="6"/>
  <c r="K796" i="6" s="1"/>
  <c r="B621" i="6"/>
  <c r="J621" i="6" s="1"/>
  <c r="C621" i="6"/>
  <c r="K621" i="6" s="1"/>
  <c r="D621" i="6"/>
  <c r="L621" i="6" s="1"/>
  <c r="B891" i="6"/>
  <c r="D891" i="6"/>
  <c r="L891" i="6" s="1"/>
  <c r="C891" i="6"/>
  <c r="B921" i="6"/>
  <c r="D921" i="6"/>
  <c r="C921" i="6"/>
  <c r="K921" i="6" s="1"/>
  <c r="B871" i="6"/>
  <c r="J871" i="6" s="1"/>
  <c r="D871" i="6"/>
  <c r="L871" i="6" s="1"/>
  <c r="C871" i="6"/>
  <c r="K871" i="6" s="1"/>
  <c r="B911" i="6"/>
  <c r="J911" i="6" s="1"/>
  <c r="C911" i="6"/>
  <c r="D911" i="6"/>
  <c r="C430" i="6"/>
  <c r="K430" i="6" s="1"/>
  <c r="D430" i="6"/>
  <c r="L430" i="6" s="1"/>
  <c r="B430" i="6"/>
  <c r="J430" i="6" s="1"/>
  <c r="D7" i="6"/>
  <c r="L7" i="6" s="1"/>
  <c r="B7" i="6"/>
  <c r="J7" i="6" s="1"/>
  <c r="C7" i="6"/>
  <c r="K7" i="6" s="1"/>
  <c r="C107" i="6"/>
  <c r="K107" i="6" s="1"/>
  <c r="D107" i="6"/>
  <c r="L107" i="6" s="1"/>
  <c r="B107" i="6"/>
  <c r="J107" i="6" s="1"/>
  <c r="B207" i="6"/>
  <c r="J207" i="6" s="1"/>
  <c r="C207" i="6"/>
  <c r="K207" i="6" s="1"/>
  <c r="D207" i="6"/>
  <c r="L207" i="6" s="1"/>
  <c r="D307" i="6"/>
  <c r="L307" i="6" s="1"/>
  <c r="B307" i="6"/>
  <c r="J307" i="6" s="1"/>
  <c r="C307" i="6"/>
  <c r="K307" i="6" s="1"/>
  <c r="B407" i="6"/>
  <c r="J407" i="6" s="1"/>
  <c r="C407" i="6"/>
  <c r="K407" i="6" s="1"/>
  <c r="D407" i="6"/>
  <c r="L407" i="6" s="1"/>
  <c r="B507" i="6"/>
  <c r="J507" i="6" s="1"/>
  <c r="C507" i="6"/>
  <c r="K507" i="6" s="1"/>
  <c r="D507" i="6"/>
  <c r="L507" i="6" s="1"/>
  <c r="B607" i="6"/>
  <c r="J607" i="6" s="1"/>
  <c r="D607" i="6"/>
  <c r="L607" i="6" s="1"/>
  <c r="C607" i="6"/>
  <c r="K607" i="6" s="1"/>
  <c r="B707" i="6"/>
  <c r="J707" i="6" s="1"/>
  <c r="D707" i="6"/>
  <c r="L707" i="6" s="1"/>
  <c r="C707" i="6"/>
  <c r="K707" i="6" s="1"/>
  <c r="B807" i="6"/>
  <c r="J807" i="6" s="1"/>
  <c r="C807" i="6"/>
  <c r="K807" i="6" s="1"/>
  <c r="D807" i="6"/>
  <c r="L807" i="6" s="1"/>
  <c r="B907" i="6"/>
  <c r="J907" i="6" s="1"/>
  <c r="C907" i="6"/>
  <c r="K907" i="6" s="1"/>
  <c r="D907" i="6"/>
  <c r="L907" i="6" s="1"/>
  <c r="B1007" i="6"/>
  <c r="J1007" i="6" s="1"/>
  <c r="C1007" i="6"/>
  <c r="K1007" i="6" s="1"/>
  <c r="D1007" i="6"/>
  <c r="L1007" i="6" s="1"/>
  <c r="J838" i="6"/>
  <c r="B369" i="6"/>
  <c r="J369" i="6" s="1"/>
  <c r="C369" i="6"/>
  <c r="K369" i="6" s="1"/>
  <c r="D369" i="6"/>
  <c r="L369" i="6" s="1"/>
  <c r="C93" i="6"/>
  <c r="K93" i="6" s="1"/>
  <c r="B93" i="6"/>
  <c r="J93" i="6" s="1"/>
  <c r="D93" i="6"/>
  <c r="L93" i="6" s="1"/>
  <c r="K436" i="6"/>
  <c r="L956" i="6"/>
  <c r="L1056" i="6"/>
  <c r="C1088" i="6"/>
  <c r="K1088" i="6" s="1"/>
  <c r="B1088" i="6"/>
  <c r="D1088" i="6"/>
  <c r="C770" i="6"/>
  <c r="K770" i="6" s="1"/>
  <c r="B770" i="6"/>
  <c r="J770" i="6" s="1"/>
  <c r="D770" i="6"/>
  <c r="L770" i="6" s="1"/>
  <c r="B243" i="6"/>
  <c r="J243" i="6" s="1"/>
  <c r="C243" i="6"/>
  <c r="K243" i="6" s="1"/>
  <c r="D243" i="6"/>
  <c r="L243" i="6" s="1"/>
  <c r="B82" i="6"/>
  <c r="J82" i="6" s="1"/>
  <c r="C82" i="6"/>
  <c r="K82" i="6" s="1"/>
  <c r="D82" i="6"/>
  <c r="L82" i="6" s="1"/>
  <c r="B182" i="6"/>
  <c r="J182" i="6" s="1"/>
  <c r="D182" i="6"/>
  <c r="L182" i="6" s="1"/>
  <c r="C182" i="6"/>
  <c r="K182" i="6" s="1"/>
  <c r="C282" i="6"/>
  <c r="K282" i="6" s="1"/>
  <c r="D282" i="6"/>
  <c r="L282" i="6" s="1"/>
  <c r="B282" i="6"/>
  <c r="J282" i="6" s="1"/>
  <c r="C382" i="6"/>
  <c r="K382" i="6" s="1"/>
  <c r="D382" i="6"/>
  <c r="L382" i="6" s="1"/>
  <c r="B382" i="6"/>
  <c r="J382" i="6" s="1"/>
  <c r="B482" i="6"/>
  <c r="J482" i="6" s="1"/>
  <c r="D482" i="6"/>
  <c r="L482" i="6" s="1"/>
  <c r="C482" i="6"/>
  <c r="K482" i="6" s="1"/>
  <c r="D582" i="6"/>
  <c r="L582" i="6" s="1"/>
  <c r="C582" i="6"/>
  <c r="K582" i="6" s="1"/>
  <c r="B582" i="6"/>
  <c r="J582" i="6" s="1"/>
  <c r="D682" i="6"/>
  <c r="L682" i="6" s="1"/>
  <c r="C682" i="6"/>
  <c r="K682" i="6" s="1"/>
  <c r="B682" i="6"/>
  <c r="J682" i="6" s="1"/>
  <c r="B782" i="6"/>
  <c r="J782" i="6" s="1"/>
  <c r="C782" i="6"/>
  <c r="K782" i="6" s="1"/>
  <c r="D782" i="6"/>
  <c r="L782" i="6" s="1"/>
  <c r="C882" i="6"/>
  <c r="K882" i="6" s="1"/>
  <c r="B882" i="6"/>
  <c r="J882" i="6" s="1"/>
  <c r="D882" i="6"/>
  <c r="L882" i="6" s="1"/>
  <c r="C982" i="6"/>
  <c r="K982" i="6" s="1"/>
  <c r="B982" i="6"/>
  <c r="J982" i="6" s="1"/>
  <c r="D982" i="6"/>
  <c r="L982" i="6" s="1"/>
  <c r="B1082" i="6"/>
  <c r="J1082" i="6" s="1"/>
  <c r="D1082" i="6"/>
  <c r="L1082" i="6" s="1"/>
  <c r="C1082" i="6"/>
  <c r="K1082" i="6" s="1"/>
  <c r="D423" i="6"/>
  <c r="L423" i="6" s="1"/>
  <c r="C423" i="6"/>
  <c r="K423" i="6" s="1"/>
  <c r="B423" i="6"/>
  <c r="J423" i="6" s="1"/>
  <c r="J1031" i="6"/>
  <c r="K863" i="6"/>
  <c r="C709" i="6"/>
  <c r="K709" i="6" s="1"/>
  <c r="B709" i="6"/>
  <c r="J709" i="6" s="1"/>
  <c r="D709" i="6"/>
  <c r="L709" i="6" s="1"/>
  <c r="C5" i="6"/>
  <c r="K5" i="6" s="1"/>
  <c r="B5" i="6"/>
  <c r="J5" i="6" s="1"/>
  <c r="D5" i="6"/>
  <c r="L5" i="6" s="1"/>
  <c r="D335" i="6"/>
  <c r="L335" i="6" s="1"/>
  <c r="B335" i="6"/>
  <c r="J335" i="6" s="1"/>
  <c r="C335" i="6"/>
  <c r="K335" i="6" s="1"/>
  <c r="B379" i="6"/>
  <c r="J379" i="6" s="1"/>
  <c r="C379" i="6"/>
  <c r="K379" i="6" s="1"/>
  <c r="D379" i="6"/>
  <c r="L379" i="6" s="1"/>
  <c r="C769" i="6"/>
  <c r="K769" i="6" s="1"/>
  <c r="D769" i="6"/>
  <c r="L769" i="6" s="1"/>
  <c r="B769" i="6"/>
  <c r="J769" i="6" s="1"/>
  <c r="D1079" i="6"/>
  <c r="L1079" i="6" s="1"/>
  <c r="C1079" i="6"/>
  <c r="K1079" i="6" s="1"/>
  <c r="B1079" i="6"/>
  <c r="J1079" i="6" s="1"/>
  <c r="B535" i="6"/>
  <c r="J535" i="6" s="1"/>
  <c r="C535" i="6"/>
  <c r="K535" i="6" s="1"/>
  <c r="D535" i="6"/>
  <c r="L535" i="6" s="1"/>
  <c r="B359" i="6"/>
  <c r="J359" i="6" s="1"/>
  <c r="D359" i="6"/>
  <c r="L359" i="6" s="1"/>
  <c r="C359" i="6"/>
  <c r="K359" i="6" s="1"/>
  <c r="D799" i="6"/>
  <c r="L799" i="6" s="1"/>
  <c r="B799" i="6"/>
  <c r="J799" i="6" s="1"/>
  <c r="C799" i="6"/>
  <c r="K799" i="6" s="1"/>
  <c r="L161" i="6"/>
  <c r="C439" i="6"/>
  <c r="K439" i="6" s="1"/>
  <c r="B439" i="6"/>
  <c r="J439" i="6" s="1"/>
  <c r="D439" i="6"/>
  <c r="L439" i="6" s="1"/>
  <c r="D885" i="6"/>
  <c r="L885" i="6" s="1"/>
  <c r="C885" i="6"/>
  <c r="K885" i="6" s="1"/>
  <c r="B885" i="6"/>
  <c r="J885" i="6" s="1"/>
  <c r="B229" i="6"/>
  <c r="J229" i="6" s="1"/>
  <c r="C229" i="6"/>
  <c r="K229" i="6" s="1"/>
  <c r="D229" i="6"/>
  <c r="L229" i="6" s="1"/>
  <c r="J955" i="6"/>
  <c r="B90" i="6"/>
  <c r="J90" i="6" s="1"/>
  <c r="C90" i="6"/>
  <c r="K90" i="6" s="1"/>
  <c r="D90" i="6"/>
  <c r="L90" i="6" s="1"/>
  <c r="D793" i="6"/>
  <c r="L793" i="6" s="1"/>
  <c r="B793" i="6"/>
  <c r="J793" i="6" s="1"/>
  <c r="C793" i="6"/>
  <c r="K793" i="6" s="1"/>
  <c r="C6" i="6"/>
  <c r="K6" i="6" s="1"/>
  <c r="D6" i="6"/>
  <c r="L6" i="6" s="1"/>
  <c r="B6" i="6"/>
  <c r="J6" i="6" s="1"/>
  <c r="C106" i="6"/>
  <c r="K106" i="6" s="1"/>
  <c r="D106" i="6"/>
  <c r="B106" i="6"/>
  <c r="J106" i="6" s="1"/>
  <c r="B206" i="6"/>
  <c r="C206" i="6"/>
  <c r="D206" i="6"/>
  <c r="C306" i="6"/>
  <c r="K306" i="6" s="1"/>
  <c r="B306" i="6"/>
  <c r="J306" i="6" s="1"/>
  <c r="D306" i="6"/>
  <c r="L306" i="6" s="1"/>
  <c r="B406" i="6"/>
  <c r="J406" i="6" s="1"/>
  <c r="C406" i="6"/>
  <c r="K406" i="6" s="1"/>
  <c r="D406" i="6"/>
  <c r="L406" i="6" s="1"/>
  <c r="B506" i="6"/>
  <c r="J506" i="6" s="1"/>
  <c r="D506" i="6"/>
  <c r="L506" i="6" s="1"/>
  <c r="C506" i="6"/>
  <c r="K506" i="6" s="1"/>
  <c r="B606" i="6"/>
  <c r="C606" i="6"/>
  <c r="D606" i="6"/>
  <c r="L606" i="6" s="1"/>
  <c r="B706" i="6"/>
  <c r="J706" i="6" s="1"/>
  <c r="C706" i="6"/>
  <c r="K706" i="6" s="1"/>
  <c r="D706" i="6"/>
  <c r="L706" i="6" s="1"/>
  <c r="B806" i="6"/>
  <c r="J806" i="6" s="1"/>
  <c r="C806" i="6"/>
  <c r="K806" i="6" s="1"/>
  <c r="D806" i="6"/>
  <c r="D1028" i="6"/>
  <c r="L1028" i="6" s="1"/>
  <c r="B1028" i="6"/>
  <c r="J1028" i="6" s="1"/>
  <c r="C1028" i="6"/>
  <c r="K1028" i="6" s="1"/>
  <c r="B701" i="6"/>
  <c r="J701" i="6" s="1"/>
  <c r="D701" i="6"/>
  <c r="L701" i="6" s="1"/>
  <c r="C701" i="6"/>
  <c r="K701" i="6" s="1"/>
  <c r="B941" i="6"/>
  <c r="J941" i="6" s="1"/>
  <c r="D941" i="6"/>
  <c r="L941" i="6" s="1"/>
  <c r="C941" i="6"/>
  <c r="K941" i="6" s="1"/>
  <c r="B971" i="6"/>
  <c r="J971" i="6" s="1"/>
  <c r="C971" i="6"/>
  <c r="K971" i="6" s="1"/>
  <c r="D971" i="6"/>
  <c r="L971" i="6" s="1"/>
  <c r="B931" i="6"/>
  <c r="C931" i="6"/>
  <c r="D931" i="6"/>
  <c r="L931" i="6" s="1"/>
  <c r="B991" i="6"/>
  <c r="J991" i="6" s="1"/>
  <c r="C991" i="6"/>
  <c r="K991" i="6" s="1"/>
  <c r="D991" i="6"/>
  <c r="L991" i="6" s="1"/>
  <c r="L491" i="6"/>
  <c r="C1095" i="6"/>
  <c r="K1095" i="6" s="1"/>
  <c r="D1095" i="6"/>
  <c r="L1095" i="6" s="1"/>
  <c r="B1095" i="6"/>
  <c r="D1005" i="6"/>
  <c r="B1005" i="6"/>
  <c r="J1005" i="6" s="1"/>
  <c r="C1005" i="6"/>
  <c r="D889" i="6"/>
  <c r="L889" i="6" s="1"/>
  <c r="B889" i="6"/>
  <c r="J889" i="6" s="1"/>
  <c r="C889" i="6"/>
  <c r="K889" i="6" s="1"/>
  <c r="D355" i="6"/>
  <c r="L355" i="6" s="1"/>
  <c r="B355" i="6"/>
  <c r="J355" i="6" s="1"/>
  <c r="C355" i="6"/>
  <c r="K355" i="6" s="1"/>
  <c r="C550" i="6"/>
  <c r="K550" i="6" s="1"/>
  <c r="D550" i="6"/>
  <c r="L550" i="6" s="1"/>
  <c r="B550" i="6"/>
  <c r="J550" i="6" s="1"/>
  <c r="B193" i="6"/>
  <c r="J193" i="6" s="1"/>
  <c r="C193" i="6"/>
  <c r="K193" i="6" s="1"/>
  <c r="D193" i="6"/>
  <c r="L193" i="6" s="1"/>
  <c r="C650" i="6"/>
  <c r="K650" i="6" s="1"/>
  <c r="B650" i="6"/>
  <c r="D650" i="6"/>
  <c r="L650" i="6" s="1"/>
  <c r="C740" i="6"/>
  <c r="K740" i="6" s="1"/>
  <c r="B740" i="6"/>
  <c r="J740" i="6" s="1"/>
  <c r="D740" i="6"/>
  <c r="L740" i="6" s="1"/>
  <c r="D583" i="6"/>
  <c r="L583" i="6" s="1"/>
  <c r="B583" i="6"/>
  <c r="J583" i="6" s="1"/>
  <c r="C583" i="6"/>
  <c r="K583" i="6" s="1"/>
  <c r="C143" i="6"/>
  <c r="K143" i="6" s="1"/>
  <c r="D143" i="6"/>
  <c r="L143" i="6" s="1"/>
  <c r="B143" i="6"/>
  <c r="J143" i="6" s="1"/>
  <c r="B393" i="6"/>
  <c r="J393" i="6" s="1"/>
  <c r="D393" i="6"/>
  <c r="L393" i="6" s="1"/>
  <c r="C393" i="6"/>
  <c r="K393" i="6" s="1"/>
  <c r="D76" i="6"/>
  <c r="B76" i="6"/>
  <c r="J76" i="6" s="1"/>
  <c r="C76" i="6"/>
  <c r="K76" i="6" s="1"/>
  <c r="D176" i="6"/>
  <c r="L176" i="6" s="1"/>
  <c r="C176" i="6"/>
  <c r="K176" i="6" s="1"/>
  <c r="B176" i="6"/>
  <c r="J176" i="6" s="1"/>
  <c r="B276" i="6"/>
  <c r="J276" i="6" s="1"/>
  <c r="C276" i="6"/>
  <c r="K276" i="6" s="1"/>
  <c r="D276" i="6"/>
  <c r="L276" i="6" s="1"/>
  <c r="B376" i="6"/>
  <c r="J376" i="6" s="1"/>
  <c r="C376" i="6"/>
  <c r="K376" i="6" s="1"/>
  <c r="D376" i="6"/>
  <c r="L376" i="6" s="1"/>
  <c r="B476" i="6"/>
  <c r="J476" i="6" s="1"/>
  <c r="C476" i="6"/>
  <c r="K476" i="6" s="1"/>
  <c r="D476" i="6"/>
  <c r="L476" i="6" s="1"/>
  <c r="B576" i="6"/>
  <c r="J576" i="6" s="1"/>
  <c r="D576" i="6"/>
  <c r="L576" i="6" s="1"/>
  <c r="C576" i="6"/>
  <c r="K576" i="6" s="1"/>
  <c r="B676" i="6"/>
  <c r="J676" i="6" s="1"/>
  <c r="D676" i="6"/>
  <c r="L676" i="6" s="1"/>
  <c r="C676" i="6"/>
  <c r="B776" i="6"/>
  <c r="D776" i="6"/>
  <c r="C776" i="6"/>
  <c r="K776" i="6" s="1"/>
  <c r="C741" i="6"/>
  <c r="K741" i="6" s="1"/>
  <c r="D741" i="6"/>
  <c r="L741" i="6" s="1"/>
  <c r="B741" i="6"/>
  <c r="J741" i="6" s="1"/>
  <c r="B1011" i="6"/>
  <c r="C1011" i="6"/>
  <c r="D1011" i="6"/>
  <c r="L1011" i="6" s="1"/>
  <c r="B801" i="6"/>
  <c r="C801" i="6"/>
  <c r="K801" i="6" s="1"/>
  <c r="D801" i="6"/>
  <c r="L801" i="6" s="1"/>
  <c r="B771" i="6"/>
  <c r="J771" i="6" s="1"/>
  <c r="C771" i="6"/>
  <c r="K771" i="6" s="1"/>
  <c r="D771" i="6"/>
  <c r="L771" i="6" s="1"/>
  <c r="C781" i="6"/>
  <c r="K781" i="6" s="1"/>
  <c r="B781" i="6"/>
  <c r="D781" i="6"/>
  <c r="B86" i="6"/>
  <c r="J86" i="6" s="1"/>
  <c r="C86" i="6"/>
  <c r="K86" i="6" s="1"/>
  <c r="D86" i="6"/>
  <c r="L86" i="6" s="1"/>
  <c r="C186" i="6"/>
  <c r="K186" i="6" s="1"/>
  <c r="D186" i="6"/>
  <c r="L186" i="6" s="1"/>
  <c r="B186" i="6"/>
  <c r="J186" i="6" s="1"/>
  <c r="C286" i="6"/>
  <c r="K286" i="6" s="1"/>
  <c r="D286" i="6"/>
  <c r="L286" i="6" s="1"/>
  <c r="B286" i="6"/>
  <c r="J286" i="6" s="1"/>
  <c r="C386" i="6"/>
  <c r="K386" i="6" s="1"/>
  <c r="B386" i="6"/>
  <c r="J386" i="6" s="1"/>
  <c r="D386" i="6"/>
  <c r="B486" i="6"/>
  <c r="J486" i="6" s="1"/>
  <c r="C486" i="6"/>
  <c r="K486" i="6" s="1"/>
  <c r="D486" i="6"/>
  <c r="L486" i="6" s="1"/>
  <c r="B586" i="6"/>
  <c r="D586" i="6"/>
  <c r="L586" i="6" s="1"/>
  <c r="C586" i="6"/>
  <c r="B686" i="6"/>
  <c r="D686" i="6"/>
  <c r="C686" i="6"/>
  <c r="K686" i="6" s="1"/>
  <c r="B786" i="6"/>
  <c r="J786" i="6" s="1"/>
  <c r="C786" i="6"/>
  <c r="K786" i="6" s="1"/>
  <c r="D786" i="6"/>
  <c r="L786" i="6" s="1"/>
  <c r="B918" i="6"/>
  <c r="J918" i="6" s="1"/>
  <c r="C918" i="6"/>
  <c r="K918" i="6" s="1"/>
  <c r="D918" i="6"/>
  <c r="L918" i="6" s="1"/>
  <c r="D958" i="6"/>
  <c r="L958" i="6" s="1"/>
  <c r="B958" i="6"/>
  <c r="J958" i="6" s="1"/>
  <c r="C958" i="6"/>
  <c r="K958" i="6" s="1"/>
  <c r="C841" i="6"/>
  <c r="K841" i="6" s="1"/>
  <c r="D841" i="6"/>
  <c r="L841" i="6" s="1"/>
  <c r="B841" i="6"/>
  <c r="J841" i="6" s="1"/>
  <c r="B1061" i="6"/>
  <c r="C1061" i="6"/>
  <c r="D1061" i="6"/>
  <c r="L1061" i="6" s="1"/>
  <c r="B861" i="6"/>
  <c r="J861" i="6" s="1"/>
  <c r="C861" i="6"/>
  <c r="K861" i="6" s="1"/>
  <c r="D861" i="6"/>
  <c r="L861" i="6" s="1"/>
  <c r="D821" i="6"/>
  <c r="L821" i="6" s="1"/>
  <c r="C821" i="6"/>
  <c r="B821" i="6"/>
  <c r="J821" i="6" s="1"/>
  <c r="B831" i="6"/>
  <c r="J831" i="6" s="1"/>
  <c r="C831" i="6"/>
  <c r="K831" i="6" s="1"/>
  <c r="D831" i="6"/>
  <c r="L831" i="6" s="1"/>
  <c r="L503" i="6"/>
  <c r="B1041" i="6"/>
  <c r="J1041" i="6" s="1"/>
  <c r="D1041" i="6"/>
  <c r="L1041" i="6" s="1"/>
  <c r="C1041" i="6"/>
  <c r="K1041" i="6" s="1"/>
  <c r="B981" i="6"/>
  <c r="J981" i="6" s="1"/>
  <c r="D981" i="6"/>
  <c r="L981" i="6" s="1"/>
  <c r="C981" i="6"/>
  <c r="K981" i="6" s="1"/>
  <c r="D1081" i="6"/>
  <c r="L1081" i="6" s="1"/>
  <c r="B1081" i="6"/>
  <c r="J1081" i="6" s="1"/>
  <c r="C1081" i="6"/>
  <c r="K1081" i="6" s="1"/>
  <c r="B779" i="6"/>
  <c r="J779" i="6" s="1"/>
  <c r="C779" i="6"/>
  <c r="K779" i="6" s="1"/>
  <c r="D779" i="6"/>
  <c r="L779" i="6" s="1"/>
  <c r="B819" i="6"/>
  <c r="J819" i="6" s="1"/>
  <c r="C819" i="6"/>
  <c r="K819" i="6" s="1"/>
  <c r="D819" i="6"/>
  <c r="L819" i="6" s="1"/>
  <c r="K718" i="6"/>
  <c r="J675" i="6"/>
  <c r="J690" i="6"/>
  <c r="J595" i="6"/>
  <c r="J640" i="6"/>
  <c r="K728" i="6"/>
  <c r="K588" i="6"/>
  <c r="K625" i="6"/>
  <c r="J540" i="6"/>
  <c r="J725" i="6"/>
  <c r="K638" i="6"/>
  <c r="K548" i="6"/>
  <c r="J8" i="6"/>
  <c r="J263" i="6"/>
  <c r="J413" i="6"/>
  <c r="L440" i="6"/>
  <c r="L408" i="6"/>
  <c r="J785" i="6"/>
  <c r="L690" i="6"/>
  <c r="J728" i="6"/>
  <c r="J836" i="6"/>
  <c r="L266" i="6"/>
  <c r="L386" i="6"/>
  <c r="K828" i="6"/>
  <c r="J946" i="6"/>
  <c r="K846" i="6"/>
  <c r="L1051" i="6"/>
  <c r="K955" i="6"/>
  <c r="L50" i="6"/>
  <c r="J221" i="6"/>
  <c r="J508" i="6"/>
  <c r="J651" i="6"/>
  <c r="K598" i="6"/>
  <c r="J846" i="6"/>
  <c r="J1051" i="6"/>
  <c r="K961" i="6"/>
  <c r="J634" i="6"/>
  <c r="L1071" i="6"/>
  <c r="J208" i="6"/>
  <c r="J136" i="6"/>
  <c r="J400" i="6"/>
  <c r="L275" i="6"/>
  <c r="K136" i="6"/>
  <c r="K690" i="6"/>
  <c r="J815" i="6"/>
  <c r="K1046" i="6"/>
  <c r="J308" i="6"/>
  <c r="L400" i="6"/>
  <c r="J626" i="6"/>
  <c r="K700" i="6"/>
  <c r="J708" i="6"/>
  <c r="J895" i="6"/>
  <c r="K775" i="6"/>
  <c r="K913" i="6"/>
  <c r="L993" i="6"/>
  <c r="K891" i="6"/>
  <c r="J558" i="6"/>
  <c r="J584" i="6"/>
  <c r="J598" i="6"/>
  <c r="J628" i="6"/>
  <c r="J645" i="6"/>
  <c r="J658" i="6"/>
  <c r="J694" i="6"/>
  <c r="J678" i="6"/>
  <c r="K546" i="6"/>
  <c r="K571" i="6"/>
  <c r="K566" i="6"/>
  <c r="K726" i="6"/>
  <c r="L398" i="6"/>
  <c r="J993" i="6"/>
  <c r="J528" i="6"/>
  <c r="J614" i="6"/>
  <c r="J648" i="6"/>
  <c r="K556" i="6"/>
  <c r="K721" i="6"/>
  <c r="K34" i="6"/>
  <c r="J28" i="6"/>
  <c r="J111" i="6"/>
  <c r="L634" i="6"/>
  <c r="K148" i="6"/>
  <c r="J44" i="6"/>
  <c r="L76" i="6"/>
  <c r="L1050" i="6"/>
  <c r="L728" i="6"/>
  <c r="L221" i="6"/>
  <c r="J875" i="6"/>
  <c r="J936" i="6"/>
  <c r="J1036" i="6"/>
  <c r="K986" i="6"/>
  <c r="K1036" i="6"/>
  <c r="L108" i="6"/>
  <c r="L134" i="6"/>
  <c r="L208" i="6"/>
  <c r="J348" i="6"/>
  <c r="J408" i="6"/>
  <c r="L308" i="6"/>
  <c r="L764" i="6"/>
  <c r="J718" i="6"/>
  <c r="L431" i="6"/>
  <c r="J905" i="6"/>
  <c r="J1088" i="6"/>
  <c r="K808" i="6"/>
  <c r="L1038" i="6"/>
  <c r="K836" i="6"/>
  <c r="L686" i="6"/>
  <c r="J225" i="6"/>
  <c r="J431" i="6"/>
  <c r="K171" i="6"/>
  <c r="L808" i="6"/>
  <c r="J891" i="6"/>
  <c r="J976" i="6"/>
  <c r="K936" i="6"/>
  <c r="K688" i="6"/>
  <c r="K608" i="6"/>
  <c r="L245" i="6"/>
  <c r="L88" i="6"/>
  <c r="L198" i="6"/>
  <c r="L474" i="6"/>
  <c r="J513" i="6"/>
  <c r="L540" i="6"/>
  <c r="L595" i="6"/>
  <c r="J561" i="6"/>
  <c r="K675" i="6"/>
  <c r="J688" i="6"/>
  <c r="J713" i="6"/>
  <c r="L206" i="6"/>
  <c r="K388" i="6"/>
  <c r="K498" i="6"/>
  <c r="K618" i="6"/>
  <c r="J781" i="6"/>
  <c r="J334" i="6"/>
  <c r="L436" i="6"/>
  <c r="K1024" i="6"/>
  <c r="K713" i="6"/>
  <c r="L1034" i="6"/>
  <c r="J1066" i="6"/>
  <c r="L571" i="6"/>
  <c r="L781" i="6"/>
  <c r="K525" i="6"/>
  <c r="K561" i="6"/>
  <c r="K600" i="6"/>
  <c r="K606" i="6"/>
  <c r="K636" i="6"/>
  <c r="K540" i="6"/>
  <c r="K595" i="6"/>
  <c r="J571" i="6"/>
  <c r="L794" i="6"/>
  <c r="L665" i="6"/>
  <c r="L695" i="6"/>
  <c r="L131" i="6"/>
  <c r="L156" i="6"/>
  <c r="L788" i="6"/>
  <c r="K676" i="6"/>
  <c r="J234" i="6"/>
  <c r="J474" i="6"/>
  <c r="K813" i="6"/>
  <c r="J921" i="6"/>
  <c r="K1021" i="6"/>
  <c r="L914" i="6"/>
  <c r="L976" i="6"/>
  <c r="J388" i="6"/>
  <c r="J456" i="6"/>
  <c r="L488" i="6"/>
  <c r="L513" i="6"/>
  <c r="L573" i="6"/>
  <c r="J686" i="6"/>
  <c r="J698" i="6"/>
  <c r="L81" i="6"/>
  <c r="L106" i="6"/>
  <c r="J134" i="6"/>
  <c r="J988" i="6"/>
  <c r="K398" i="6"/>
  <c r="L236" i="6"/>
  <c r="K1034" i="6"/>
  <c r="K698" i="6"/>
  <c r="L923" i="6"/>
  <c r="J956" i="6"/>
  <c r="J1011" i="6"/>
  <c r="K911" i="6"/>
  <c r="J549" i="6"/>
  <c r="K1076" i="6"/>
  <c r="L911" i="6"/>
  <c r="L1021" i="6"/>
  <c r="K528" i="6"/>
  <c r="K574" i="6"/>
  <c r="K558" i="6"/>
  <c r="K715" i="6"/>
  <c r="K591" i="6"/>
  <c r="K631" i="6"/>
  <c r="K616" i="6"/>
  <c r="K651" i="6"/>
  <c r="K678" i="6"/>
  <c r="L636" i="6"/>
  <c r="L44" i="6"/>
  <c r="K175" i="6"/>
  <c r="K225" i="6"/>
  <c r="J131" i="6"/>
  <c r="L614" i="6"/>
  <c r="J498" i="6"/>
  <c r="K98" i="6"/>
  <c r="J321" i="6"/>
  <c r="J606" i="6"/>
  <c r="L688" i="6"/>
  <c r="K206" i="6"/>
  <c r="J665" i="6"/>
  <c r="L725" i="6"/>
  <c r="K288" i="6"/>
  <c r="L56" i="6"/>
  <c r="L321" i="6"/>
  <c r="L894" i="6"/>
  <c r="K758" i="6"/>
  <c r="K856" i="6"/>
  <c r="J914" i="6"/>
  <c r="K88" i="6"/>
  <c r="K354" i="6"/>
  <c r="L354" i="6"/>
  <c r="J35" i="6"/>
  <c r="L188" i="6"/>
  <c r="L298" i="6"/>
  <c r="J326" i="6"/>
  <c r="K236" i="6"/>
  <c r="K665" i="6"/>
  <c r="L675" i="6"/>
  <c r="K318" i="6"/>
  <c r="L785" i="6"/>
  <c r="J825" i="6"/>
  <c r="J900" i="6"/>
  <c r="J950" i="6"/>
  <c r="L988" i="6"/>
  <c r="K886" i="6"/>
  <c r="L1024" i="6"/>
  <c r="L866" i="6"/>
  <c r="K40" i="6"/>
  <c r="L140" i="6"/>
  <c r="L288" i="6"/>
  <c r="L98" i="6"/>
  <c r="J236" i="6"/>
  <c r="J140" i="6"/>
  <c r="K155" i="6"/>
  <c r="L35" i="6"/>
  <c r="J81" i="6"/>
  <c r="L395" i="6"/>
  <c r="J436" i="6"/>
  <c r="J636" i="6"/>
  <c r="J695" i="6"/>
  <c r="K725" i="6"/>
  <c r="J788" i="6"/>
  <c r="L798" i="6"/>
  <c r="J856" i="6"/>
  <c r="L326" i="6"/>
  <c r="K884" i="6"/>
  <c r="J1035" i="6"/>
  <c r="K798" i="6"/>
  <c r="J966" i="6"/>
  <c r="J1056" i="6"/>
  <c r="L921" i="6"/>
  <c r="L1086" i="6"/>
  <c r="J526" i="6"/>
  <c r="J564" i="6"/>
  <c r="J206" i="6"/>
  <c r="J15" i="6"/>
  <c r="L40" i="6"/>
  <c r="K794" i="6"/>
  <c r="J588" i="6"/>
  <c r="J331" i="6"/>
  <c r="L388" i="6"/>
  <c r="K331" i="6"/>
  <c r="J1053" i="6"/>
  <c r="J801" i="6"/>
  <c r="K596" i="6"/>
  <c r="K914" i="6"/>
  <c r="J1021" i="6"/>
  <c r="K956" i="6"/>
  <c r="J1086" i="6"/>
  <c r="K1056" i="6"/>
  <c r="J40" i="6"/>
  <c r="J245" i="6"/>
  <c r="L15" i="6"/>
  <c r="J98" i="6"/>
  <c r="L588" i="6"/>
  <c r="K161" i="6"/>
  <c r="J818" i="6"/>
  <c r="J923" i="6"/>
  <c r="L950" i="6"/>
  <c r="L718" i="6"/>
  <c r="J904" i="6"/>
  <c r="J554" i="6"/>
  <c r="A1986" i="4"/>
  <c r="B1987" i="4"/>
  <c r="K1096" i="6"/>
  <c r="K1075" i="6"/>
  <c r="J231" i="6"/>
  <c r="L323" i="6"/>
  <c r="K231" i="6"/>
  <c r="K256" i="6"/>
  <c r="J768" i="6"/>
  <c r="K368" i="6"/>
  <c r="K468" i="6"/>
  <c r="K568" i="6"/>
  <c r="K593" i="6"/>
  <c r="K668" i="6"/>
  <c r="L296" i="6"/>
  <c r="L471" i="6"/>
  <c r="J965" i="6"/>
  <c r="K748" i="6"/>
  <c r="K931" i="6"/>
  <c r="K1031" i="6"/>
  <c r="L944" i="6"/>
  <c r="K938" i="6"/>
  <c r="J534" i="6"/>
  <c r="L1031" i="6"/>
  <c r="L681" i="6"/>
  <c r="J1095" i="6"/>
  <c r="J2" i="6"/>
  <c r="J125" i="6"/>
  <c r="J38" i="6"/>
  <c r="J113" i="6"/>
  <c r="J138" i="6"/>
  <c r="J238" i="6"/>
  <c r="J275" i="6"/>
  <c r="J500" i="6"/>
  <c r="J625" i="6"/>
  <c r="J650" i="6"/>
  <c r="K290" i="6"/>
  <c r="L505" i="6"/>
  <c r="K113" i="6"/>
  <c r="K138" i="6"/>
  <c r="L36" i="6"/>
  <c r="L738" i="6"/>
  <c r="L838" i="6"/>
  <c r="J274" i="6"/>
  <c r="K1074" i="6"/>
  <c r="L1085" i="6"/>
  <c r="J896" i="6"/>
  <c r="J996" i="6"/>
  <c r="L536" i="6"/>
  <c r="J894" i="6"/>
  <c r="L961" i="6"/>
  <c r="L776" i="6"/>
  <c r="L806" i="6"/>
  <c r="K1005" i="6"/>
  <c r="J68" i="6"/>
  <c r="J168" i="6"/>
  <c r="L38" i="6"/>
  <c r="L113" i="6"/>
  <c r="L138" i="6"/>
  <c r="L238" i="6"/>
  <c r="J505" i="6"/>
  <c r="K68" i="6"/>
  <c r="K168" i="6"/>
  <c r="J681" i="6"/>
  <c r="L775" i="6"/>
  <c r="L1000" i="6"/>
  <c r="L768" i="6"/>
  <c r="K681" i="6"/>
  <c r="J926" i="6"/>
  <c r="J1026" i="6"/>
  <c r="J1074" i="6"/>
  <c r="L1096" i="6"/>
  <c r="J338" i="6"/>
  <c r="J438" i="6"/>
  <c r="J463" i="6"/>
  <c r="J538" i="6"/>
  <c r="J638" i="6"/>
  <c r="K366" i="6"/>
  <c r="K685" i="6"/>
  <c r="L685" i="6"/>
  <c r="J903" i="6"/>
  <c r="L231" i="6"/>
  <c r="J1000" i="6"/>
  <c r="K923" i="6"/>
  <c r="J1061" i="6"/>
  <c r="J1084" i="6"/>
  <c r="K975" i="6"/>
  <c r="L95" i="6"/>
  <c r="L168" i="6"/>
  <c r="L268" i="6"/>
  <c r="L290" i="6"/>
  <c r="J536" i="6"/>
  <c r="J586" i="6"/>
  <c r="J738" i="6"/>
  <c r="L1005" i="6"/>
  <c r="L748" i="6"/>
  <c r="K536" i="6"/>
  <c r="K586" i="6"/>
  <c r="K1084" i="6"/>
  <c r="J931" i="6"/>
  <c r="L1088" i="6"/>
  <c r="K1061" i="6"/>
  <c r="L851" i="6"/>
  <c r="L125" i="6"/>
  <c r="J268" i="6"/>
  <c r="J368" i="6"/>
  <c r="J468" i="6"/>
  <c r="J568" i="6"/>
  <c r="J593" i="6"/>
  <c r="L338" i="6"/>
  <c r="L438" i="6"/>
  <c r="L463" i="6"/>
  <c r="L538" i="6"/>
  <c r="L638" i="6"/>
  <c r="J776" i="6"/>
  <c r="J851" i="6"/>
  <c r="K838" i="6"/>
  <c r="K821" i="6"/>
  <c r="K896" i="6"/>
  <c r="J366" i="6"/>
  <c r="J466" i="6"/>
  <c r="J668" i="6"/>
  <c r="L126" i="6"/>
  <c r="K466" i="6"/>
  <c r="L926" i="6"/>
  <c r="K1066" i="6"/>
  <c r="J794" i="6"/>
  <c r="J1085" i="6"/>
  <c r="J126" i="6"/>
  <c r="J323" i="6"/>
  <c r="L468" i="6"/>
  <c r="L568" i="6"/>
  <c r="L593" i="6"/>
  <c r="L668" i="6"/>
  <c r="J938" i="6"/>
  <c r="K1026" i="6"/>
  <c r="H1975" i="4" l="1"/>
  <c r="I1975" i="4"/>
  <c r="D1983" i="4"/>
  <c r="L1983" i="4"/>
  <c r="G1971" i="4"/>
  <c r="I1971" i="4"/>
  <c r="H1971" i="4"/>
  <c r="H1969" i="4"/>
  <c r="G1969" i="4"/>
  <c r="I1969" i="4"/>
  <c r="H1968" i="4"/>
  <c r="I1968" i="4"/>
  <c r="G1968" i="4"/>
  <c r="H1970" i="4"/>
  <c r="G1970" i="4"/>
  <c r="I1970" i="4"/>
  <c r="I1980" i="4"/>
  <c r="H1980" i="4"/>
  <c r="G1980" i="4"/>
  <c r="G1974" i="4"/>
  <c r="H1974" i="4"/>
  <c r="I1974" i="4"/>
  <c r="H1972" i="4"/>
  <c r="G1972" i="4"/>
  <c r="I1972" i="4"/>
  <c r="D1984" i="4"/>
  <c r="L1984" i="4"/>
  <c r="C1986" i="4"/>
  <c r="M1986" i="4"/>
  <c r="C1985" i="4"/>
  <c r="M1985" i="4"/>
  <c r="A1987" i="4"/>
  <c r="B1988" i="4"/>
  <c r="H1983" i="4" l="1"/>
  <c r="G1983" i="4"/>
  <c r="I1983" i="4"/>
  <c r="C1987" i="4"/>
  <c r="M1987" i="4"/>
  <c r="D1985" i="4"/>
  <c r="L1985" i="4"/>
  <c r="D1986" i="4"/>
  <c r="L1986" i="4"/>
  <c r="G1984" i="4"/>
  <c r="H1984" i="4"/>
  <c r="I1984" i="4"/>
  <c r="B1989" i="4"/>
  <c r="A1988" i="4"/>
  <c r="I1986" i="4" l="1"/>
  <c r="G1986" i="4"/>
  <c r="H1986" i="4"/>
  <c r="G1985" i="4"/>
  <c r="I1985" i="4"/>
  <c r="H1985" i="4"/>
  <c r="D1987" i="4"/>
  <c r="L1987" i="4"/>
  <c r="C1988" i="4"/>
  <c r="M1988" i="4"/>
  <c r="B1990" i="4"/>
  <c r="A1989" i="4"/>
  <c r="D1988" i="4" l="1"/>
  <c r="L1988" i="4"/>
  <c r="G1987" i="4"/>
  <c r="H1987" i="4"/>
  <c r="I1987" i="4"/>
  <c r="C1989" i="4"/>
  <c r="M1989" i="4"/>
  <c r="B1991" i="4"/>
  <c r="A1990" i="4"/>
  <c r="C1990" i="4" l="1"/>
  <c r="M1990" i="4"/>
  <c r="D1989" i="4"/>
  <c r="L1989" i="4"/>
  <c r="I1988" i="4"/>
  <c r="H1988" i="4"/>
  <c r="G1988" i="4"/>
  <c r="B1992" i="4"/>
  <c r="A1991" i="4"/>
  <c r="C1991" i="4" l="1"/>
  <c r="M1991" i="4"/>
  <c r="I1989" i="4"/>
  <c r="H1989" i="4"/>
  <c r="G1989" i="4"/>
  <c r="D1990" i="4"/>
  <c r="L1990" i="4"/>
  <c r="A1992" i="4"/>
  <c r="B1993" i="4"/>
  <c r="H1990" i="4" l="1"/>
  <c r="I1990" i="4"/>
  <c r="G1990" i="4"/>
  <c r="C1992" i="4"/>
  <c r="M1992" i="4"/>
  <c r="D1991" i="4"/>
  <c r="L1991" i="4"/>
  <c r="B1994" i="4"/>
  <c r="A1993" i="4"/>
  <c r="C1993" i="4" l="1"/>
  <c r="M1993" i="4"/>
  <c r="H1991" i="4"/>
  <c r="I1991" i="4"/>
  <c r="G1991" i="4"/>
  <c r="D1992" i="4"/>
  <c r="L1992" i="4"/>
  <c r="B1995" i="4"/>
  <c r="B1996" i="4" s="1"/>
  <c r="A1994" i="4"/>
  <c r="A1996" i="4" l="1"/>
  <c r="B1997" i="4"/>
  <c r="C1994" i="4"/>
  <c r="M1994" i="4"/>
  <c r="H1992" i="4"/>
  <c r="G1992" i="4"/>
  <c r="I1992" i="4"/>
  <c r="D1993" i="4"/>
  <c r="L1993" i="4"/>
  <c r="A1995" i="4"/>
  <c r="M1996" i="4" l="1"/>
  <c r="C1996" i="4"/>
  <c r="A1997" i="4"/>
  <c r="C1995" i="4"/>
  <c r="M1995" i="4"/>
  <c r="G1993" i="4"/>
  <c r="H1993" i="4"/>
  <c r="I1993" i="4"/>
  <c r="D1994" i="4"/>
  <c r="L1994" i="4"/>
  <c r="M1997" i="4" l="1"/>
  <c r="C1997" i="4"/>
  <c r="D1996" i="4"/>
  <c r="L1996" i="4"/>
  <c r="G1994" i="4"/>
  <c r="I1994" i="4"/>
  <c r="H1994" i="4"/>
  <c r="D1995" i="4"/>
  <c r="L1995" i="4"/>
  <c r="B1998" i="4"/>
  <c r="G1996" i="4" l="1"/>
  <c r="H1996" i="4"/>
  <c r="I1996" i="4"/>
  <c r="D1997" i="4"/>
  <c r="L1997" i="4"/>
  <c r="I1995" i="4"/>
  <c r="H1995" i="4"/>
  <c r="G1995" i="4"/>
  <c r="B1999" i="4"/>
  <c r="A1998" i="4"/>
  <c r="G1997" i="4" l="1"/>
  <c r="H1997" i="4"/>
  <c r="I1997" i="4"/>
  <c r="C1998" i="4"/>
  <c r="M1998" i="4"/>
  <c r="B2000" i="4"/>
  <c r="A1999" i="4"/>
  <c r="C1999" i="4" l="1"/>
  <c r="M1999" i="4"/>
  <c r="D1998" i="4"/>
  <c r="L1998" i="4"/>
  <c r="B2001" i="4"/>
  <c r="A2000" i="4"/>
  <c r="C2000" i="4" l="1"/>
  <c r="M2000" i="4"/>
  <c r="G1998" i="4"/>
  <c r="H1998" i="4"/>
  <c r="I1998" i="4"/>
  <c r="D1999" i="4"/>
  <c r="L1999" i="4"/>
  <c r="B2002" i="4"/>
  <c r="A2001" i="4"/>
  <c r="C2001" i="4" l="1"/>
  <c r="M2001" i="4"/>
  <c r="H1999" i="4"/>
  <c r="G1999" i="4"/>
  <c r="I1999" i="4"/>
  <c r="D2000" i="4"/>
  <c r="L2000" i="4"/>
  <c r="B2003" i="4"/>
  <c r="A2002" i="4"/>
  <c r="C2002" i="4" l="1"/>
  <c r="M2002" i="4"/>
  <c r="H2000" i="4"/>
  <c r="I2000" i="4"/>
  <c r="G2000" i="4"/>
  <c r="D2001" i="4"/>
  <c r="L2001" i="4"/>
  <c r="B2004" i="4"/>
  <c r="A2003" i="4"/>
  <c r="C2003" i="4" l="1"/>
  <c r="M2003" i="4"/>
  <c r="H2001" i="4"/>
  <c r="I2001" i="4"/>
  <c r="G2001" i="4"/>
  <c r="D2002" i="4"/>
  <c r="L2002" i="4"/>
  <c r="B2005" i="4"/>
  <c r="A2004" i="4"/>
  <c r="I2002" i="4" l="1"/>
  <c r="H2002" i="4"/>
  <c r="G2002" i="4"/>
  <c r="D2003" i="4"/>
  <c r="L2003" i="4"/>
  <c r="C2004" i="4"/>
  <c r="M2004" i="4"/>
  <c r="B2006" i="4"/>
  <c r="A2005" i="4"/>
  <c r="C2005" i="4" l="1"/>
  <c r="M2005" i="4"/>
  <c r="D2004" i="4"/>
  <c r="L2004" i="4"/>
  <c r="I2003" i="4"/>
  <c r="G2003" i="4"/>
  <c r="H2003" i="4"/>
  <c r="B2007" i="4"/>
  <c r="A2006" i="4"/>
  <c r="C2006" i="4" l="1"/>
  <c r="M2006" i="4"/>
  <c r="G2004" i="4"/>
  <c r="I2004" i="4"/>
  <c r="H2004" i="4"/>
  <c r="D2005" i="4"/>
  <c r="L2005" i="4"/>
  <c r="B2008" i="4"/>
  <c r="A2007" i="4"/>
  <c r="C2007" i="4" l="1"/>
  <c r="M2007" i="4"/>
  <c r="G2005" i="4"/>
  <c r="H2005" i="4"/>
  <c r="I2005" i="4"/>
  <c r="D2006" i="4"/>
  <c r="L2006" i="4"/>
  <c r="B2009" i="4"/>
  <c r="A2008" i="4"/>
  <c r="C2008" i="4" l="1"/>
  <c r="M2008" i="4"/>
  <c r="H2006" i="4"/>
  <c r="G2006" i="4"/>
  <c r="I2006" i="4"/>
  <c r="D2007" i="4"/>
  <c r="L2007" i="4"/>
  <c r="B2010" i="4"/>
  <c r="B2011" i="4" s="1"/>
  <c r="A2009" i="4"/>
  <c r="A2011" i="4" l="1"/>
  <c r="B2012" i="4"/>
  <c r="C2009" i="4"/>
  <c r="M2009" i="4"/>
  <c r="G2007" i="4"/>
  <c r="I2007" i="4"/>
  <c r="H2007" i="4"/>
  <c r="D2008" i="4"/>
  <c r="L2008" i="4"/>
  <c r="A2010" i="4"/>
  <c r="M2011" i="4" l="1"/>
  <c r="C2011" i="4"/>
  <c r="A2012" i="4"/>
  <c r="C2010" i="4"/>
  <c r="M2010" i="4"/>
  <c r="G2008" i="4"/>
  <c r="H2008" i="4"/>
  <c r="I2008" i="4"/>
  <c r="D2009" i="4"/>
  <c r="L2009" i="4"/>
  <c r="M2012" i="4" l="1"/>
  <c r="C2012" i="4"/>
  <c r="D2011" i="4"/>
  <c r="L2011" i="4"/>
  <c r="I2009" i="4"/>
  <c r="H2009" i="4"/>
  <c r="G2009" i="4"/>
  <c r="D2010" i="4"/>
  <c r="L2010" i="4"/>
  <c r="B2013" i="4"/>
  <c r="I2011" i="4" l="1"/>
  <c r="H2011" i="4"/>
  <c r="G2011" i="4"/>
  <c r="D2012" i="4"/>
  <c r="L2012" i="4"/>
  <c r="I2010" i="4"/>
  <c r="H2010" i="4"/>
  <c r="G2010" i="4"/>
  <c r="B2014" i="4"/>
  <c r="A2013" i="4"/>
  <c r="I2012" i="4" l="1"/>
  <c r="G2012" i="4"/>
  <c r="H2012" i="4"/>
  <c r="C2013" i="4"/>
  <c r="M2013" i="4"/>
  <c r="B2015" i="4"/>
  <c r="A2014" i="4"/>
  <c r="C2014" i="4" l="1"/>
  <c r="M2014" i="4"/>
  <c r="D2013" i="4"/>
  <c r="L2013" i="4"/>
  <c r="B2016" i="4"/>
  <c r="A2015" i="4"/>
  <c r="C2015" i="4" l="1"/>
  <c r="M2015" i="4"/>
  <c r="H2013" i="4"/>
  <c r="G2013" i="4"/>
  <c r="I2013" i="4"/>
  <c r="D2014" i="4"/>
  <c r="L2014" i="4"/>
  <c r="B2017" i="4"/>
  <c r="A2016" i="4"/>
  <c r="H2014" i="4" l="1"/>
  <c r="G2014" i="4"/>
  <c r="I2014" i="4"/>
  <c r="D2015" i="4"/>
  <c r="L2015" i="4"/>
  <c r="C2016" i="4"/>
  <c r="M2016" i="4"/>
  <c r="B2018" i="4"/>
  <c r="A2017" i="4"/>
  <c r="C2017" i="4" l="1"/>
  <c r="M2017" i="4"/>
  <c r="D2016" i="4"/>
  <c r="L2016" i="4"/>
  <c r="I2015" i="4"/>
  <c r="H2015" i="4"/>
  <c r="G2015" i="4"/>
  <c r="B2019" i="4"/>
  <c r="A2018" i="4"/>
  <c r="H2016" i="4" l="1"/>
  <c r="G2016" i="4"/>
  <c r="I2016" i="4"/>
  <c r="D2017" i="4"/>
  <c r="L2017" i="4"/>
  <c r="C2018" i="4"/>
  <c r="M2018" i="4"/>
  <c r="B2020" i="4"/>
  <c r="A2019" i="4"/>
  <c r="C2019" i="4" l="1"/>
  <c r="M2019" i="4"/>
  <c r="D2018" i="4"/>
  <c r="L2018" i="4"/>
  <c r="H2017" i="4"/>
  <c r="G2017" i="4"/>
  <c r="I2017" i="4"/>
  <c r="B2021" i="4"/>
  <c r="A2020" i="4"/>
  <c r="C2020" i="4" l="1"/>
  <c r="M2020" i="4"/>
  <c r="H2018" i="4"/>
  <c r="I2018" i="4"/>
  <c r="G2018" i="4"/>
  <c r="D2019" i="4"/>
  <c r="L2019" i="4"/>
  <c r="B2022" i="4"/>
  <c r="A2021" i="4"/>
  <c r="H2019" i="4" l="1"/>
  <c r="I2019" i="4"/>
  <c r="G2019" i="4"/>
  <c r="D2020" i="4"/>
  <c r="L2020" i="4"/>
  <c r="C2021" i="4"/>
  <c r="M2021" i="4"/>
  <c r="B2023" i="4"/>
  <c r="A2022" i="4"/>
  <c r="D2021" i="4" l="1"/>
  <c r="L2021" i="4"/>
  <c r="H2020" i="4"/>
  <c r="I2020" i="4"/>
  <c r="G2020" i="4"/>
  <c r="C2022" i="4"/>
  <c r="M2022" i="4"/>
  <c r="B2024" i="4"/>
  <c r="A2023" i="4"/>
  <c r="D2022" i="4" l="1"/>
  <c r="L2022" i="4"/>
  <c r="C2023" i="4"/>
  <c r="M2023" i="4"/>
  <c r="H2021" i="4"/>
  <c r="I2021" i="4"/>
  <c r="G2021" i="4"/>
  <c r="B2025" i="4"/>
  <c r="B2026" i="4" s="1"/>
  <c r="A2024" i="4"/>
  <c r="B2027" i="4" l="1"/>
  <c r="A2026" i="4"/>
  <c r="C2024" i="4"/>
  <c r="M2024" i="4"/>
  <c r="D2023" i="4"/>
  <c r="L2023" i="4"/>
  <c r="H2022" i="4"/>
  <c r="I2022" i="4"/>
  <c r="G2022" i="4"/>
  <c r="A2025" i="4"/>
  <c r="M2026" i="4" l="1"/>
  <c r="C2026" i="4"/>
  <c r="A2027" i="4"/>
  <c r="C2025" i="4"/>
  <c r="M2025" i="4"/>
  <c r="G2023" i="4"/>
  <c r="H2023" i="4"/>
  <c r="I2023" i="4"/>
  <c r="D2024" i="4"/>
  <c r="L2024" i="4"/>
  <c r="C2027" i="4" l="1"/>
  <c r="M2027" i="4"/>
  <c r="D2026" i="4"/>
  <c r="L2026" i="4"/>
  <c r="H2024" i="4"/>
  <c r="I2024" i="4"/>
  <c r="G2024" i="4"/>
  <c r="D2025" i="4"/>
  <c r="L2025" i="4"/>
  <c r="B2028" i="4"/>
  <c r="G2026" i="4" l="1"/>
  <c r="H2026" i="4"/>
  <c r="I2026" i="4"/>
  <c r="D2027" i="4"/>
  <c r="L2027" i="4"/>
  <c r="H2025" i="4"/>
  <c r="G2025" i="4"/>
  <c r="I2025" i="4"/>
  <c r="B2029" i="4"/>
  <c r="A2028" i="4"/>
  <c r="H2027" i="4" l="1"/>
  <c r="I2027" i="4"/>
  <c r="G2027" i="4"/>
  <c r="C2028" i="4"/>
  <c r="M2028" i="4"/>
  <c r="B2030" i="4"/>
  <c r="A2029" i="4"/>
  <c r="C2029" i="4" l="1"/>
  <c r="M2029" i="4"/>
  <c r="D2028" i="4"/>
  <c r="L2028" i="4"/>
  <c r="B2031" i="4"/>
  <c r="A2030" i="4"/>
  <c r="C2030" i="4" l="1"/>
  <c r="M2030" i="4"/>
  <c r="H2028" i="4"/>
  <c r="G2028" i="4"/>
  <c r="I2028" i="4"/>
  <c r="D2029" i="4"/>
  <c r="L2029" i="4"/>
  <c r="B2032" i="4"/>
  <c r="A2031" i="4"/>
  <c r="C2031" i="4" l="1"/>
  <c r="M2031" i="4"/>
  <c r="I2029" i="4"/>
  <c r="H2029" i="4"/>
  <c r="G2029" i="4"/>
  <c r="D2030" i="4"/>
  <c r="L2030" i="4"/>
  <c r="B2033" i="4"/>
  <c r="A2032" i="4"/>
  <c r="C2032" i="4" l="1"/>
  <c r="M2032" i="4"/>
  <c r="I2030" i="4"/>
  <c r="G2030" i="4"/>
  <c r="H2030" i="4"/>
  <c r="D2031" i="4"/>
  <c r="L2031" i="4"/>
  <c r="B2034" i="4"/>
  <c r="A2033" i="4"/>
  <c r="C2033" i="4" l="1"/>
  <c r="M2033" i="4"/>
  <c r="H2031" i="4"/>
  <c r="G2031" i="4"/>
  <c r="I2031" i="4"/>
  <c r="D2032" i="4"/>
  <c r="L2032" i="4"/>
  <c r="B2035" i="4"/>
  <c r="A2034" i="4"/>
  <c r="C2034" i="4" l="1"/>
  <c r="M2034" i="4"/>
  <c r="G2032" i="4"/>
  <c r="I2032" i="4"/>
  <c r="H2032" i="4"/>
  <c r="D2033" i="4"/>
  <c r="L2033" i="4"/>
  <c r="B2036" i="4"/>
  <c r="A2035" i="4"/>
  <c r="C2035" i="4" l="1"/>
  <c r="M2035" i="4"/>
  <c r="H2033" i="4"/>
  <c r="I2033" i="4"/>
  <c r="G2033" i="4"/>
  <c r="D2034" i="4"/>
  <c r="L2034" i="4"/>
  <c r="B2037" i="4"/>
  <c r="A2036" i="4"/>
  <c r="G2034" i="4" l="1"/>
  <c r="H2034" i="4"/>
  <c r="I2034" i="4"/>
  <c r="C2036" i="4"/>
  <c r="M2036" i="4"/>
  <c r="D2035" i="4"/>
  <c r="L2035" i="4"/>
  <c r="B2038" i="4"/>
  <c r="A2037" i="4"/>
  <c r="H2035" i="4" l="1"/>
  <c r="I2035" i="4"/>
  <c r="G2035" i="4"/>
  <c r="D2036" i="4"/>
  <c r="L2036" i="4"/>
  <c r="C2037" i="4"/>
  <c r="M2037" i="4"/>
  <c r="B2039" i="4"/>
  <c r="A2038" i="4"/>
  <c r="C2038" i="4" l="1"/>
  <c r="M2038" i="4"/>
  <c r="D2037" i="4"/>
  <c r="L2037" i="4"/>
  <c r="G2036" i="4"/>
  <c r="H2036" i="4"/>
  <c r="I2036" i="4"/>
  <c r="B2040" i="4"/>
  <c r="B2041" i="4" s="1"/>
  <c r="A2039" i="4"/>
  <c r="B2042" i="4" l="1"/>
  <c r="A2041" i="4"/>
  <c r="C2039" i="4"/>
  <c r="M2039" i="4"/>
  <c r="H2037" i="4"/>
  <c r="G2037" i="4"/>
  <c r="I2037" i="4"/>
  <c r="D2038" i="4"/>
  <c r="L2038" i="4"/>
  <c r="A2040" i="4"/>
  <c r="C2041" i="4" l="1"/>
  <c r="M2041" i="4"/>
  <c r="A2042" i="4"/>
  <c r="C2040" i="4"/>
  <c r="M2040" i="4"/>
  <c r="H2038" i="4"/>
  <c r="G2038" i="4"/>
  <c r="I2038" i="4"/>
  <c r="D2039" i="4"/>
  <c r="L2039" i="4"/>
  <c r="C2042" i="4" l="1"/>
  <c r="M2042" i="4"/>
  <c r="D2041" i="4"/>
  <c r="L2041" i="4"/>
  <c r="G2039" i="4"/>
  <c r="I2039" i="4"/>
  <c r="H2039" i="4"/>
  <c r="D2040" i="4"/>
  <c r="L2040" i="4"/>
  <c r="B2043" i="4"/>
  <c r="G2041" i="4" l="1"/>
  <c r="H2041" i="4"/>
  <c r="I2041" i="4"/>
  <c r="D2042" i="4"/>
  <c r="L2042" i="4"/>
  <c r="G2040" i="4"/>
  <c r="H2040" i="4"/>
  <c r="I2040" i="4"/>
  <c r="B2044" i="4"/>
  <c r="A2043" i="4"/>
  <c r="G2042" i="4" l="1"/>
  <c r="H2042" i="4"/>
  <c r="I2042" i="4"/>
  <c r="C2043" i="4"/>
  <c r="M2043" i="4"/>
  <c r="B2045" i="4"/>
  <c r="A2044" i="4"/>
  <c r="C2044" i="4" l="1"/>
  <c r="M2044" i="4"/>
  <c r="D2043" i="4"/>
  <c r="L2043" i="4"/>
  <c r="B2046" i="4"/>
  <c r="A2045" i="4"/>
  <c r="G2043" i="4" l="1"/>
  <c r="H2043" i="4"/>
  <c r="I2043" i="4"/>
  <c r="C2045" i="4"/>
  <c r="M2045" i="4"/>
  <c r="D2044" i="4"/>
  <c r="L2044" i="4"/>
  <c r="B2047" i="4"/>
  <c r="A2046" i="4"/>
  <c r="C2046" i="4" l="1"/>
  <c r="M2046" i="4"/>
  <c r="H2044" i="4"/>
  <c r="G2044" i="4"/>
  <c r="I2044" i="4"/>
  <c r="D2045" i="4"/>
  <c r="L2045" i="4"/>
  <c r="B2048" i="4"/>
  <c r="A2047" i="4"/>
  <c r="C2047" i="4" l="1"/>
  <c r="M2047" i="4"/>
  <c r="H2045" i="4"/>
  <c r="G2045" i="4"/>
  <c r="I2045" i="4"/>
  <c r="D2046" i="4"/>
  <c r="L2046" i="4"/>
  <c r="B2049" i="4"/>
  <c r="A2048" i="4"/>
  <c r="C2048" i="4" l="1"/>
  <c r="M2048" i="4"/>
  <c r="G2046" i="4"/>
  <c r="H2046" i="4"/>
  <c r="I2046" i="4"/>
  <c r="D2047" i="4"/>
  <c r="L2047" i="4"/>
  <c r="B2050" i="4"/>
  <c r="A2049" i="4"/>
  <c r="G2047" i="4" l="1"/>
  <c r="H2047" i="4"/>
  <c r="I2047" i="4"/>
  <c r="D2048" i="4"/>
  <c r="L2048" i="4"/>
  <c r="C2049" i="4"/>
  <c r="M2049" i="4"/>
  <c r="B2051" i="4"/>
  <c r="A2050" i="4"/>
  <c r="C2050" i="4" l="1"/>
  <c r="M2050" i="4"/>
  <c r="D2049" i="4"/>
  <c r="L2049" i="4"/>
  <c r="G2048" i="4"/>
  <c r="H2048" i="4"/>
  <c r="I2048" i="4"/>
  <c r="B2052" i="4"/>
  <c r="A2051" i="4"/>
  <c r="C2051" i="4" l="1"/>
  <c r="M2051" i="4"/>
  <c r="G2049" i="4"/>
  <c r="H2049" i="4"/>
  <c r="I2049" i="4"/>
  <c r="D2050" i="4"/>
  <c r="L2050" i="4"/>
  <c r="B2053" i="4"/>
  <c r="A2052" i="4"/>
  <c r="C2052" i="4" l="1"/>
  <c r="M2052" i="4"/>
  <c r="G2050" i="4"/>
  <c r="H2050" i="4"/>
  <c r="I2050" i="4"/>
  <c r="D2051" i="4"/>
  <c r="L2051" i="4"/>
  <c r="B2054" i="4"/>
  <c r="A2053" i="4"/>
  <c r="G2051" i="4" l="1"/>
  <c r="H2051" i="4"/>
  <c r="I2051" i="4"/>
  <c r="D2052" i="4"/>
  <c r="L2052" i="4"/>
  <c r="C2053" i="4"/>
  <c r="M2053" i="4"/>
  <c r="B2055" i="4"/>
  <c r="B2056" i="4" s="1"/>
  <c r="A2054" i="4"/>
  <c r="A2056" i="4" l="1"/>
  <c r="B2057" i="4"/>
  <c r="D2053" i="4"/>
  <c r="L2053" i="4"/>
  <c r="G2052" i="4"/>
  <c r="H2052" i="4"/>
  <c r="I2052" i="4"/>
  <c r="C2054" i="4"/>
  <c r="M2054" i="4"/>
  <c r="A2055" i="4"/>
  <c r="A2057" i="4" l="1"/>
  <c r="C2056" i="4"/>
  <c r="M2056" i="4"/>
  <c r="D2054" i="4"/>
  <c r="L2054" i="4"/>
  <c r="C2055" i="4"/>
  <c r="M2055" i="4"/>
  <c r="H2053" i="4"/>
  <c r="G2053" i="4"/>
  <c r="I2053" i="4"/>
  <c r="D2056" i="4" l="1"/>
  <c r="L2056" i="4"/>
  <c r="C2057" i="4"/>
  <c r="M2057" i="4"/>
  <c r="D2055" i="4"/>
  <c r="L2055" i="4"/>
  <c r="H2054" i="4"/>
  <c r="I2054" i="4"/>
  <c r="G2054" i="4"/>
  <c r="B2058" i="4"/>
  <c r="D2057" i="4" l="1"/>
  <c r="L2057" i="4"/>
  <c r="G2056" i="4"/>
  <c r="H2056" i="4"/>
  <c r="I2056" i="4"/>
  <c r="H2055" i="4"/>
  <c r="G2055" i="4"/>
  <c r="I2055" i="4"/>
  <c r="B2059" i="4"/>
  <c r="A2058" i="4"/>
  <c r="H2057" i="4" l="1"/>
  <c r="I2057" i="4"/>
  <c r="G2057" i="4"/>
  <c r="C2058" i="4"/>
  <c r="M2058" i="4"/>
  <c r="B2060" i="4"/>
  <c r="A2059" i="4"/>
  <c r="C2059" i="4" l="1"/>
  <c r="M2059" i="4"/>
  <c r="D2058" i="4"/>
  <c r="L2058" i="4"/>
  <c r="B2061" i="4"/>
  <c r="A2060" i="4"/>
  <c r="I2058" i="4" l="1"/>
  <c r="H2058" i="4"/>
  <c r="G2058" i="4"/>
  <c r="D2059" i="4"/>
  <c r="L2059" i="4"/>
  <c r="C2060" i="4"/>
  <c r="M2060" i="4"/>
  <c r="B2062" i="4"/>
  <c r="A2061" i="4"/>
  <c r="C2061" i="4" l="1"/>
  <c r="M2061" i="4"/>
  <c r="D2060" i="4"/>
  <c r="L2060" i="4"/>
  <c r="G2059" i="4"/>
  <c r="I2059" i="4"/>
  <c r="H2059" i="4"/>
  <c r="B2063" i="4"/>
  <c r="A2062" i="4"/>
  <c r="C2062" i="4" l="1"/>
  <c r="M2062" i="4"/>
  <c r="I2060" i="4"/>
  <c r="G2060" i="4"/>
  <c r="H2060" i="4"/>
  <c r="D2061" i="4"/>
  <c r="L2061" i="4"/>
  <c r="B2064" i="4"/>
  <c r="A2063" i="4"/>
  <c r="C2063" i="4" l="1"/>
  <c r="M2063" i="4"/>
  <c r="I2061" i="4"/>
  <c r="H2061" i="4"/>
  <c r="G2061" i="4"/>
  <c r="D2062" i="4"/>
  <c r="L2062" i="4"/>
  <c r="B2065" i="4"/>
  <c r="A2064" i="4"/>
  <c r="C2064" i="4" l="1"/>
  <c r="M2064" i="4"/>
  <c r="G2062" i="4"/>
  <c r="H2062" i="4"/>
  <c r="I2062" i="4"/>
  <c r="D2063" i="4"/>
  <c r="L2063" i="4"/>
  <c r="B2066" i="4"/>
  <c r="A2065" i="4"/>
  <c r="G2063" i="4" l="1"/>
  <c r="H2063" i="4"/>
  <c r="I2063" i="4"/>
  <c r="C2065" i="4"/>
  <c r="M2065" i="4"/>
  <c r="D2064" i="4"/>
  <c r="L2064" i="4"/>
  <c r="B2067" i="4"/>
  <c r="A2066" i="4"/>
  <c r="C2066" i="4" l="1"/>
  <c r="M2066" i="4"/>
  <c r="G2064" i="4"/>
  <c r="H2064" i="4"/>
  <c r="I2064" i="4"/>
  <c r="D2065" i="4"/>
  <c r="L2065" i="4"/>
  <c r="B2068" i="4"/>
  <c r="A2067" i="4"/>
  <c r="G2065" i="4" l="1"/>
  <c r="I2065" i="4"/>
  <c r="H2065" i="4"/>
  <c r="C2067" i="4"/>
  <c r="M2067" i="4"/>
  <c r="D2066" i="4"/>
  <c r="L2066" i="4"/>
  <c r="B2069" i="4"/>
  <c r="A2068" i="4"/>
  <c r="C2068" i="4" l="1"/>
  <c r="M2068" i="4"/>
  <c r="I2066" i="4"/>
  <c r="G2066" i="4"/>
  <c r="H2066" i="4"/>
  <c r="D2067" i="4"/>
  <c r="L2067" i="4"/>
  <c r="B2070" i="4"/>
  <c r="B2071" i="4" s="1"/>
  <c r="A2069" i="4"/>
  <c r="A2071" i="4" l="1"/>
  <c r="B2072" i="4"/>
  <c r="C2069" i="4"/>
  <c r="M2069" i="4"/>
  <c r="I2067" i="4"/>
  <c r="G2067" i="4"/>
  <c r="H2067" i="4"/>
  <c r="D2068" i="4"/>
  <c r="L2068" i="4"/>
  <c r="A2070" i="4"/>
  <c r="A2072" i="4" l="1"/>
  <c r="M2071" i="4"/>
  <c r="C2071" i="4"/>
  <c r="C2070" i="4"/>
  <c r="M2070" i="4"/>
  <c r="I2068" i="4"/>
  <c r="H2068" i="4"/>
  <c r="G2068" i="4"/>
  <c r="D2069" i="4"/>
  <c r="L2069" i="4"/>
  <c r="D2071" i="4" l="1"/>
  <c r="L2071" i="4"/>
  <c r="M2072" i="4"/>
  <c r="C2072" i="4"/>
  <c r="I2069" i="4"/>
  <c r="H2069" i="4"/>
  <c r="G2069" i="4"/>
  <c r="D2070" i="4"/>
  <c r="L2070" i="4"/>
  <c r="B2073" i="4"/>
  <c r="D2072" i="4" l="1"/>
  <c r="L2072" i="4"/>
  <c r="G2071" i="4"/>
  <c r="H2071" i="4"/>
  <c r="I2071" i="4"/>
  <c r="I2070" i="4"/>
  <c r="H2070" i="4"/>
  <c r="G2070" i="4"/>
  <c r="B2074" i="4"/>
  <c r="A2073" i="4"/>
  <c r="H2072" i="4" l="1"/>
  <c r="I2072" i="4"/>
  <c r="G2072" i="4"/>
  <c r="C2073" i="4"/>
  <c r="M2073" i="4"/>
  <c r="B2075" i="4"/>
  <c r="A2074" i="4"/>
  <c r="D2073" i="4" l="1"/>
  <c r="L2073" i="4"/>
  <c r="C2074" i="4"/>
  <c r="M2074" i="4"/>
  <c r="B2076" i="4"/>
  <c r="A2075" i="4"/>
  <c r="C2075" i="4" l="1"/>
  <c r="M2075" i="4"/>
  <c r="D2074" i="4"/>
  <c r="L2074" i="4"/>
  <c r="I2073" i="4"/>
  <c r="G2073" i="4"/>
  <c r="H2073" i="4"/>
  <c r="B2077" i="4"/>
  <c r="A2076" i="4"/>
  <c r="C2076" i="4" l="1"/>
  <c r="M2076" i="4"/>
  <c r="I2074" i="4"/>
  <c r="G2074" i="4"/>
  <c r="H2074" i="4"/>
  <c r="D2075" i="4"/>
  <c r="L2075" i="4"/>
  <c r="B2078" i="4"/>
  <c r="A2077" i="4"/>
  <c r="C2077" i="4" l="1"/>
  <c r="M2077" i="4"/>
  <c r="G2075" i="4"/>
  <c r="I2075" i="4"/>
  <c r="H2075" i="4"/>
  <c r="D2076" i="4"/>
  <c r="L2076" i="4"/>
  <c r="B2079" i="4"/>
  <c r="A2078" i="4"/>
  <c r="C2078" i="4" l="1"/>
  <c r="M2078" i="4"/>
  <c r="G2076" i="4"/>
  <c r="I2076" i="4"/>
  <c r="H2076" i="4"/>
  <c r="D2077" i="4"/>
  <c r="L2077" i="4"/>
  <c r="B2080" i="4"/>
  <c r="A2079" i="4"/>
  <c r="C2079" i="4" l="1"/>
  <c r="M2079" i="4"/>
  <c r="I2077" i="4"/>
  <c r="G2077" i="4"/>
  <c r="H2077" i="4"/>
  <c r="D2078" i="4"/>
  <c r="L2078" i="4"/>
  <c r="B2081" i="4"/>
  <c r="A2080" i="4"/>
  <c r="C2080" i="4" l="1"/>
  <c r="M2080" i="4"/>
  <c r="G2078" i="4"/>
  <c r="I2078" i="4"/>
  <c r="H2078" i="4"/>
  <c r="D2079" i="4"/>
  <c r="L2079" i="4"/>
  <c r="B2082" i="4"/>
  <c r="A2081" i="4"/>
  <c r="I2079" i="4" l="1"/>
  <c r="H2079" i="4"/>
  <c r="G2079" i="4"/>
  <c r="D2080" i="4"/>
  <c r="L2080" i="4"/>
  <c r="C2081" i="4"/>
  <c r="M2081" i="4"/>
  <c r="B2083" i="4"/>
  <c r="A2082" i="4"/>
  <c r="H2080" i="4" l="1"/>
  <c r="G2080" i="4"/>
  <c r="I2080" i="4"/>
  <c r="C2082" i="4"/>
  <c r="M2082" i="4"/>
  <c r="D2081" i="4"/>
  <c r="L2081" i="4"/>
  <c r="B2084" i="4"/>
  <c r="A2083" i="4"/>
  <c r="C2083" i="4" l="1"/>
  <c r="M2083" i="4"/>
  <c r="I2081" i="4"/>
  <c r="H2081" i="4"/>
  <c r="G2081" i="4"/>
  <c r="D2082" i="4"/>
  <c r="L2082" i="4"/>
  <c r="B2085" i="4"/>
  <c r="B2086" i="4" s="1"/>
  <c r="A2084" i="4"/>
  <c r="A2086" i="4" l="1"/>
  <c r="B2087" i="4"/>
  <c r="C2084" i="4"/>
  <c r="M2084" i="4"/>
  <c r="I2082" i="4"/>
  <c r="H2082" i="4"/>
  <c r="G2082" i="4"/>
  <c r="D2083" i="4"/>
  <c r="L2083" i="4"/>
  <c r="A2085" i="4"/>
  <c r="A2087" i="4" l="1"/>
  <c r="M2086" i="4"/>
  <c r="C2086" i="4"/>
  <c r="C2085" i="4"/>
  <c r="M2085" i="4"/>
  <c r="I2083" i="4"/>
  <c r="G2083" i="4"/>
  <c r="H2083" i="4"/>
  <c r="D2084" i="4"/>
  <c r="L2084" i="4"/>
  <c r="D2086" i="4" l="1"/>
  <c r="L2086" i="4"/>
  <c r="M2087" i="4"/>
  <c r="C2087" i="4"/>
  <c r="I2084" i="4"/>
  <c r="H2084" i="4"/>
  <c r="G2084" i="4"/>
  <c r="D2085" i="4"/>
  <c r="L2085" i="4"/>
  <c r="B2088" i="4"/>
  <c r="D2087" i="4" l="1"/>
  <c r="L2087" i="4"/>
  <c r="I2086" i="4"/>
  <c r="H2086" i="4"/>
  <c r="G2086" i="4"/>
  <c r="G2085" i="4"/>
  <c r="I2085" i="4"/>
  <c r="H2085" i="4"/>
  <c r="B2089" i="4"/>
  <c r="A2088" i="4"/>
  <c r="I2087" i="4" l="1"/>
  <c r="H2087" i="4"/>
  <c r="G2087" i="4"/>
  <c r="C2088" i="4"/>
  <c r="M2088" i="4"/>
  <c r="B2090" i="4"/>
  <c r="A2089" i="4"/>
  <c r="C2089" i="4" l="1"/>
  <c r="M2089" i="4"/>
  <c r="D2088" i="4"/>
  <c r="L2088" i="4"/>
  <c r="B2091" i="4"/>
  <c r="A2090" i="4"/>
  <c r="C2090" i="4" l="1"/>
  <c r="M2090" i="4"/>
  <c r="G2088" i="4"/>
  <c r="I2088" i="4"/>
  <c r="H2088" i="4"/>
  <c r="D2089" i="4"/>
  <c r="L2089" i="4"/>
  <c r="B2092" i="4"/>
  <c r="A2091" i="4"/>
  <c r="C2091" i="4" l="1"/>
  <c r="M2091" i="4"/>
  <c r="I2089" i="4"/>
  <c r="H2089" i="4"/>
  <c r="G2089" i="4"/>
  <c r="D2090" i="4"/>
  <c r="L2090" i="4"/>
  <c r="B2093" i="4"/>
  <c r="A2092" i="4"/>
  <c r="I2090" i="4" l="1"/>
  <c r="H2090" i="4"/>
  <c r="G2090" i="4"/>
  <c r="D2091" i="4"/>
  <c r="L2091" i="4"/>
  <c r="C2092" i="4"/>
  <c r="M2092" i="4"/>
  <c r="B2094" i="4"/>
  <c r="A2093" i="4"/>
  <c r="D2092" i="4" l="1"/>
  <c r="L2092" i="4"/>
  <c r="G2091" i="4"/>
  <c r="I2091" i="4"/>
  <c r="H2091" i="4"/>
  <c r="C2093" i="4"/>
  <c r="M2093" i="4"/>
  <c r="B2095" i="4"/>
  <c r="A2094" i="4"/>
  <c r="D2093" i="4" l="1"/>
  <c r="L2093" i="4"/>
  <c r="C2094" i="4"/>
  <c r="M2094" i="4"/>
  <c r="I2092" i="4"/>
  <c r="H2092" i="4"/>
  <c r="G2092" i="4"/>
  <c r="B2096" i="4"/>
  <c r="A2095" i="4"/>
  <c r="C2095" i="4" l="1"/>
  <c r="M2095" i="4"/>
  <c r="D2094" i="4"/>
  <c r="L2094" i="4"/>
  <c r="I2093" i="4"/>
  <c r="G2093" i="4"/>
  <c r="H2093" i="4"/>
  <c r="B2097" i="4"/>
  <c r="A2096" i="4"/>
  <c r="C2096" i="4" l="1"/>
  <c r="M2096" i="4"/>
  <c r="I2094" i="4"/>
  <c r="H2094" i="4"/>
  <c r="G2094" i="4"/>
  <c r="D2095" i="4"/>
  <c r="L2095" i="4"/>
  <c r="B2098" i="4"/>
  <c r="A2097" i="4"/>
  <c r="G2095" i="4" l="1"/>
  <c r="I2095" i="4"/>
  <c r="H2095" i="4"/>
  <c r="D2096" i="4"/>
  <c r="L2096" i="4"/>
  <c r="C2097" i="4"/>
  <c r="M2097" i="4"/>
  <c r="B2099" i="4"/>
  <c r="A2098" i="4"/>
  <c r="C2098" i="4" l="1"/>
  <c r="M2098" i="4"/>
  <c r="D2097" i="4"/>
  <c r="L2097" i="4"/>
  <c r="G2096" i="4"/>
  <c r="I2096" i="4"/>
  <c r="H2096" i="4"/>
  <c r="B2100" i="4"/>
  <c r="B2101" i="4" s="1"/>
  <c r="A2099" i="4"/>
  <c r="A2101" i="4" l="1"/>
  <c r="B2102" i="4"/>
  <c r="C2099" i="4"/>
  <c r="M2099" i="4"/>
  <c r="G2097" i="4"/>
  <c r="I2097" i="4"/>
  <c r="H2097" i="4"/>
  <c r="D2098" i="4"/>
  <c r="L2098" i="4"/>
  <c r="A2100" i="4"/>
  <c r="A2102" i="4" l="1"/>
  <c r="M2101" i="4"/>
  <c r="C2101" i="4"/>
  <c r="C2100" i="4"/>
  <c r="M2100" i="4"/>
  <c r="H2098" i="4"/>
  <c r="I2098" i="4"/>
  <c r="G2098" i="4"/>
  <c r="D2099" i="4"/>
  <c r="L2099" i="4"/>
  <c r="M2102" i="4" l="1"/>
  <c r="C2102" i="4"/>
  <c r="D2101" i="4"/>
  <c r="L2101" i="4"/>
  <c r="I2099" i="4"/>
  <c r="H2099" i="4"/>
  <c r="G2099" i="4"/>
  <c r="D2100" i="4"/>
  <c r="L2100" i="4"/>
  <c r="B2103" i="4"/>
  <c r="G2101" i="4" l="1"/>
  <c r="H2101" i="4"/>
  <c r="I2101" i="4"/>
  <c r="D2102" i="4"/>
  <c r="L2102" i="4"/>
  <c r="I2100" i="4"/>
  <c r="G2100" i="4"/>
  <c r="H2100" i="4"/>
  <c r="B2104" i="4"/>
  <c r="A2103" i="4"/>
  <c r="H2102" i="4" l="1"/>
  <c r="I2102" i="4"/>
  <c r="G2102" i="4"/>
  <c r="C2103" i="4"/>
  <c r="M2103" i="4"/>
  <c r="B2105" i="4"/>
  <c r="A2104" i="4"/>
  <c r="C2104" i="4" l="1"/>
  <c r="M2104" i="4"/>
  <c r="D2103" i="4"/>
  <c r="L2103" i="4"/>
  <c r="B2106" i="4"/>
  <c r="A2105" i="4"/>
  <c r="I2103" i="4" l="1"/>
  <c r="H2103" i="4"/>
  <c r="G2103" i="4"/>
  <c r="D2104" i="4"/>
  <c r="L2104" i="4"/>
  <c r="C2105" i="4"/>
  <c r="M2105" i="4"/>
  <c r="B2107" i="4"/>
  <c r="A2106" i="4"/>
  <c r="I2104" i="4" l="1"/>
  <c r="H2104" i="4"/>
  <c r="G2104" i="4"/>
  <c r="C2106" i="4"/>
  <c r="M2106" i="4"/>
  <c r="D2105" i="4"/>
  <c r="L2105" i="4"/>
  <c r="B2108" i="4"/>
  <c r="A2107" i="4"/>
  <c r="C2107" i="4" l="1"/>
  <c r="M2107" i="4"/>
  <c r="I2105" i="4"/>
  <c r="H2105" i="4"/>
  <c r="G2105" i="4"/>
  <c r="D2106" i="4"/>
  <c r="L2106" i="4"/>
  <c r="B2109" i="4"/>
  <c r="A2108" i="4"/>
  <c r="H2106" i="4" l="1"/>
  <c r="I2106" i="4"/>
  <c r="G2106" i="4"/>
  <c r="D2107" i="4"/>
  <c r="L2107" i="4"/>
  <c r="C2108" i="4"/>
  <c r="M2108" i="4"/>
  <c r="B2110" i="4"/>
  <c r="A2109" i="4"/>
  <c r="C2109" i="4" l="1"/>
  <c r="M2109" i="4"/>
  <c r="D2108" i="4"/>
  <c r="L2108" i="4"/>
  <c r="G2107" i="4"/>
  <c r="I2107" i="4"/>
  <c r="H2107" i="4"/>
  <c r="B2111" i="4"/>
  <c r="A2110" i="4"/>
  <c r="C2110" i="4" l="1"/>
  <c r="M2110" i="4"/>
  <c r="G2108" i="4"/>
  <c r="I2108" i="4"/>
  <c r="H2108" i="4"/>
  <c r="D2109" i="4"/>
  <c r="L2109" i="4"/>
  <c r="B2112" i="4"/>
  <c r="A2111" i="4"/>
  <c r="C2111" i="4" l="1"/>
  <c r="M2111" i="4"/>
  <c r="G2109" i="4"/>
  <c r="I2109" i="4"/>
  <c r="H2109" i="4"/>
  <c r="D2110" i="4"/>
  <c r="L2110" i="4"/>
  <c r="B2113" i="4"/>
  <c r="A2112" i="4"/>
  <c r="C2112" i="4" l="1"/>
  <c r="M2112" i="4"/>
  <c r="G2110" i="4"/>
  <c r="H2110" i="4"/>
  <c r="I2110" i="4"/>
  <c r="D2111" i="4"/>
  <c r="L2111" i="4"/>
  <c r="B2114" i="4"/>
  <c r="A2113" i="4"/>
  <c r="C2113" i="4" l="1"/>
  <c r="M2113" i="4"/>
  <c r="I2111" i="4"/>
  <c r="H2111" i="4"/>
  <c r="G2111" i="4"/>
  <c r="D2112" i="4"/>
  <c r="L2112" i="4"/>
  <c r="B2115" i="4"/>
  <c r="B2116" i="4" s="1"/>
  <c r="A2114" i="4"/>
  <c r="A2116" i="4" l="1"/>
  <c r="B2117" i="4"/>
  <c r="C2114" i="4"/>
  <c r="M2114" i="4"/>
  <c r="G2112" i="4"/>
  <c r="I2112" i="4"/>
  <c r="H2112" i="4"/>
  <c r="D2113" i="4"/>
  <c r="L2113" i="4"/>
  <c r="A2115" i="4"/>
  <c r="A2117" i="4" l="1"/>
  <c r="C2116" i="4"/>
  <c r="M2116" i="4"/>
  <c r="C2115" i="4"/>
  <c r="M2115" i="4"/>
  <c r="I2113" i="4"/>
  <c r="H2113" i="4"/>
  <c r="G2113" i="4"/>
  <c r="D2114" i="4"/>
  <c r="L2114" i="4"/>
  <c r="D2116" i="4" l="1"/>
  <c r="L2116" i="4"/>
  <c r="C2117" i="4"/>
  <c r="M2117" i="4"/>
  <c r="G2114" i="4"/>
  <c r="I2114" i="4"/>
  <c r="H2114" i="4"/>
  <c r="D2115" i="4"/>
  <c r="L2115" i="4"/>
  <c r="B2118" i="4"/>
  <c r="D2117" i="4" l="1"/>
  <c r="L2117" i="4"/>
  <c r="G2116" i="4"/>
  <c r="H2116" i="4"/>
  <c r="I2116" i="4"/>
  <c r="G2115" i="4"/>
  <c r="I2115" i="4"/>
  <c r="H2115" i="4"/>
  <c r="B2119" i="4"/>
  <c r="A2118" i="4"/>
  <c r="G2117" i="4" l="1"/>
  <c r="H2117" i="4"/>
  <c r="I2117" i="4"/>
  <c r="C2118" i="4"/>
  <c r="M2118" i="4"/>
  <c r="B2120" i="4"/>
  <c r="A2119" i="4"/>
  <c r="D2118" i="4" l="1"/>
  <c r="L2118" i="4"/>
  <c r="C2119" i="4"/>
  <c r="M2119" i="4"/>
  <c r="B2121" i="4"/>
  <c r="A2120" i="4"/>
  <c r="C2120" i="4" l="1"/>
  <c r="M2120" i="4"/>
  <c r="D2119" i="4"/>
  <c r="L2119" i="4"/>
  <c r="I2118" i="4"/>
  <c r="H2118" i="4"/>
  <c r="G2118" i="4"/>
  <c r="B2122" i="4"/>
  <c r="A2121" i="4"/>
  <c r="C2121" i="4" l="1"/>
  <c r="M2121" i="4"/>
  <c r="I2119" i="4"/>
  <c r="H2119" i="4"/>
  <c r="G2119" i="4"/>
  <c r="D2120" i="4"/>
  <c r="L2120" i="4"/>
  <c r="B2123" i="4"/>
  <c r="A2122" i="4"/>
  <c r="C2122" i="4" l="1"/>
  <c r="M2122" i="4"/>
  <c r="H2120" i="4"/>
  <c r="I2120" i="4"/>
  <c r="G2120" i="4"/>
  <c r="D2121" i="4"/>
  <c r="L2121" i="4"/>
  <c r="B2124" i="4"/>
  <c r="A2123" i="4"/>
  <c r="C2123" i="4" l="1"/>
  <c r="M2123" i="4"/>
  <c r="H2121" i="4"/>
  <c r="G2121" i="4"/>
  <c r="I2121" i="4"/>
  <c r="D2122" i="4"/>
  <c r="L2122" i="4"/>
  <c r="B2125" i="4"/>
  <c r="A2124" i="4"/>
  <c r="C2124" i="4" l="1"/>
  <c r="M2124" i="4"/>
  <c r="G2122" i="4"/>
  <c r="H2122" i="4"/>
  <c r="I2122" i="4"/>
  <c r="D2123" i="4"/>
  <c r="L2123" i="4"/>
  <c r="B2126" i="4"/>
  <c r="A2125" i="4"/>
  <c r="C2125" i="4" l="1"/>
  <c r="M2125" i="4"/>
  <c r="G2123" i="4"/>
  <c r="H2123" i="4"/>
  <c r="I2123" i="4"/>
  <c r="D2124" i="4"/>
  <c r="L2124" i="4"/>
  <c r="B2127" i="4"/>
  <c r="A2126" i="4"/>
  <c r="C2126" i="4" l="1"/>
  <c r="M2126" i="4"/>
  <c r="I2124" i="4"/>
  <c r="G2124" i="4"/>
  <c r="H2124" i="4"/>
  <c r="D2125" i="4"/>
  <c r="L2125" i="4"/>
  <c r="B2128" i="4"/>
  <c r="A2127" i="4"/>
  <c r="C2127" i="4" l="1"/>
  <c r="M2127" i="4"/>
  <c r="I2125" i="4"/>
  <c r="H2125" i="4"/>
  <c r="G2125" i="4"/>
  <c r="D2126" i="4"/>
  <c r="L2126" i="4"/>
  <c r="B2129" i="4"/>
  <c r="A2128" i="4"/>
  <c r="G2126" i="4" l="1"/>
  <c r="H2126" i="4"/>
  <c r="I2126" i="4"/>
  <c r="D2127" i="4"/>
  <c r="L2127" i="4"/>
  <c r="C2128" i="4"/>
  <c r="M2128" i="4"/>
  <c r="B2130" i="4"/>
  <c r="B2131" i="4" s="1"/>
  <c r="A2129" i="4"/>
  <c r="A2131" i="4" l="1"/>
  <c r="B2132" i="4"/>
  <c r="C2129" i="4"/>
  <c r="M2129" i="4"/>
  <c r="D2128" i="4"/>
  <c r="L2128" i="4"/>
  <c r="G2127" i="4"/>
  <c r="H2127" i="4"/>
  <c r="I2127" i="4"/>
  <c r="A2130" i="4"/>
  <c r="A2132" i="4" l="1"/>
  <c r="C2131" i="4"/>
  <c r="M2131" i="4"/>
  <c r="C2130" i="4"/>
  <c r="M2130" i="4"/>
  <c r="H2128" i="4"/>
  <c r="I2128" i="4"/>
  <c r="G2128" i="4"/>
  <c r="D2129" i="4"/>
  <c r="L2129" i="4"/>
  <c r="D2131" i="4" l="1"/>
  <c r="L2131" i="4"/>
  <c r="C2132" i="4"/>
  <c r="M2132" i="4"/>
  <c r="I2129" i="4"/>
  <c r="G2129" i="4"/>
  <c r="H2129" i="4"/>
  <c r="D2130" i="4"/>
  <c r="L2130" i="4"/>
  <c r="B2133" i="4"/>
  <c r="D2132" i="4" l="1"/>
  <c r="L2132" i="4"/>
  <c r="G2131" i="4"/>
  <c r="H2131" i="4"/>
  <c r="I2131" i="4"/>
  <c r="I2130" i="4"/>
  <c r="G2130" i="4"/>
  <c r="H2130" i="4"/>
  <c r="B2134" i="4"/>
  <c r="A2133" i="4"/>
  <c r="G2132" i="4" l="1"/>
  <c r="H2132" i="4"/>
  <c r="I2132" i="4"/>
  <c r="C2133" i="4"/>
  <c r="M2133" i="4"/>
  <c r="B2135" i="4"/>
  <c r="A2134" i="4"/>
  <c r="C2134" i="4" l="1"/>
  <c r="M2134" i="4"/>
  <c r="D2133" i="4"/>
  <c r="L2133" i="4"/>
  <c r="B2136" i="4"/>
  <c r="A2135" i="4"/>
  <c r="C2135" i="4" l="1"/>
  <c r="M2135" i="4"/>
  <c r="G2133" i="4"/>
  <c r="I2133" i="4"/>
  <c r="H2133" i="4"/>
  <c r="D2134" i="4"/>
  <c r="L2134" i="4"/>
  <c r="B2137" i="4"/>
  <c r="A2136" i="4"/>
  <c r="C2136" i="4" l="1"/>
  <c r="M2136" i="4"/>
  <c r="G2134" i="4"/>
  <c r="I2134" i="4"/>
  <c r="H2134" i="4"/>
  <c r="D2135" i="4"/>
  <c r="L2135" i="4"/>
  <c r="B2138" i="4"/>
  <c r="A2137" i="4"/>
  <c r="C2137" i="4" l="1"/>
  <c r="M2137" i="4"/>
  <c r="H2135" i="4"/>
  <c r="G2135" i="4"/>
  <c r="I2135" i="4"/>
  <c r="D2136" i="4"/>
  <c r="L2136" i="4"/>
  <c r="B2139" i="4"/>
  <c r="A2138" i="4"/>
  <c r="C2138" i="4" l="1"/>
  <c r="M2138" i="4"/>
  <c r="H2136" i="4"/>
  <c r="G2136" i="4"/>
  <c r="I2136" i="4"/>
  <c r="D2137" i="4"/>
  <c r="L2137" i="4"/>
  <c r="B2140" i="4"/>
  <c r="A2139" i="4"/>
  <c r="C2139" i="4" l="1"/>
  <c r="M2139" i="4"/>
  <c r="H2137" i="4"/>
  <c r="I2137" i="4"/>
  <c r="G2137" i="4"/>
  <c r="D2138" i="4"/>
  <c r="L2138" i="4"/>
  <c r="B2141" i="4"/>
  <c r="A2140" i="4"/>
  <c r="C2140" i="4" l="1"/>
  <c r="M2140" i="4"/>
  <c r="G2138" i="4"/>
  <c r="H2138" i="4"/>
  <c r="I2138" i="4"/>
  <c r="D2139" i="4"/>
  <c r="L2139" i="4"/>
  <c r="B2142" i="4"/>
  <c r="A2141" i="4"/>
  <c r="H2139" i="4" l="1"/>
  <c r="G2139" i="4"/>
  <c r="I2139" i="4"/>
  <c r="D2140" i="4"/>
  <c r="L2140" i="4"/>
  <c r="C2141" i="4"/>
  <c r="M2141" i="4"/>
  <c r="B2143" i="4"/>
  <c r="A2142" i="4"/>
  <c r="C2142" i="4" l="1"/>
  <c r="M2142" i="4"/>
  <c r="D2141" i="4"/>
  <c r="L2141" i="4"/>
  <c r="H2140" i="4"/>
  <c r="G2140" i="4"/>
  <c r="I2140" i="4"/>
  <c r="B2144" i="4"/>
  <c r="A2143" i="4"/>
  <c r="C2143" i="4" l="1"/>
  <c r="M2143" i="4"/>
  <c r="H2141" i="4"/>
  <c r="I2141" i="4"/>
  <c r="G2141" i="4"/>
  <c r="D2142" i="4"/>
  <c r="L2142" i="4"/>
  <c r="B2145" i="4"/>
  <c r="B2146" i="4" s="1"/>
  <c r="A2144" i="4"/>
  <c r="A2146" i="4" l="1"/>
  <c r="B2147" i="4"/>
  <c r="H2142" i="4"/>
  <c r="G2142" i="4"/>
  <c r="I2142" i="4"/>
  <c r="D2143" i="4"/>
  <c r="L2143" i="4"/>
  <c r="C2144" i="4"/>
  <c r="M2144" i="4"/>
  <c r="A2145" i="4"/>
  <c r="A2147" i="4" l="1"/>
  <c r="M2146" i="4"/>
  <c r="C2146" i="4"/>
  <c r="C2145" i="4"/>
  <c r="M2145" i="4"/>
  <c r="D2144" i="4"/>
  <c r="L2144" i="4"/>
  <c r="H2143" i="4"/>
  <c r="I2143" i="4"/>
  <c r="G2143" i="4"/>
  <c r="D2146" i="4" l="1"/>
  <c r="L2146" i="4"/>
  <c r="M2147" i="4"/>
  <c r="C2147" i="4"/>
  <c r="H2144" i="4"/>
  <c r="G2144" i="4"/>
  <c r="I2144" i="4"/>
  <c r="D2145" i="4"/>
  <c r="L2145" i="4"/>
  <c r="B2148" i="4"/>
  <c r="D2147" i="4" l="1"/>
  <c r="L2147" i="4"/>
  <c r="G2146" i="4"/>
  <c r="H2146" i="4"/>
  <c r="I2146" i="4"/>
  <c r="H2145" i="4"/>
  <c r="G2145" i="4"/>
  <c r="I2145" i="4"/>
  <c r="B2149" i="4"/>
  <c r="A2148" i="4"/>
  <c r="I2147" i="4" l="1"/>
  <c r="G2147" i="4"/>
  <c r="H2147" i="4"/>
  <c r="C2148" i="4"/>
  <c r="M2148" i="4"/>
  <c r="B2150" i="4"/>
  <c r="A2149" i="4"/>
  <c r="C2149" i="4" l="1"/>
  <c r="M2149" i="4"/>
  <c r="D2148" i="4"/>
  <c r="L2148" i="4"/>
  <c r="B2151" i="4"/>
  <c r="A2150" i="4"/>
  <c r="C2150" i="4" l="1"/>
  <c r="M2150" i="4"/>
  <c r="G2148" i="4"/>
  <c r="I2148" i="4"/>
  <c r="H2148" i="4"/>
  <c r="D2149" i="4"/>
  <c r="L2149" i="4"/>
  <c r="B2152" i="4"/>
  <c r="A2151" i="4"/>
  <c r="G2149" i="4" l="1"/>
  <c r="I2149" i="4"/>
  <c r="H2149" i="4"/>
  <c r="D2150" i="4"/>
  <c r="L2150" i="4"/>
  <c r="C2151" i="4"/>
  <c r="M2151" i="4"/>
  <c r="B2153" i="4"/>
  <c r="A2152" i="4"/>
  <c r="C2152" i="4" l="1"/>
  <c r="M2152" i="4"/>
  <c r="D2151" i="4"/>
  <c r="L2151" i="4"/>
  <c r="H2150" i="4"/>
  <c r="I2150" i="4"/>
  <c r="G2150" i="4"/>
  <c r="B2154" i="4"/>
  <c r="A2153" i="4"/>
  <c r="I2151" i="4" l="1"/>
  <c r="H2151" i="4"/>
  <c r="G2151" i="4"/>
  <c r="D2152" i="4"/>
  <c r="L2152" i="4"/>
  <c r="C2153" i="4"/>
  <c r="M2153" i="4"/>
  <c r="B2155" i="4"/>
  <c r="A2154" i="4"/>
  <c r="I2152" i="4" l="1"/>
  <c r="G2152" i="4"/>
  <c r="H2152" i="4"/>
  <c r="D2153" i="4"/>
  <c r="L2153" i="4"/>
  <c r="C2154" i="4"/>
  <c r="M2154" i="4"/>
  <c r="B2156" i="4"/>
  <c r="A2155" i="4"/>
  <c r="I2153" i="4" l="1"/>
  <c r="G2153" i="4"/>
  <c r="H2153" i="4"/>
  <c r="C2155" i="4"/>
  <c r="M2155" i="4"/>
  <c r="D2154" i="4"/>
  <c r="L2154" i="4"/>
  <c r="B2157" i="4"/>
  <c r="A2156" i="4"/>
  <c r="I2154" i="4" l="1"/>
  <c r="G2154" i="4"/>
  <c r="H2154" i="4"/>
  <c r="D2155" i="4"/>
  <c r="L2155" i="4"/>
  <c r="C2156" i="4"/>
  <c r="M2156" i="4"/>
  <c r="B2158" i="4"/>
  <c r="A2157" i="4"/>
  <c r="C2157" i="4" l="1"/>
  <c r="M2157" i="4"/>
  <c r="D2156" i="4"/>
  <c r="L2156" i="4"/>
  <c r="G2155" i="4"/>
  <c r="I2155" i="4"/>
  <c r="H2155" i="4"/>
  <c r="B2159" i="4"/>
  <c r="A2158" i="4"/>
  <c r="H2156" i="4" l="1"/>
  <c r="G2156" i="4"/>
  <c r="I2156" i="4"/>
  <c r="D2157" i="4"/>
  <c r="L2157" i="4"/>
  <c r="C2158" i="4"/>
  <c r="M2158" i="4"/>
  <c r="B2160" i="4"/>
  <c r="B2161" i="4" s="1"/>
  <c r="A2159" i="4"/>
  <c r="B2162" i="4" l="1"/>
  <c r="A2161" i="4"/>
  <c r="D2158" i="4"/>
  <c r="L2158" i="4"/>
  <c r="C2159" i="4"/>
  <c r="M2159" i="4"/>
  <c r="I2157" i="4"/>
  <c r="G2157" i="4"/>
  <c r="H2157" i="4"/>
  <c r="A2160" i="4"/>
  <c r="A2162" i="4" l="1"/>
  <c r="M2161" i="4"/>
  <c r="C2161" i="4"/>
  <c r="C2160" i="4"/>
  <c r="M2160" i="4"/>
  <c r="D2159" i="4"/>
  <c r="L2159" i="4"/>
  <c r="I2158" i="4"/>
  <c r="G2158" i="4"/>
  <c r="H2158" i="4"/>
  <c r="D2161" i="4" l="1"/>
  <c r="L2161" i="4"/>
  <c r="M2162" i="4"/>
  <c r="C2162" i="4"/>
  <c r="H2159" i="4"/>
  <c r="I2159" i="4"/>
  <c r="G2159" i="4"/>
  <c r="D2160" i="4"/>
  <c r="L2160" i="4"/>
  <c r="B2163" i="4"/>
  <c r="D2162" i="4" l="1"/>
  <c r="L2162" i="4"/>
  <c r="I2161" i="4"/>
  <c r="H2161" i="4"/>
  <c r="G2161" i="4"/>
  <c r="H2160" i="4"/>
  <c r="I2160" i="4"/>
  <c r="G2160" i="4"/>
  <c r="B2164" i="4"/>
  <c r="A2163" i="4"/>
  <c r="I2162" i="4" l="1"/>
  <c r="G2162" i="4"/>
  <c r="H2162" i="4"/>
  <c r="C2163" i="4"/>
  <c r="M2163" i="4"/>
  <c r="B2165" i="4"/>
  <c r="A2164" i="4"/>
  <c r="C2164" i="4" l="1"/>
  <c r="M2164" i="4"/>
  <c r="D2163" i="4"/>
  <c r="L2163" i="4"/>
  <c r="B2166" i="4"/>
  <c r="A2165" i="4"/>
  <c r="C2165" i="4" l="1"/>
  <c r="M2165" i="4"/>
  <c r="I2163" i="4"/>
  <c r="H2163" i="4"/>
  <c r="G2163" i="4"/>
  <c r="D2164" i="4"/>
  <c r="L2164" i="4"/>
  <c r="B2167" i="4"/>
  <c r="A2166" i="4"/>
  <c r="C2166" i="4" l="1"/>
  <c r="M2166" i="4"/>
  <c r="G2164" i="4"/>
  <c r="H2164" i="4"/>
  <c r="I2164" i="4"/>
  <c r="D2165" i="4"/>
  <c r="L2165" i="4"/>
  <c r="B2168" i="4"/>
  <c r="A2167" i="4"/>
  <c r="G2165" i="4" l="1"/>
  <c r="H2165" i="4"/>
  <c r="I2165" i="4"/>
  <c r="D2166" i="4"/>
  <c r="L2166" i="4"/>
  <c r="C2167" i="4"/>
  <c r="M2167" i="4"/>
  <c r="B2169" i="4"/>
  <c r="A2168" i="4"/>
  <c r="C2168" i="4" l="1"/>
  <c r="M2168" i="4"/>
  <c r="D2167" i="4"/>
  <c r="L2167" i="4"/>
  <c r="G2166" i="4"/>
  <c r="I2166" i="4"/>
  <c r="H2166" i="4"/>
  <c r="B2170" i="4"/>
  <c r="A2169" i="4"/>
  <c r="C2169" i="4" l="1"/>
  <c r="M2169" i="4"/>
  <c r="G2167" i="4"/>
  <c r="I2167" i="4"/>
  <c r="H2167" i="4"/>
  <c r="D2168" i="4"/>
  <c r="L2168" i="4"/>
  <c r="B2171" i="4"/>
  <c r="A2170" i="4"/>
  <c r="C2170" i="4" l="1"/>
  <c r="M2170" i="4"/>
  <c r="G2168" i="4"/>
  <c r="H2168" i="4"/>
  <c r="I2168" i="4"/>
  <c r="D2169" i="4"/>
  <c r="L2169" i="4"/>
  <c r="B2172" i="4"/>
  <c r="A2171" i="4"/>
  <c r="C2171" i="4" l="1"/>
  <c r="M2171" i="4"/>
  <c r="I2169" i="4"/>
  <c r="H2169" i="4"/>
  <c r="G2169" i="4"/>
  <c r="D2170" i="4"/>
  <c r="L2170" i="4"/>
  <c r="B2173" i="4"/>
  <c r="A2172" i="4"/>
  <c r="C2172" i="4" l="1"/>
  <c r="M2172" i="4"/>
  <c r="I2170" i="4"/>
  <c r="H2170" i="4"/>
  <c r="G2170" i="4"/>
  <c r="D2171" i="4"/>
  <c r="L2171" i="4"/>
  <c r="B2174" i="4"/>
  <c r="A2173" i="4"/>
  <c r="I2171" i="4" l="1"/>
  <c r="H2171" i="4"/>
  <c r="G2171" i="4"/>
  <c r="C2173" i="4"/>
  <c r="M2173" i="4"/>
  <c r="D2172" i="4"/>
  <c r="L2172" i="4"/>
  <c r="B2175" i="4"/>
  <c r="B2176" i="4" s="1"/>
  <c r="A2174" i="4"/>
  <c r="A2176" i="4" l="1"/>
  <c r="B2177" i="4"/>
  <c r="C2174" i="4"/>
  <c r="M2174" i="4"/>
  <c r="G2172" i="4"/>
  <c r="I2172" i="4"/>
  <c r="H2172" i="4"/>
  <c r="D2173" i="4"/>
  <c r="L2173" i="4"/>
  <c r="A2175" i="4"/>
  <c r="A2177" i="4" l="1"/>
  <c r="M2176" i="4"/>
  <c r="C2176" i="4"/>
  <c r="I2173" i="4"/>
  <c r="G2173" i="4"/>
  <c r="H2173" i="4"/>
  <c r="D2174" i="4"/>
  <c r="L2174" i="4"/>
  <c r="C2175" i="4"/>
  <c r="M2175" i="4"/>
  <c r="D2176" i="4" l="1"/>
  <c r="L2176" i="4"/>
  <c r="C2177" i="4"/>
  <c r="M2177" i="4"/>
  <c r="D2175" i="4"/>
  <c r="L2175" i="4"/>
  <c r="H2174" i="4"/>
  <c r="G2174" i="4"/>
  <c r="I2174" i="4"/>
  <c r="B2178" i="4"/>
  <c r="D2177" i="4" l="1"/>
  <c r="L2177" i="4"/>
  <c r="G2176" i="4"/>
  <c r="H2176" i="4"/>
  <c r="I2176" i="4"/>
  <c r="G2175" i="4"/>
  <c r="H2175" i="4"/>
  <c r="I2175" i="4"/>
  <c r="B2179" i="4"/>
  <c r="A2178" i="4"/>
  <c r="H2177" i="4" l="1"/>
  <c r="I2177" i="4"/>
  <c r="G2177" i="4"/>
  <c r="C2178" i="4"/>
  <c r="M2178" i="4"/>
  <c r="B2180" i="4"/>
  <c r="A2179" i="4"/>
  <c r="C2179" i="4" l="1"/>
  <c r="M2179" i="4"/>
  <c r="D2178" i="4"/>
  <c r="L2178" i="4"/>
  <c r="B2181" i="4"/>
  <c r="A2180" i="4"/>
  <c r="G2178" i="4" l="1"/>
  <c r="H2178" i="4"/>
  <c r="I2178" i="4"/>
  <c r="C2180" i="4"/>
  <c r="M2180" i="4"/>
  <c r="D2179" i="4"/>
  <c r="L2179" i="4"/>
  <c r="B2182" i="4"/>
  <c r="A2181" i="4"/>
  <c r="I2179" i="4" l="1"/>
  <c r="H2179" i="4"/>
  <c r="G2179" i="4"/>
  <c r="C2181" i="4"/>
  <c r="M2181" i="4"/>
  <c r="D2180" i="4"/>
  <c r="L2180" i="4"/>
  <c r="B2183" i="4"/>
  <c r="A2182" i="4"/>
  <c r="C2182" i="4" l="1"/>
  <c r="M2182" i="4"/>
  <c r="I2180" i="4"/>
  <c r="H2180" i="4"/>
  <c r="G2180" i="4"/>
  <c r="D2181" i="4"/>
  <c r="L2181" i="4"/>
  <c r="B2184" i="4"/>
  <c r="A2183" i="4"/>
  <c r="C2183" i="4" l="1"/>
  <c r="M2183" i="4"/>
  <c r="I2181" i="4"/>
  <c r="G2181" i="4"/>
  <c r="H2181" i="4"/>
  <c r="D2182" i="4"/>
  <c r="L2182" i="4"/>
  <c r="B2185" i="4"/>
  <c r="A2184" i="4"/>
  <c r="C2184" i="4" l="1"/>
  <c r="M2184" i="4"/>
  <c r="I2182" i="4"/>
  <c r="H2182" i="4"/>
  <c r="G2182" i="4"/>
  <c r="D2183" i="4"/>
  <c r="L2183" i="4"/>
  <c r="B2186" i="4"/>
  <c r="A2185" i="4"/>
  <c r="C2185" i="4" l="1"/>
  <c r="M2185" i="4"/>
  <c r="I2183" i="4"/>
  <c r="H2183" i="4"/>
  <c r="G2183" i="4"/>
  <c r="D2184" i="4"/>
  <c r="L2184" i="4"/>
  <c r="B2187" i="4"/>
  <c r="A2186" i="4"/>
  <c r="C2186" i="4" l="1"/>
  <c r="M2186" i="4"/>
  <c r="I2184" i="4"/>
  <c r="G2184" i="4"/>
  <c r="H2184" i="4"/>
  <c r="D2185" i="4"/>
  <c r="L2185" i="4"/>
  <c r="B2188" i="4"/>
  <c r="A2187" i="4"/>
  <c r="C2187" i="4" l="1"/>
  <c r="M2187" i="4"/>
  <c r="G2185" i="4"/>
  <c r="I2185" i="4"/>
  <c r="H2185" i="4"/>
  <c r="D2186" i="4"/>
  <c r="L2186" i="4"/>
  <c r="B2189" i="4"/>
  <c r="A2188" i="4"/>
  <c r="C2188" i="4" l="1"/>
  <c r="M2188" i="4"/>
  <c r="G2186" i="4"/>
  <c r="I2186" i="4"/>
  <c r="H2186" i="4"/>
  <c r="D2187" i="4"/>
  <c r="L2187" i="4"/>
  <c r="B2190" i="4"/>
  <c r="B2191" i="4" s="1"/>
  <c r="A2189" i="4"/>
  <c r="A2191" i="4" l="1"/>
  <c r="B2192" i="4"/>
  <c r="C2189" i="4"/>
  <c r="M2189" i="4"/>
  <c r="I2187" i="4"/>
  <c r="G2187" i="4"/>
  <c r="H2187" i="4"/>
  <c r="D2188" i="4"/>
  <c r="L2188" i="4"/>
  <c r="A2190" i="4"/>
  <c r="A2192" i="4" l="1"/>
  <c r="C2191" i="4"/>
  <c r="M2191" i="4"/>
  <c r="C2190" i="4"/>
  <c r="M2190" i="4"/>
  <c r="I2188" i="4"/>
  <c r="H2188" i="4"/>
  <c r="G2188" i="4"/>
  <c r="D2189" i="4"/>
  <c r="L2189" i="4"/>
  <c r="D2191" i="4" l="1"/>
  <c r="L2191" i="4"/>
  <c r="C2192" i="4"/>
  <c r="M2192" i="4"/>
  <c r="H2189" i="4"/>
  <c r="I2189" i="4"/>
  <c r="G2189" i="4"/>
  <c r="D2190" i="4"/>
  <c r="L2190" i="4"/>
  <c r="B2193" i="4"/>
  <c r="D2192" i="4" l="1"/>
  <c r="L2192" i="4"/>
  <c r="G2191" i="4"/>
  <c r="H2191" i="4"/>
  <c r="I2191" i="4"/>
  <c r="I2190" i="4"/>
  <c r="G2190" i="4"/>
  <c r="H2190" i="4"/>
  <c r="B2194" i="4"/>
  <c r="A2193" i="4"/>
  <c r="G2192" i="4" l="1"/>
  <c r="H2192" i="4"/>
  <c r="I2192" i="4"/>
  <c r="C2193" i="4"/>
  <c r="M2193" i="4"/>
  <c r="B2195" i="4"/>
  <c r="A2194" i="4"/>
  <c r="C2194" i="4" l="1"/>
  <c r="M2194" i="4"/>
  <c r="D2193" i="4"/>
  <c r="L2193" i="4"/>
  <c r="B2196" i="4"/>
  <c r="A2195" i="4"/>
  <c r="C2195" i="4" l="1"/>
  <c r="M2195" i="4"/>
  <c r="I2193" i="4"/>
  <c r="H2193" i="4"/>
  <c r="G2193" i="4"/>
  <c r="D2194" i="4"/>
  <c r="L2194" i="4"/>
  <c r="B2197" i="4"/>
  <c r="A2196" i="4"/>
  <c r="C2196" i="4" l="1"/>
  <c r="M2196" i="4"/>
  <c r="I2194" i="4"/>
  <c r="H2194" i="4"/>
  <c r="G2194" i="4"/>
  <c r="D2195" i="4"/>
  <c r="L2195" i="4"/>
  <c r="B2198" i="4"/>
  <c r="A2197" i="4"/>
  <c r="C2197" i="4" l="1"/>
  <c r="M2197" i="4"/>
  <c r="G2195" i="4"/>
  <c r="H2195" i="4"/>
  <c r="I2195" i="4"/>
  <c r="D2196" i="4"/>
  <c r="L2196" i="4"/>
  <c r="B2199" i="4"/>
  <c r="A2198" i="4"/>
  <c r="G2196" i="4" l="1"/>
  <c r="I2196" i="4"/>
  <c r="H2196" i="4"/>
  <c r="D2197" i="4"/>
  <c r="L2197" i="4"/>
  <c r="C2198" i="4"/>
  <c r="M2198" i="4"/>
  <c r="B2200" i="4"/>
  <c r="A2199" i="4"/>
  <c r="D2198" i="4" l="1"/>
  <c r="L2198" i="4"/>
  <c r="I2197" i="4"/>
  <c r="G2197" i="4"/>
  <c r="H2197" i="4"/>
  <c r="C2199" i="4"/>
  <c r="M2199" i="4"/>
  <c r="B2201" i="4"/>
  <c r="A2200" i="4"/>
  <c r="C2200" i="4" l="1"/>
  <c r="M2200" i="4"/>
  <c r="D2199" i="4"/>
  <c r="L2199" i="4"/>
  <c r="G2198" i="4"/>
  <c r="H2198" i="4"/>
  <c r="I2198" i="4"/>
  <c r="B2202" i="4"/>
  <c r="A2201" i="4"/>
  <c r="C2201" i="4" l="1"/>
  <c r="M2201" i="4"/>
  <c r="I2199" i="4"/>
  <c r="G2199" i="4"/>
  <c r="H2199" i="4"/>
  <c r="D2200" i="4"/>
  <c r="L2200" i="4"/>
  <c r="B2203" i="4"/>
  <c r="A2202" i="4"/>
  <c r="C2202" i="4" l="1"/>
  <c r="M2202" i="4"/>
  <c r="H2200" i="4"/>
  <c r="I2200" i="4"/>
  <c r="G2200" i="4"/>
  <c r="D2201" i="4"/>
  <c r="L2201" i="4"/>
  <c r="B2204" i="4"/>
  <c r="A2203" i="4"/>
  <c r="I2201" i="4" l="1"/>
  <c r="G2201" i="4"/>
  <c r="H2201" i="4"/>
  <c r="D2202" i="4"/>
  <c r="L2202" i="4"/>
  <c r="C2203" i="4"/>
  <c r="M2203" i="4"/>
  <c r="B2205" i="4"/>
  <c r="B2206" i="4" s="1"/>
  <c r="A2204" i="4"/>
  <c r="A2206" i="4" l="1"/>
  <c r="B2207" i="4"/>
  <c r="C2204" i="4"/>
  <c r="M2204" i="4"/>
  <c r="D2203" i="4"/>
  <c r="L2203" i="4"/>
  <c r="I2202" i="4"/>
  <c r="H2202" i="4"/>
  <c r="G2202" i="4"/>
  <c r="A2205" i="4"/>
  <c r="A2207" i="4" l="1"/>
  <c r="C2206" i="4"/>
  <c r="M2206" i="4"/>
  <c r="C2205" i="4"/>
  <c r="M2205" i="4"/>
  <c r="I2203" i="4"/>
  <c r="H2203" i="4"/>
  <c r="G2203" i="4"/>
  <c r="D2204" i="4"/>
  <c r="L2204" i="4"/>
  <c r="D2206" i="4" l="1"/>
  <c r="L2206" i="4"/>
  <c r="C2207" i="4"/>
  <c r="M2207" i="4"/>
  <c r="H2204" i="4"/>
  <c r="I2204" i="4"/>
  <c r="G2204" i="4"/>
  <c r="D2205" i="4"/>
  <c r="L2205" i="4"/>
  <c r="B2208" i="4"/>
  <c r="D2207" i="4" l="1"/>
  <c r="L2207" i="4"/>
  <c r="H2206" i="4"/>
  <c r="I2206" i="4"/>
  <c r="G2206" i="4"/>
  <c r="H2205" i="4"/>
  <c r="G2205" i="4"/>
  <c r="I2205" i="4"/>
  <c r="B2209" i="4"/>
  <c r="A2208" i="4"/>
  <c r="G2207" i="4" l="1"/>
  <c r="I2207" i="4"/>
  <c r="H2207" i="4"/>
  <c r="C2208" i="4"/>
  <c r="M2208" i="4"/>
  <c r="B2210" i="4"/>
  <c r="A2209" i="4"/>
  <c r="C2209" i="4" l="1"/>
  <c r="M2209" i="4"/>
  <c r="D2208" i="4"/>
  <c r="L2208" i="4"/>
  <c r="B2211" i="4"/>
  <c r="A2210" i="4"/>
  <c r="C2210" i="4" l="1"/>
  <c r="M2210" i="4"/>
  <c r="H2208" i="4"/>
  <c r="I2208" i="4"/>
  <c r="G2208" i="4"/>
  <c r="D2209" i="4"/>
  <c r="L2209" i="4"/>
  <c r="B2212" i="4"/>
  <c r="A2211" i="4"/>
  <c r="C2211" i="4" l="1"/>
  <c r="M2211" i="4"/>
  <c r="I2209" i="4"/>
  <c r="H2209" i="4"/>
  <c r="G2209" i="4"/>
  <c r="D2210" i="4"/>
  <c r="L2210" i="4"/>
  <c r="B2213" i="4"/>
  <c r="A2212" i="4"/>
  <c r="C2212" i="4" l="1"/>
  <c r="M2212" i="4"/>
  <c r="G2210" i="4"/>
  <c r="I2210" i="4"/>
  <c r="H2210" i="4"/>
  <c r="D2211" i="4"/>
  <c r="L2211" i="4"/>
  <c r="B2214" i="4"/>
  <c r="A2213" i="4"/>
  <c r="G2211" i="4" l="1"/>
  <c r="I2211" i="4"/>
  <c r="H2211" i="4"/>
  <c r="D2212" i="4"/>
  <c r="L2212" i="4"/>
  <c r="C2213" i="4"/>
  <c r="M2213" i="4"/>
  <c r="B2215" i="4"/>
  <c r="A2214" i="4"/>
  <c r="C2214" i="4" l="1"/>
  <c r="M2214" i="4"/>
  <c r="D2213" i="4"/>
  <c r="L2213" i="4"/>
  <c r="I2212" i="4"/>
  <c r="G2212" i="4"/>
  <c r="H2212" i="4"/>
  <c r="B2216" i="4"/>
  <c r="A2215" i="4"/>
  <c r="C2215" i="4" l="1"/>
  <c r="M2215" i="4"/>
  <c r="H2213" i="4"/>
  <c r="G2213" i="4"/>
  <c r="I2213" i="4"/>
  <c r="D2214" i="4"/>
  <c r="L2214" i="4"/>
  <c r="B2217" i="4"/>
  <c r="A2216" i="4"/>
  <c r="C2216" i="4" l="1"/>
  <c r="M2216" i="4"/>
  <c r="I2214" i="4"/>
  <c r="G2214" i="4"/>
  <c r="H2214" i="4"/>
  <c r="D2215" i="4"/>
  <c r="L2215" i="4"/>
  <c r="B2218" i="4"/>
  <c r="A2217" i="4"/>
  <c r="C2217" i="4" l="1"/>
  <c r="M2217" i="4"/>
  <c r="H2215" i="4"/>
  <c r="I2215" i="4"/>
  <c r="G2215" i="4"/>
  <c r="D2216" i="4"/>
  <c r="L2216" i="4"/>
  <c r="B2219" i="4"/>
  <c r="A2218" i="4"/>
  <c r="I2216" i="4" l="1"/>
  <c r="G2216" i="4"/>
  <c r="H2216" i="4"/>
  <c r="D2217" i="4"/>
  <c r="L2217" i="4"/>
  <c r="C2218" i="4"/>
  <c r="M2218" i="4"/>
  <c r="B2220" i="4"/>
  <c r="B2221" i="4" s="1"/>
  <c r="A2219" i="4"/>
  <c r="A2221" i="4" l="1"/>
  <c r="B2222" i="4"/>
  <c r="D2218" i="4"/>
  <c r="L2218" i="4"/>
  <c r="C2219" i="4"/>
  <c r="M2219" i="4"/>
  <c r="H2217" i="4"/>
  <c r="G2217" i="4"/>
  <c r="I2217" i="4"/>
  <c r="A2220" i="4"/>
  <c r="A2222" i="4" l="1"/>
  <c r="M2221" i="4"/>
  <c r="C2221" i="4"/>
  <c r="C2220" i="4"/>
  <c r="M2220" i="4"/>
  <c r="D2219" i="4"/>
  <c r="L2219" i="4"/>
  <c r="H2218" i="4"/>
  <c r="G2218" i="4"/>
  <c r="I2218" i="4"/>
  <c r="D2221" i="4" l="1"/>
  <c r="L2221" i="4"/>
  <c r="M2222" i="4"/>
  <c r="C2222" i="4"/>
  <c r="I2219" i="4"/>
  <c r="G2219" i="4"/>
  <c r="H2219" i="4"/>
  <c r="D2220" i="4"/>
  <c r="L2220" i="4"/>
  <c r="B2223" i="4"/>
  <c r="D2222" i="4" l="1"/>
  <c r="L2222" i="4"/>
  <c r="G2221" i="4"/>
  <c r="H2221" i="4"/>
  <c r="I2221" i="4"/>
  <c r="I2220" i="4"/>
  <c r="G2220" i="4"/>
  <c r="H2220" i="4"/>
  <c r="B2224" i="4"/>
  <c r="A2223" i="4"/>
  <c r="G2222" i="4" l="1"/>
  <c r="I2222" i="4"/>
  <c r="H2222" i="4"/>
  <c r="C2223" i="4"/>
  <c r="M2223" i="4"/>
  <c r="B2225" i="4"/>
  <c r="A2224" i="4"/>
  <c r="C2224" i="4" l="1"/>
  <c r="M2224" i="4"/>
  <c r="D2223" i="4"/>
  <c r="L2223" i="4"/>
  <c r="B2226" i="4"/>
  <c r="A2225" i="4"/>
  <c r="C2225" i="4" l="1"/>
  <c r="M2225" i="4"/>
  <c r="G2223" i="4"/>
  <c r="H2223" i="4"/>
  <c r="I2223" i="4"/>
  <c r="D2224" i="4"/>
  <c r="L2224" i="4"/>
  <c r="B2227" i="4"/>
  <c r="A2226" i="4"/>
  <c r="C2226" i="4" l="1"/>
  <c r="M2226" i="4"/>
  <c r="G2224" i="4"/>
  <c r="I2224" i="4"/>
  <c r="H2224" i="4"/>
  <c r="D2225" i="4"/>
  <c r="L2225" i="4"/>
  <c r="B2228" i="4"/>
  <c r="A2227" i="4"/>
  <c r="C2227" i="4" l="1"/>
  <c r="M2227" i="4"/>
  <c r="G2225" i="4"/>
  <c r="I2225" i="4"/>
  <c r="H2225" i="4"/>
  <c r="D2226" i="4"/>
  <c r="L2226" i="4"/>
  <c r="B2229" i="4"/>
  <c r="A2228" i="4"/>
  <c r="C2228" i="4" l="1"/>
  <c r="M2228" i="4"/>
  <c r="I2226" i="4"/>
  <c r="G2226" i="4"/>
  <c r="H2226" i="4"/>
  <c r="D2227" i="4"/>
  <c r="L2227" i="4"/>
  <c r="B2230" i="4"/>
  <c r="A2229" i="4"/>
  <c r="C2229" i="4" l="1"/>
  <c r="M2229" i="4"/>
  <c r="G2227" i="4"/>
  <c r="I2227" i="4"/>
  <c r="H2227" i="4"/>
  <c r="D2228" i="4"/>
  <c r="L2228" i="4"/>
  <c r="B2231" i="4"/>
  <c r="A2230" i="4"/>
  <c r="C2230" i="4" l="1"/>
  <c r="M2230" i="4"/>
  <c r="I2228" i="4"/>
  <c r="G2228" i="4"/>
  <c r="H2228" i="4"/>
  <c r="D2229" i="4"/>
  <c r="L2229" i="4"/>
  <c r="B2232" i="4"/>
  <c r="A2231" i="4"/>
  <c r="C2231" i="4" l="1"/>
  <c r="M2231" i="4"/>
  <c r="I2229" i="4"/>
  <c r="G2229" i="4"/>
  <c r="H2229" i="4"/>
  <c r="D2230" i="4"/>
  <c r="L2230" i="4"/>
  <c r="B2233" i="4"/>
  <c r="A2232" i="4"/>
  <c r="I2230" i="4" l="1"/>
  <c r="G2230" i="4"/>
  <c r="H2230" i="4"/>
  <c r="D2231" i="4"/>
  <c r="L2231" i="4"/>
  <c r="C2232" i="4"/>
  <c r="M2232" i="4"/>
  <c r="B2234" i="4"/>
  <c r="A2233" i="4"/>
  <c r="D2232" i="4" l="1"/>
  <c r="L2232" i="4"/>
  <c r="H2231" i="4"/>
  <c r="G2231" i="4"/>
  <c r="I2231" i="4"/>
  <c r="C2233" i="4"/>
  <c r="M2233" i="4"/>
  <c r="B2235" i="4"/>
  <c r="B2236" i="4" s="1"/>
  <c r="A2234" i="4"/>
  <c r="B2237" i="4" l="1"/>
  <c r="A2236" i="4"/>
  <c r="C2234" i="4"/>
  <c r="M2234" i="4"/>
  <c r="D2233" i="4"/>
  <c r="L2233" i="4"/>
  <c r="H2232" i="4"/>
  <c r="I2232" i="4"/>
  <c r="G2232" i="4"/>
  <c r="A2235" i="4"/>
  <c r="M2236" i="4" l="1"/>
  <c r="C2236" i="4"/>
  <c r="A2237" i="4"/>
  <c r="G2233" i="4"/>
  <c r="H2233" i="4"/>
  <c r="I2233" i="4"/>
  <c r="D2234" i="4"/>
  <c r="L2234" i="4"/>
  <c r="C2235" i="4"/>
  <c r="M2235" i="4"/>
  <c r="M2237" i="4" l="1"/>
  <c r="C2237" i="4"/>
  <c r="D2236" i="4"/>
  <c r="L2236" i="4"/>
  <c r="D2235" i="4"/>
  <c r="L2235" i="4"/>
  <c r="G2234" i="4"/>
  <c r="I2234" i="4"/>
  <c r="H2234" i="4"/>
  <c r="B2238" i="4"/>
  <c r="I2236" i="4" l="1"/>
  <c r="H2236" i="4"/>
  <c r="G2236" i="4"/>
  <c r="D2237" i="4"/>
  <c r="L2237" i="4"/>
  <c r="I2235" i="4"/>
  <c r="G2235" i="4"/>
  <c r="H2235" i="4"/>
  <c r="B2239" i="4"/>
  <c r="A2238" i="4"/>
  <c r="I2237" i="4" l="1"/>
  <c r="G2237" i="4"/>
  <c r="H2237" i="4"/>
  <c r="C2238" i="4"/>
  <c r="M2238" i="4"/>
  <c r="B2240" i="4"/>
  <c r="A2239" i="4"/>
  <c r="C2239" i="4" l="1"/>
  <c r="M2239" i="4"/>
  <c r="D2238" i="4"/>
  <c r="L2238" i="4"/>
  <c r="B2241" i="4"/>
  <c r="A2240" i="4"/>
  <c r="G2238" i="4" l="1"/>
  <c r="H2238" i="4"/>
  <c r="I2238" i="4"/>
  <c r="D2239" i="4"/>
  <c r="L2239" i="4"/>
  <c r="C2240" i="4"/>
  <c r="M2240" i="4"/>
  <c r="B2242" i="4"/>
  <c r="A2241" i="4"/>
  <c r="C2241" i="4" l="1"/>
  <c r="M2241" i="4"/>
  <c r="D2240" i="4"/>
  <c r="L2240" i="4"/>
  <c r="H2239" i="4"/>
  <c r="G2239" i="4"/>
  <c r="I2239" i="4"/>
  <c r="B2243" i="4"/>
  <c r="A2242" i="4"/>
  <c r="C2242" i="4" l="1"/>
  <c r="M2242" i="4"/>
  <c r="G2240" i="4"/>
  <c r="H2240" i="4"/>
  <c r="I2240" i="4"/>
  <c r="D2241" i="4"/>
  <c r="L2241" i="4"/>
  <c r="B2244" i="4"/>
  <c r="A2243" i="4"/>
  <c r="C2243" i="4" l="1"/>
  <c r="M2243" i="4"/>
  <c r="H2241" i="4"/>
  <c r="G2241" i="4"/>
  <c r="I2241" i="4"/>
  <c r="D2242" i="4"/>
  <c r="L2242" i="4"/>
  <c r="B2245" i="4"/>
  <c r="A2244" i="4"/>
  <c r="C2244" i="4" l="1"/>
  <c r="M2244" i="4"/>
  <c r="I2242" i="4"/>
  <c r="H2242" i="4"/>
  <c r="G2242" i="4"/>
  <c r="D2243" i="4"/>
  <c r="L2243" i="4"/>
  <c r="B2246" i="4"/>
  <c r="A2245" i="4"/>
  <c r="C2245" i="4" l="1"/>
  <c r="M2245" i="4"/>
  <c r="H2243" i="4"/>
  <c r="I2243" i="4"/>
  <c r="G2243" i="4"/>
  <c r="D2244" i="4"/>
  <c r="L2244" i="4"/>
  <c r="B2247" i="4"/>
  <c r="A2246" i="4"/>
  <c r="C2246" i="4" l="1"/>
  <c r="M2246" i="4"/>
  <c r="G2244" i="4"/>
  <c r="H2244" i="4"/>
  <c r="I2244" i="4"/>
  <c r="D2245" i="4"/>
  <c r="L2245" i="4"/>
  <c r="B2248" i="4"/>
  <c r="A2247" i="4"/>
  <c r="C2247" i="4" l="1"/>
  <c r="M2247" i="4"/>
  <c r="G2245" i="4"/>
  <c r="H2245" i="4"/>
  <c r="I2245" i="4"/>
  <c r="D2246" i="4"/>
  <c r="L2246" i="4"/>
  <c r="B2249" i="4"/>
  <c r="A2248" i="4"/>
  <c r="G2246" i="4" l="1"/>
  <c r="I2246" i="4"/>
  <c r="H2246" i="4"/>
  <c r="D2247" i="4"/>
  <c r="L2247" i="4"/>
  <c r="C2248" i="4"/>
  <c r="M2248" i="4"/>
  <c r="B2250" i="4"/>
  <c r="B2251" i="4" s="1"/>
  <c r="A2249" i="4"/>
  <c r="A2251" i="4" l="1"/>
  <c r="B2252" i="4"/>
  <c r="C2249" i="4"/>
  <c r="M2249" i="4"/>
  <c r="D2248" i="4"/>
  <c r="L2248" i="4"/>
  <c r="H2247" i="4"/>
  <c r="G2247" i="4"/>
  <c r="I2247" i="4"/>
  <c r="A2250" i="4"/>
  <c r="A2252" i="4" l="1"/>
  <c r="C2251" i="4"/>
  <c r="M2251" i="4"/>
  <c r="C2250" i="4"/>
  <c r="M2250" i="4"/>
  <c r="H2248" i="4"/>
  <c r="G2248" i="4"/>
  <c r="I2248" i="4"/>
  <c r="D2249" i="4"/>
  <c r="L2249" i="4"/>
  <c r="D2251" i="4" l="1"/>
  <c r="L2251" i="4"/>
  <c r="M2252" i="4"/>
  <c r="C2252" i="4"/>
  <c r="H2249" i="4"/>
  <c r="G2249" i="4"/>
  <c r="I2249" i="4"/>
  <c r="D2250" i="4"/>
  <c r="L2250" i="4"/>
  <c r="B2253" i="4"/>
  <c r="D2252" i="4" l="1"/>
  <c r="L2252" i="4"/>
  <c r="G2251" i="4"/>
  <c r="H2251" i="4"/>
  <c r="I2251" i="4"/>
  <c r="H2250" i="4"/>
  <c r="I2250" i="4"/>
  <c r="G2250" i="4"/>
  <c r="B2254" i="4"/>
  <c r="A2253" i="4"/>
  <c r="H2252" i="4" l="1"/>
  <c r="I2252" i="4"/>
  <c r="G2252" i="4"/>
  <c r="C2253" i="4"/>
  <c r="M2253" i="4"/>
  <c r="B2255" i="4"/>
  <c r="A2254" i="4"/>
  <c r="C2254" i="4" l="1"/>
  <c r="M2254" i="4"/>
  <c r="D2253" i="4"/>
  <c r="L2253" i="4"/>
  <c r="B2256" i="4"/>
  <c r="A2255" i="4"/>
  <c r="C2255" i="4" l="1"/>
  <c r="M2255" i="4"/>
  <c r="I2253" i="4"/>
  <c r="G2253" i="4"/>
  <c r="H2253" i="4"/>
  <c r="D2254" i="4"/>
  <c r="L2254" i="4"/>
  <c r="B2257" i="4"/>
  <c r="A2256" i="4"/>
  <c r="C2256" i="4" l="1"/>
  <c r="M2256" i="4"/>
  <c r="I2254" i="4"/>
  <c r="H2254" i="4"/>
  <c r="G2254" i="4"/>
  <c r="D2255" i="4"/>
  <c r="L2255" i="4"/>
  <c r="B2258" i="4"/>
  <c r="A2257" i="4"/>
  <c r="I2255" i="4" l="1"/>
  <c r="G2255" i="4"/>
  <c r="H2255" i="4"/>
  <c r="D2256" i="4"/>
  <c r="L2256" i="4"/>
  <c r="C2257" i="4"/>
  <c r="M2257" i="4"/>
  <c r="B2259" i="4"/>
  <c r="A2258" i="4"/>
  <c r="C2258" i="4" l="1"/>
  <c r="M2258" i="4"/>
  <c r="D2257" i="4"/>
  <c r="L2257" i="4"/>
  <c r="H2256" i="4"/>
  <c r="G2256" i="4"/>
  <c r="I2256" i="4"/>
  <c r="B2260" i="4"/>
  <c r="A2259" i="4"/>
  <c r="C2259" i="4" l="1"/>
  <c r="M2259" i="4"/>
  <c r="H2257" i="4"/>
  <c r="I2257" i="4"/>
  <c r="G2257" i="4"/>
  <c r="D2258" i="4"/>
  <c r="L2258" i="4"/>
  <c r="B2261" i="4"/>
  <c r="A2260" i="4"/>
  <c r="C2260" i="4" l="1"/>
  <c r="M2260" i="4"/>
  <c r="H2258" i="4"/>
  <c r="I2258" i="4"/>
  <c r="G2258" i="4"/>
  <c r="D2259" i="4"/>
  <c r="L2259" i="4"/>
  <c r="B2262" i="4"/>
  <c r="A2261" i="4"/>
  <c r="H2259" i="4" l="1"/>
  <c r="I2259" i="4"/>
  <c r="G2259" i="4"/>
  <c r="D2260" i="4"/>
  <c r="L2260" i="4"/>
  <c r="C2261" i="4"/>
  <c r="M2261" i="4"/>
  <c r="B2263" i="4"/>
  <c r="A2262" i="4"/>
  <c r="C2262" i="4" l="1"/>
  <c r="M2262" i="4"/>
  <c r="D2261" i="4"/>
  <c r="L2261" i="4"/>
  <c r="H2260" i="4"/>
  <c r="I2260" i="4"/>
  <c r="G2260" i="4"/>
  <c r="B2264" i="4"/>
  <c r="A2263" i="4"/>
  <c r="C2263" i="4" l="1"/>
  <c r="M2263" i="4"/>
  <c r="H2261" i="4"/>
  <c r="I2261" i="4"/>
  <c r="G2261" i="4"/>
  <c r="D2262" i="4"/>
  <c r="L2262" i="4"/>
  <c r="B2265" i="4"/>
  <c r="B2266" i="4" s="1"/>
  <c r="A2264" i="4"/>
  <c r="A2266" i="4" l="1"/>
  <c r="B2267" i="4"/>
  <c r="H2262" i="4"/>
  <c r="I2262" i="4"/>
  <c r="G2262" i="4"/>
  <c r="D2263" i="4"/>
  <c r="L2263" i="4"/>
  <c r="C2264" i="4"/>
  <c r="M2264" i="4"/>
  <c r="A2265" i="4"/>
  <c r="A2267" i="4" l="1"/>
  <c r="C2266" i="4"/>
  <c r="M2266" i="4"/>
  <c r="C2265" i="4"/>
  <c r="M2265" i="4"/>
  <c r="D2264" i="4"/>
  <c r="L2264" i="4"/>
  <c r="I2263" i="4"/>
  <c r="H2263" i="4"/>
  <c r="G2263" i="4"/>
  <c r="D2266" i="4" l="1"/>
  <c r="L2266" i="4"/>
  <c r="C2267" i="4"/>
  <c r="M2267" i="4"/>
  <c r="I2264" i="4"/>
  <c r="H2264" i="4"/>
  <c r="G2264" i="4"/>
  <c r="D2265" i="4"/>
  <c r="L2265" i="4"/>
  <c r="B2268" i="4"/>
  <c r="D2267" i="4" l="1"/>
  <c r="L2267" i="4"/>
  <c r="G2266" i="4"/>
  <c r="H2266" i="4"/>
  <c r="I2266" i="4"/>
  <c r="H2265" i="4"/>
  <c r="G2265" i="4"/>
  <c r="I2265" i="4"/>
  <c r="B2269" i="4"/>
  <c r="A2268" i="4"/>
  <c r="G2267" i="4" l="1"/>
  <c r="H2267" i="4"/>
  <c r="I2267" i="4"/>
  <c r="C2268" i="4"/>
  <c r="M2268" i="4"/>
  <c r="B2270" i="4"/>
  <c r="A2269" i="4"/>
  <c r="D2268" i="4" l="1"/>
  <c r="L2268" i="4"/>
  <c r="C2269" i="4"/>
  <c r="M2269" i="4"/>
  <c r="B2271" i="4"/>
  <c r="A2270" i="4"/>
  <c r="C2270" i="4" l="1"/>
  <c r="M2270" i="4"/>
  <c r="D2269" i="4"/>
  <c r="L2269" i="4"/>
  <c r="G2268" i="4"/>
  <c r="H2268" i="4"/>
  <c r="I2268" i="4"/>
  <c r="B2272" i="4"/>
  <c r="A2271" i="4"/>
  <c r="C2271" i="4" l="1"/>
  <c r="M2271" i="4"/>
  <c r="H2269" i="4"/>
  <c r="G2269" i="4"/>
  <c r="I2269" i="4"/>
  <c r="D2270" i="4"/>
  <c r="L2270" i="4"/>
  <c r="B2273" i="4"/>
  <c r="A2272" i="4"/>
  <c r="H2270" i="4" l="1"/>
  <c r="I2270" i="4"/>
  <c r="G2270" i="4"/>
  <c r="D2271" i="4"/>
  <c r="L2271" i="4"/>
  <c r="C2272" i="4"/>
  <c r="M2272" i="4"/>
  <c r="B2274" i="4"/>
  <c r="A2273" i="4"/>
  <c r="C2273" i="4" l="1"/>
  <c r="M2273" i="4"/>
  <c r="D2272" i="4"/>
  <c r="L2272" i="4"/>
  <c r="I2271" i="4"/>
  <c r="G2271" i="4"/>
  <c r="H2271" i="4"/>
  <c r="B2275" i="4"/>
  <c r="A2274" i="4"/>
  <c r="C2274" i="4" l="1"/>
  <c r="M2274" i="4"/>
  <c r="H2272" i="4"/>
  <c r="G2272" i="4"/>
  <c r="I2272" i="4"/>
  <c r="D2273" i="4"/>
  <c r="L2273" i="4"/>
  <c r="B2276" i="4"/>
  <c r="A2275" i="4"/>
  <c r="G2273" i="4" l="1"/>
  <c r="H2273" i="4"/>
  <c r="I2273" i="4"/>
  <c r="D2274" i="4"/>
  <c r="L2274" i="4"/>
  <c r="C2275" i="4"/>
  <c r="M2275" i="4"/>
  <c r="B2277" i="4"/>
  <c r="A2276" i="4"/>
  <c r="D2275" i="4" l="1"/>
  <c r="L2275" i="4"/>
  <c r="H2274" i="4"/>
  <c r="I2274" i="4"/>
  <c r="G2274" i="4"/>
  <c r="C2276" i="4"/>
  <c r="M2276" i="4"/>
  <c r="B2278" i="4"/>
  <c r="A2277" i="4"/>
  <c r="C2277" i="4" l="1"/>
  <c r="M2277" i="4"/>
  <c r="D2276" i="4"/>
  <c r="L2276" i="4"/>
  <c r="G2275" i="4"/>
  <c r="H2275" i="4"/>
  <c r="I2275" i="4"/>
  <c r="B2279" i="4"/>
  <c r="A2278" i="4"/>
  <c r="C2278" i="4" l="1"/>
  <c r="M2278" i="4"/>
  <c r="G2276" i="4"/>
  <c r="I2276" i="4"/>
  <c r="H2276" i="4"/>
  <c r="D2277" i="4"/>
  <c r="L2277" i="4"/>
  <c r="B2280" i="4"/>
  <c r="B2281" i="4" s="1"/>
  <c r="A2279" i="4"/>
  <c r="A2281" i="4" l="1"/>
  <c r="B2282" i="4"/>
  <c r="C2279" i="4"/>
  <c r="M2279" i="4"/>
  <c r="G2277" i="4"/>
  <c r="I2277" i="4"/>
  <c r="H2277" i="4"/>
  <c r="D2278" i="4"/>
  <c r="L2278" i="4"/>
  <c r="A2280" i="4"/>
  <c r="A2282" i="4" l="1"/>
  <c r="C2281" i="4"/>
  <c r="M2281" i="4"/>
  <c r="I2278" i="4"/>
  <c r="H2278" i="4"/>
  <c r="G2278" i="4"/>
  <c r="D2279" i="4"/>
  <c r="L2279" i="4"/>
  <c r="C2280" i="4"/>
  <c r="M2280" i="4"/>
  <c r="D2281" i="4" l="1"/>
  <c r="L2281" i="4"/>
  <c r="C2282" i="4"/>
  <c r="M2282" i="4"/>
  <c r="D2280" i="4"/>
  <c r="L2280" i="4"/>
  <c r="H2279" i="4"/>
  <c r="G2279" i="4"/>
  <c r="I2279" i="4"/>
  <c r="B2283" i="4"/>
  <c r="D2282" i="4" l="1"/>
  <c r="L2282" i="4"/>
  <c r="G2281" i="4"/>
  <c r="H2281" i="4"/>
  <c r="I2281" i="4"/>
  <c r="H2280" i="4"/>
  <c r="I2280" i="4"/>
  <c r="G2280" i="4"/>
  <c r="B2284" i="4"/>
  <c r="A2283" i="4"/>
  <c r="I2282" i="4" l="1"/>
  <c r="G2282" i="4"/>
  <c r="H2282" i="4"/>
  <c r="C2283" i="4"/>
  <c r="M2283" i="4"/>
  <c r="B2285" i="4"/>
  <c r="A2284" i="4"/>
  <c r="C2284" i="4" l="1"/>
  <c r="M2284" i="4"/>
  <c r="D2283" i="4"/>
  <c r="L2283" i="4"/>
  <c r="B2286" i="4"/>
  <c r="A2285" i="4"/>
  <c r="C2285" i="4" l="1"/>
  <c r="M2285" i="4"/>
  <c r="H2283" i="4"/>
  <c r="I2283" i="4"/>
  <c r="G2283" i="4"/>
  <c r="D2284" i="4"/>
  <c r="L2284" i="4"/>
  <c r="B2287" i="4"/>
  <c r="A2286" i="4"/>
  <c r="C2286" i="4" l="1"/>
  <c r="M2286" i="4"/>
  <c r="I2284" i="4"/>
  <c r="H2284" i="4"/>
  <c r="G2284" i="4"/>
  <c r="D2285" i="4"/>
  <c r="L2285" i="4"/>
  <c r="B2288" i="4"/>
  <c r="A2287" i="4"/>
  <c r="C2287" i="4" l="1"/>
  <c r="M2287" i="4"/>
  <c r="H2285" i="4"/>
  <c r="G2285" i="4"/>
  <c r="I2285" i="4"/>
  <c r="D2286" i="4"/>
  <c r="L2286" i="4"/>
  <c r="B2289" i="4"/>
  <c r="A2288" i="4"/>
  <c r="G2286" i="4" l="1"/>
  <c r="H2286" i="4"/>
  <c r="I2286" i="4"/>
  <c r="D2287" i="4"/>
  <c r="L2287" i="4"/>
  <c r="C2288" i="4"/>
  <c r="M2288" i="4"/>
  <c r="B2290" i="4"/>
  <c r="A2289" i="4"/>
  <c r="D2288" i="4" l="1"/>
  <c r="L2288" i="4"/>
  <c r="H2287" i="4"/>
  <c r="G2287" i="4"/>
  <c r="I2287" i="4"/>
  <c r="C2289" i="4"/>
  <c r="M2289" i="4"/>
  <c r="B2291" i="4"/>
  <c r="A2290" i="4"/>
  <c r="C2290" i="4" l="1"/>
  <c r="M2290" i="4"/>
  <c r="D2289" i="4"/>
  <c r="L2289" i="4"/>
  <c r="I2288" i="4"/>
  <c r="G2288" i="4"/>
  <c r="H2288" i="4"/>
  <c r="B2292" i="4"/>
  <c r="A2291" i="4"/>
  <c r="C2291" i="4" l="1"/>
  <c r="M2291" i="4"/>
  <c r="I2289" i="4"/>
  <c r="G2289" i="4"/>
  <c r="H2289" i="4"/>
  <c r="D2290" i="4"/>
  <c r="L2290" i="4"/>
  <c r="B2293" i="4"/>
  <c r="A2292" i="4"/>
  <c r="C2292" i="4" l="1"/>
  <c r="M2292" i="4"/>
  <c r="I2290" i="4"/>
  <c r="G2290" i="4"/>
  <c r="H2290" i="4"/>
  <c r="D2291" i="4"/>
  <c r="L2291" i="4"/>
  <c r="B2294" i="4"/>
  <c r="A2293" i="4"/>
  <c r="C2293" i="4" l="1"/>
  <c r="M2293" i="4"/>
  <c r="G2291" i="4"/>
  <c r="H2291" i="4"/>
  <c r="I2291" i="4"/>
  <c r="D2292" i="4"/>
  <c r="L2292" i="4"/>
  <c r="B2295" i="4"/>
  <c r="B2296" i="4" s="1"/>
  <c r="A2294" i="4"/>
  <c r="A2296" i="4" l="1"/>
  <c r="B2297" i="4"/>
  <c r="C2294" i="4"/>
  <c r="M2294" i="4"/>
  <c r="I2292" i="4"/>
  <c r="H2292" i="4"/>
  <c r="G2292" i="4"/>
  <c r="D2293" i="4"/>
  <c r="L2293" i="4"/>
  <c r="A2295" i="4"/>
  <c r="A2297" i="4" l="1"/>
  <c r="M2296" i="4"/>
  <c r="C2296" i="4"/>
  <c r="I2293" i="4"/>
  <c r="H2293" i="4"/>
  <c r="G2293" i="4"/>
  <c r="D2294" i="4"/>
  <c r="L2294" i="4"/>
  <c r="C2295" i="4"/>
  <c r="M2295" i="4"/>
  <c r="D2296" i="4" l="1"/>
  <c r="L2296" i="4"/>
  <c r="M2297" i="4"/>
  <c r="C2297" i="4"/>
  <c r="D2295" i="4"/>
  <c r="L2295" i="4"/>
  <c r="I2294" i="4"/>
  <c r="H2294" i="4"/>
  <c r="G2294" i="4"/>
  <c r="B2298" i="4"/>
  <c r="D2297" i="4" l="1"/>
  <c r="L2297" i="4"/>
  <c r="G2296" i="4"/>
  <c r="H2296" i="4"/>
  <c r="I2296" i="4"/>
  <c r="G2295" i="4"/>
  <c r="I2295" i="4"/>
  <c r="H2295" i="4"/>
  <c r="B2299" i="4"/>
  <c r="A2298" i="4"/>
  <c r="G2297" i="4" l="1"/>
  <c r="I2297" i="4"/>
  <c r="H2297" i="4"/>
  <c r="C2298" i="4"/>
  <c r="M2298" i="4"/>
  <c r="B2300" i="4"/>
  <c r="A2299" i="4"/>
  <c r="C2299" i="4" l="1"/>
  <c r="M2299" i="4"/>
  <c r="D2298" i="4"/>
  <c r="L2298" i="4"/>
  <c r="B2301" i="4"/>
  <c r="A2300" i="4"/>
  <c r="C2300" i="4" l="1"/>
  <c r="M2300" i="4"/>
  <c r="H2298" i="4"/>
  <c r="I2298" i="4"/>
  <c r="G2298" i="4"/>
  <c r="D2299" i="4"/>
  <c r="L2299" i="4"/>
  <c r="B2302" i="4"/>
  <c r="A2301" i="4"/>
  <c r="C2301" i="4" l="1"/>
  <c r="M2301" i="4"/>
  <c r="H2299" i="4"/>
  <c r="I2299" i="4"/>
  <c r="G2299" i="4"/>
  <c r="D2300" i="4"/>
  <c r="L2300" i="4"/>
  <c r="B2303" i="4"/>
  <c r="A2302" i="4"/>
  <c r="C2302" i="4" l="1"/>
  <c r="M2302" i="4"/>
  <c r="H2300" i="4"/>
  <c r="I2300" i="4"/>
  <c r="G2300" i="4"/>
  <c r="D2301" i="4"/>
  <c r="L2301" i="4"/>
  <c r="B2304" i="4"/>
  <c r="A2303" i="4"/>
  <c r="C2303" i="4" l="1"/>
  <c r="M2303" i="4"/>
  <c r="G2301" i="4"/>
  <c r="H2301" i="4"/>
  <c r="I2301" i="4"/>
  <c r="D2302" i="4"/>
  <c r="L2302" i="4"/>
  <c r="B2305" i="4"/>
  <c r="A2304" i="4"/>
  <c r="H2302" i="4" l="1"/>
  <c r="G2302" i="4"/>
  <c r="I2302" i="4"/>
  <c r="D2303" i="4"/>
  <c r="L2303" i="4"/>
  <c r="C2304" i="4"/>
  <c r="M2304" i="4"/>
  <c r="B2306" i="4"/>
  <c r="A2305" i="4"/>
  <c r="C2305" i="4" l="1"/>
  <c r="M2305" i="4"/>
  <c r="D2304" i="4"/>
  <c r="L2304" i="4"/>
  <c r="I2303" i="4"/>
  <c r="H2303" i="4"/>
  <c r="G2303" i="4"/>
  <c r="B2307" i="4"/>
  <c r="A2306" i="4"/>
  <c r="H2304" i="4" l="1"/>
  <c r="I2304" i="4"/>
  <c r="G2304" i="4"/>
  <c r="D2305" i="4"/>
  <c r="L2305" i="4"/>
  <c r="C2306" i="4"/>
  <c r="M2306" i="4"/>
  <c r="B2308" i="4"/>
  <c r="A2307" i="4"/>
  <c r="C2307" i="4" l="1"/>
  <c r="M2307" i="4"/>
  <c r="D2306" i="4"/>
  <c r="L2306" i="4"/>
  <c r="I2305" i="4"/>
  <c r="H2305" i="4"/>
  <c r="G2305" i="4"/>
  <c r="B2309" i="4"/>
  <c r="A2308" i="4"/>
  <c r="C2308" i="4" l="1"/>
  <c r="M2308" i="4"/>
  <c r="H2306" i="4"/>
  <c r="I2306" i="4"/>
  <c r="G2306" i="4"/>
  <c r="D2307" i="4"/>
  <c r="L2307" i="4"/>
  <c r="B2310" i="4"/>
  <c r="B2311" i="4" s="1"/>
  <c r="A2309" i="4"/>
  <c r="B2312" i="4" l="1"/>
  <c r="A2311" i="4"/>
  <c r="H2307" i="4"/>
  <c r="G2307" i="4"/>
  <c r="I2307" i="4"/>
  <c r="D2308" i="4"/>
  <c r="L2308" i="4"/>
  <c r="C2309" i="4"/>
  <c r="M2309" i="4"/>
  <c r="A2310" i="4"/>
  <c r="M2311" i="4" l="1"/>
  <c r="C2311" i="4"/>
  <c r="A2312" i="4"/>
  <c r="C2310" i="4"/>
  <c r="M2310" i="4"/>
  <c r="D2309" i="4"/>
  <c r="L2309" i="4"/>
  <c r="H2308" i="4"/>
  <c r="I2308" i="4"/>
  <c r="G2308" i="4"/>
  <c r="M2312" i="4" l="1"/>
  <c r="C2312" i="4"/>
  <c r="D2311" i="4"/>
  <c r="L2311" i="4"/>
  <c r="H2309" i="4"/>
  <c r="G2309" i="4"/>
  <c r="I2309" i="4"/>
  <c r="D2310" i="4"/>
  <c r="L2310" i="4"/>
  <c r="B2313" i="4"/>
  <c r="I2311" i="4" l="1"/>
  <c r="H2311" i="4"/>
  <c r="G2311" i="4"/>
  <c r="D2312" i="4"/>
  <c r="L2312" i="4"/>
  <c r="H2310" i="4"/>
  <c r="G2310" i="4"/>
  <c r="I2310" i="4"/>
  <c r="B2314" i="4"/>
  <c r="A2313" i="4"/>
  <c r="I2312" i="4" l="1"/>
  <c r="G2312" i="4"/>
  <c r="H2312" i="4"/>
  <c r="C2313" i="4"/>
  <c r="M2313" i="4"/>
  <c r="B2315" i="4"/>
  <c r="A2314" i="4"/>
  <c r="D2313" i="4" l="1"/>
  <c r="L2313" i="4"/>
  <c r="C2314" i="4"/>
  <c r="M2314" i="4"/>
  <c r="B2316" i="4"/>
  <c r="A2315" i="4"/>
  <c r="C2315" i="4" l="1"/>
  <c r="M2315" i="4"/>
  <c r="D2314" i="4"/>
  <c r="L2314" i="4"/>
  <c r="I2313" i="4"/>
  <c r="G2313" i="4"/>
  <c r="H2313" i="4"/>
  <c r="B2317" i="4"/>
  <c r="A2316" i="4"/>
  <c r="I2314" i="4" l="1"/>
  <c r="H2314" i="4"/>
  <c r="G2314" i="4"/>
  <c r="D2315" i="4"/>
  <c r="L2315" i="4"/>
  <c r="C2316" i="4"/>
  <c r="M2316" i="4"/>
  <c r="B2318" i="4"/>
  <c r="A2317" i="4"/>
  <c r="C2317" i="4" l="1"/>
  <c r="M2317" i="4"/>
  <c r="D2316" i="4"/>
  <c r="L2316" i="4"/>
  <c r="I2315" i="4"/>
  <c r="G2315" i="4"/>
  <c r="H2315" i="4"/>
  <c r="B2319" i="4"/>
  <c r="A2318" i="4"/>
  <c r="C2318" i="4" l="1"/>
  <c r="M2318" i="4"/>
  <c r="I2316" i="4"/>
  <c r="G2316" i="4"/>
  <c r="H2316" i="4"/>
  <c r="D2317" i="4"/>
  <c r="L2317" i="4"/>
  <c r="B2320" i="4"/>
  <c r="A2319" i="4"/>
  <c r="G2317" i="4" l="1"/>
  <c r="I2317" i="4"/>
  <c r="H2317" i="4"/>
  <c r="D2318" i="4"/>
  <c r="L2318" i="4"/>
  <c r="C2319" i="4"/>
  <c r="M2319" i="4"/>
  <c r="B2321" i="4"/>
  <c r="A2320" i="4"/>
  <c r="C2320" i="4" l="1"/>
  <c r="M2320" i="4"/>
  <c r="D2319" i="4"/>
  <c r="L2319" i="4"/>
  <c r="G2318" i="4"/>
  <c r="I2318" i="4"/>
  <c r="H2318" i="4"/>
  <c r="B2322" i="4"/>
  <c r="A2321" i="4"/>
  <c r="H2319" i="4" l="1"/>
  <c r="G2319" i="4"/>
  <c r="I2319" i="4"/>
  <c r="D2320" i="4"/>
  <c r="L2320" i="4"/>
  <c r="C2321" i="4"/>
  <c r="M2321" i="4"/>
  <c r="B2323" i="4"/>
  <c r="A2322" i="4"/>
  <c r="C2322" i="4" l="1"/>
  <c r="M2322" i="4"/>
  <c r="D2321" i="4"/>
  <c r="L2321" i="4"/>
  <c r="H2320" i="4"/>
  <c r="I2320" i="4"/>
  <c r="G2320" i="4"/>
  <c r="B2324" i="4"/>
  <c r="A2323" i="4"/>
  <c r="C2323" i="4" l="1"/>
  <c r="M2323" i="4"/>
  <c r="H2321" i="4"/>
  <c r="I2321" i="4"/>
  <c r="G2321" i="4"/>
  <c r="D2322" i="4"/>
  <c r="L2322" i="4"/>
  <c r="B2325" i="4"/>
  <c r="B2326" i="4" s="1"/>
  <c r="A2324" i="4"/>
  <c r="B2327" i="4" l="1"/>
  <c r="A2326" i="4"/>
  <c r="I2322" i="4"/>
  <c r="G2322" i="4"/>
  <c r="H2322" i="4"/>
  <c r="D2323" i="4"/>
  <c r="L2323" i="4"/>
  <c r="C2324" i="4"/>
  <c r="M2324" i="4"/>
  <c r="A2325" i="4"/>
  <c r="C2326" i="4" l="1"/>
  <c r="M2326" i="4"/>
  <c r="A2327" i="4"/>
  <c r="C2325" i="4"/>
  <c r="M2325" i="4"/>
  <c r="D2324" i="4"/>
  <c r="L2324" i="4"/>
  <c r="G2323" i="4"/>
  <c r="I2323" i="4"/>
  <c r="H2323" i="4"/>
  <c r="M2327" i="4" l="1"/>
  <c r="C2327" i="4"/>
  <c r="D2326" i="4"/>
  <c r="L2326" i="4"/>
  <c r="G2324" i="4"/>
  <c r="H2324" i="4"/>
  <c r="I2324" i="4"/>
  <c r="D2325" i="4"/>
  <c r="L2325" i="4"/>
  <c r="B2328" i="4"/>
  <c r="G2326" i="4" l="1"/>
  <c r="H2326" i="4"/>
  <c r="I2326" i="4"/>
  <c r="D2327" i="4"/>
  <c r="L2327" i="4"/>
  <c r="H2325" i="4"/>
  <c r="I2325" i="4"/>
  <c r="G2325" i="4"/>
  <c r="A2328" i="4"/>
  <c r="B2329" i="4"/>
  <c r="H2327" i="4" l="1"/>
  <c r="I2327" i="4"/>
  <c r="G2327" i="4"/>
  <c r="C2328" i="4"/>
  <c r="M2328" i="4"/>
  <c r="A2329" i="4"/>
  <c r="B2330" i="4"/>
  <c r="C2329" i="4" l="1"/>
  <c r="M2329" i="4"/>
  <c r="D2328" i="4"/>
  <c r="L2328" i="4"/>
  <c r="B2331" i="4"/>
  <c r="A2330" i="4"/>
  <c r="I2328" i="4" l="1"/>
  <c r="G2328" i="4"/>
  <c r="H2328" i="4"/>
  <c r="D2329" i="4"/>
  <c r="L2329" i="4"/>
  <c r="C2330" i="4"/>
  <c r="M2330" i="4"/>
  <c r="B2332" i="4"/>
  <c r="A2331" i="4"/>
  <c r="C2331" i="4" l="1"/>
  <c r="M2331" i="4"/>
  <c r="D2330" i="4"/>
  <c r="L2330" i="4"/>
  <c r="I2329" i="4"/>
  <c r="G2329" i="4"/>
  <c r="H2329" i="4"/>
  <c r="B2333" i="4"/>
  <c r="A2332" i="4"/>
  <c r="C2332" i="4" l="1"/>
  <c r="M2332" i="4"/>
  <c r="I2330" i="4"/>
  <c r="G2330" i="4"/>
  <c r="H2330" i="4"/>
  <c r="D2331" i="4"/>
  <c r="L2331" i="4"/>
  <c r="B2334" i="4"/>
  <c r="A2333" i="4"/>
  <c r="C2333" i="4" l="1"/>
  <c r="M2333" i="4"/>
  <c r="H2331" i="4"/>
  <c r="I2331" i="4"/>
  <c r="G2331" i="4"/>
  <c r="D2332" i="4"/>
  <c r="L2332" i="4"/>
  <c r="B2335" i="4"/>
  <c r="A2334" i="4"/>
  <c r="C2334" i="4" l="1"/>
  <c r="M2334" i="4"/>
  <c r="I2332" i="4"/>
  <c r="G2332" i="4"/>
  <c r="H2332" i="4"/>
  <c r="D2333" i="4"/>
  <c r="L2333" i="4"/>
  <c r="B2336" i="4"/>
  <c r="A2335" i="4"/>
  <c r="C2335" i="4" l="1"/>
  <c r="M2335" i="4"/>
  <c r="G2333" i="4"/>
  <c r="I2333" i="4"/>
  <c r="H2333" i="4"/>
  <c r="D2334" i="4"/>
  <c r="L2334" i="4"/>
  <c r="A2336" i="4"/>
  <c r="B2337" i="4"/>
  <c r="C2336" i="4" l="1"/>
  <c r="M2336" i="4"/>
  <c r="G2334" i="4"/>
  <c r="H2334" i="4"/>
  <c r="I2334" i="4"/>
  <c r="D2335" i="4"/>
  <c r="L2335" i="4"/>
  <c r="B2338" i="4"/>
  <c r="A2337" i="4"/>
  <c r="C2337" i="4" l="1"/>
  <c r="M2337" i="4"/>
  <c r="G2335" i="4"/>
  <c r="I2335" i="4"/>
  <c r="H2335" i="4"/>
  <c r="D2336" i="4"/>
  <c r="L2336" i="4"/>
  <c r="B2339" i="4"/>
  <c r="A2338" i="4"/>
  <c r="C2338" i="4" l="1"/>
  <c r="M2338" i="4"/>
  <c r="G2336" i="4"/>
  <c r="H2336" i="4"/>
  <c r="I2336" i="4"/>
  <c r="D2337" i="4"/>
  <c r="L2337" i="4"/>
  <c r="A2339" i="4"/>
  <c r="B2340" i="4"/>
  <c r="B2341" i="4" s="1"/>
  <c r="B2342" i="4" l="1"/>
  <c r="A2341" i="4"/>
  <c r="C2339" i="4"/>
  <c r="M2339" i="4"/>
  <c r="I2337" i="4"/>
  <c r="G2337" i="4"/>
  <c r="H2337" i="4"/>
  <c r="D2338" i="4"/>
  <c r="L2338" i="4"/>
  <c r="A2340" i="4"/>
  <c r="C2341" i="4" l="1"/>
  <c r="M2341" i="4"/>
  <c r="A2342" i="4"/>
  <c r="C2340" i="4"/>
  <c r="M2340" i="4"/>
  <c r="I2338" i="4"/>
  <c r="G2338" i="4"/>
  <c r="H2338" i="4"/>
  <c r="D2339" i="4"/>
  <c r="L2339" i="4"/>
  <c r="C2342" i="4" l="1"/>
  <c r="M2342" i="4"/>
  <c r="D2341" i="4"/>
  <c r="L2341" i="4"/>
  <c r="I2339" i="4"/>
  <c r="H2339" i="4"/>
  <c r="G2339" i="4"/>
  <c r="D2340" i="4"/>
  <c r="L2340" i="4"/>
  <c r="B2343" i="4"/>
  <c r="G2341" i="4" l="1"/>
  <c r="I2341" i="4"/>
  <c r="H2341" i="4"/>
  <c r="D2342" i="4"/>
  <c r="L2342" i="4"/>
  <c r="H2340" i="4"/>
  <c r="I2340" i="4"/>
  <c r="G2340" i="4"/>
  <c r="A2343" i="4"/>
  <c r="B2344" i="4"/>
  <c r="G2342" i="4" l="1"/>
  <c r="H2342" i="4"/>
  <c r="I2342" i="4"/>
  <c r="C2343" i="4"/>
  <c r="M2343" i="4"/>
  <c r="A2344" i="4"/>
  <c r="B2345" i="4"/>
  <c r="C2344" i="4" l="1"/>
  <c r="M2344" i="4"/>
  <c r="D2343" i="4"/>
  <c r="L2343" i="4"/>
  <c r="A2345" i="4"/>
  <c r="B2346" i="4"/>
  <c r="C2345" i="4" l="1"/>
  <c r="M2345" i="4"/>
  <c r="I2343" i="4"/>
  <c r="H2343" i="4"/>
  <c r="G2343" i="4"/>
  <c r="D2344" i="4"/>
  <c r="L2344" i="4"/>
  <c r="B2347" i="4"/>
  <c r="A2346" i="4"/>
  <c r="D2345" i="4" l="1"/>
  <c r="L2345" i="4"/>
  <c r="C2346" i="4"/>
  <c r="M2346" i="4"/>
  <c r="G2344" i="4"/>
  <c r="H2344" i="4"/>
  <c r="I2344" i="4"/>
  <c r="A2347" i="4"/>
  <c r="B2348" i="4"/>
  <c r="C2347" i="4" l="1"/>
  <c r="M2347" i="4"/>
  <c r="D2346" i="4"/>
  <c r="L2346" i="4"/>
  <c r="I2345" i="4"/>
  <c r="G2345" i="4"/>
  <c r="H2345" i="4"/>
  <c r="A2348" i="4"/>
  <c r="B2349" i="4"/>
  <c r="C2348" i="4" l="1"/>
  <c r="M2348" i="4"/>
  <c r="G2346" i="4"/>
  <c r="I2346" i="4"/>
  <c r="H2346" i="4"/>
  <c r="D2347" i="4"/>
  <c r="L2347" i="4"/>
  <c r="B2350" i="4"/>
  <c r="A2349" i="4"/>
  <c r="C2349" i="4" l="1"/>
  <c r="M2349" i="4"/>
  <c r="G2347" i="4"/>
  <c r="H2347" i="4"/>
  <c r="I2347" i="4"/>
  <c r="D2348" i="4"/>
  <c r="L2348" i="4"/>
  <c r="B2351" i="4"/>
  <c r="A2350" i="4"/>
  <c r="C2350" i="4" l="1"/>
  <c r="M2350" i="4"/>
  <c r="G2348" i="4"/>
  <c r="H2348" i="4"/>
  <c r="I2348" i="4"/>
  <c r="D2349" i="4"/>
  <c r="L2349" i="4"/>
  <c r="B2352" i="4"/>
  <c r="A2351" i="4"/>
  <c r="C2351" i="4" l="1"/>
  <c r="M2351" i="4"/>
  <c r="I2349" i="4"/>
  <c r="G2349" i="4"/>
  <c r="H2349" i="4"/>
  <c r="D2350" i="4"/>
  <c r="L2350" i="4"/>
  <c r="B2353" i="4"/>
  <c r="A2352" i="4"/>
  <c r="C2352" i="4" l="1"/>
  <c r="M2352" i="4"/>
  <c r="I2350" i="4"/>
  <c r="H2350" i="4"/>
  <c r="G2350" i="4"/>
  <c r="D2351" i="4"/>
  <c r="L2351" i="4"/>
  <c r="A2353" i="4"/>
  <c r="B2354" i="4"/>
  <c r="C2353" i="4" l="1"/>
  <c r="M2353" i="4"/>
  <c r="I2351" i="4"/>
  <c r="G2351" i="4"/>
  <c r="H2351" i="4"/>
  <c r="D2352" i="4"/>
  <c r="L2352" i="4"/>
  <c r="A2354" i="4"/>
  <c r="B2355" i="4"/>
  <c r="B2356" i="4" s="1"/>
  <c r="A2356" i="4" l="1"/>
  <c r="B2357" i="4"/>
  <c r="C2354" i="4"/>
  <c r="M2354" i="4"/>
  <c r="G2352" i="4"/>
  <c r="I2352" i="4"/>
  <c r="H2352" i="4"/>
  <c r="D2353" i="4"/>
  <c r="L2353" i="4"/>
  <c r="A2355" i="4"/>
  <c r="A2357" i="4" l="1"/>
  <c r="C2356" i="4"/>
  <c r="M2356" i="4"/>
  <c r="C2355" i="4"/>
  <c r="M2355" i="4"/>
  <c r="I2353" i="4"/>
  <c r="G2353" i="4"/>
  <c r="H2353" i="4"/>
  <c r="D2354" i="4"/>
  <c r="L2354" i="4"/>
  <c r="D2356" i="4" l="1"/>
  <c r="L2356" i="4"/>
  <c r="C2357" i="4"/>
  <c r="M2357" i="4"/>
  <c r="G2354" i="4"/>
  <c r="I2354" i="4"/>
  <c r="H2354" i="4"/>
  <c r="D2355" i="4"/>
  <c r="L2355" i="4"/>
  <c r="D2357" i="4" l="1"/>
  <c r="L2357" i="4"/>
  <c r="G2356" i="4"/>
  <c r="H2356" i="4"/>
  <c r="I2356" i="4"/>
  <c r="I2355" i="4"/>
  <c r="G2355" i="4"/>
  <c r="H2355" i="4"/>
  <c r="G2357" i="4" l="1"/>
  <c r="H2357" i="4"/>
  <c r="I235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tc={87BF7C70-0D32-214B-9AD9-F585C28AF261}</author>
  </authors>
  <commentList>
    <comment ref="H2" authorId="0" shapeId="0" xr:uid="{87BF7C70-0D32-214B-9AD9-F585C28AF2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Keine Discounts und Promotions geplant in Q4. 
Grundsätzlich eher statisch. Seid 1,5 Jahren die gleiche Preise. </t>
      </text>
    </comment>
  </commentList>
</comments>
</file>

<file path=xl/sharedStrings.xml><?xml version="1.0" encoding="utf-8"?>
<sst xmlns="http://schemas.openxmlformats.org/spreadsheetml/2006/main" count="2427" uniqueCount="53">
  <si>
    <t>Keys &amp; Granularity</t>
  </si>
  <si>
    <t>fb/insta channel</t>
  </si>
  <si>
    <t>googleads channel</t>
  </si>
  <si>
    <t>pinterest/tiktok channel</t>
  </si>
  <si>
    <t>Klaviyo</t>
  </si>
  <si>
    <t>First Day of the Week</t>
  </si>
  <si>
    <t>Week</t>
  </si>
  <si>
    <t>Month</t>
  </si>
  <si>
    <t>Quarter</t>
  </si>
  <si>
    <t>product_category</t>
  </si>
  <si>
    <t>All</t>
  </si>
  <si>
    <t>fb/insta_total_Budget</t>
  </si>
  <si>
    <t>googleads_total_Budget</t>
  </si>
  <si>
    <t>rest_total_budget</t>
  </si>
  <si>
    <t>klaviyo_numberofcampaigns</t>
  </si>
  <si>
    <t>klaviyo_grossreach_perweek</t>
  </si>
  <si>
    <t>Features</t>
  </si>
  <si>
    <t>Day</t>
  </si>
  <si>
    <t>Sku</t>
  </si>
  <si>
    <t>Category</t>
  </si>
  <si>
    <t>sku_price_brutto_planned</t>
  </si>
  <si>
    <t>sku_promotion_planned</t>
  </si>
  <si>
    <t>sku_promotion_discount_planned</t>
  </si>
  <si>
    <t>sku_promotion_discount_communicated_planned</t>
  </si>
  <si>
    <t>None</t>
  </si>
  <si>
    <t>date</t>
  </si>
  <si>
    <t>spend_google</t>
  </si>
  <si>
    <t>spend_facebook</t>
  </si>
  <si>
    <t>month</t>
  </si>
  <si>
    <t>year</t>
  </si>
  <si>
    <t>month_year</t>
  </si>
  <si>
    <t>day</t>
  </si>
  <si>
    <t>iso_week</t>
  </si>
  <si>
    <t>days per month</t>
  </si>
  <si>
    <t>week_year</t>
  </si>
  <si>
    <t>spend_rest</t>
  </si>
  <si>
    <t>rest_spend</t>
  </si>
  <si>
    <t>week_year_month</t>
  </si>
  <si>
    <t>categories</t>
  </si>
  <si>
    <t>Premium Truthahnhappen</t>
  </si>
  <si>
    <t>Probierpaket</t>
  </si>
  <si>
    <t>Premium Trockenfutter mit&lt;br&gt; Lachs und Süßkartoffel für sensible Katzenmägen &lt;br&gt; (1,5kg / 6kg)</t>
  </si>
  <si>
    <t>Premium Trockenfutter mit &lt;br&gt; Lachs &amp; Hering &lt;br&gt; (2kg / 12kg)</t>
  </si>
  <si>
    <t>Funktionssnack</t>
  </si>
  <si>
    <t>Snack</t>
  </si>
  <si>
    <t>Backmischung</t>
  </si>
  <si>
    <t>Nassfutter</t>
  </si>
  <si>
    <t>Mixpaket</t>
  </si>
  <si>
    <t>Premium Trockenfutter mit &lt;br&gt; Lamm, Süßkartoffel und Leinsamen &lt;br&gt; (400g / 2kg / 8kg / 12kg)</t>
  </si>
  <si>
    <t>Trockenfutter</t>
  </si>
  <si>
    <t>Junior Premium Trockenfutter&lt;br&gt; mit Huhn, Süßkartoffel und Krill &lt;br&gt; (400g / 1,5kg / 6kg)</t>
  </si>
  <si>
    <t>DUMMY</t>
  </si>
  <si>
    <t>DUMMY2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</si>
</sst>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#,##0\ &quot;€&quot;"/>
    <numFmt numFmtId="165" formatCode="0.000"/>
  </numFmts>
  <fonts count="12" x14ac:knownFonts="1">
    <font>
      <sz val="12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12"/>
      <color theme="5" tint="-0.499984740745262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2"/>
      <color theme="3" tint="-0.499984740745262"/>
      <name val="Calibri"/>
      <family val="2"/>
      <scheme val="minor"/>
    </font>
    <font>
      <sz val="12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2" fillId="3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6" fontId="0" fillId="0" borderId="0" xfId="0" applyNumberFormat="1"/>
    <xf numFmtId="9" fontId="0" fillId="0" borderId="0" xfId="0" applyNumberFormat="1"/>
    <xf numFmtId="0" fontId="3" fillId="5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14" fontId="8" fillId="0" borderId="0" xfId="0" applyNumberFormat="1" applyFont="1"/>
    <xf numFmtId="0" fontId="10" fillId="0" borderId="0" xfId="0" applyFont="1"/>
    <xf numFmtId="0" fontId="11" fillId="0" borderId="0" xfId="0" applyFont="1"/>
    <xf numFmtId="164" fontId="0" fillId="0" borderId="0" xfId="0" applyNumberFormat="1"/>
    <xf numFmtId="2" fontId="0" fillId="0" borderId="0" xfId="1" applyNumberFormat="1" applyFont="1"/>
    <xf numFmtId="2" fontId="0" fillId="0" borderId="0" xfId="1" applyNumberFormat="1" applyFont="1" applyFill="1"/>
    <xf numFmtId="2" fontId="0" fillId="0" borderId="0" xfId="1" applyNumberFormat="1" applyFont="1" applyAlignment="1">
      <alignment wrapText="1"/>
    </xf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nnik Semmelhaack" id="{B5AEE3D0-914E-D148-A735-B79E5FB2F80E}" userId="S::44494@novasbe.pt::088fdd6b-744b-4316-bc95-3a5c2bb6d36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2-08-31T14:17:50.36" personId="{B5AEE3D0-914E-D148-A735-B79E5FB2F80E}" id="{87BF7C70-0D32-214B-9AD9-F585C28AF261}">
    <text xml:space="preserve">Keine Discounts und Promotions geplant in Q4. 
Grundsätzlich eher statisch. Seid 1,5 Jahren die gleiche Preise. </text>
  </threadedComment>
</ThreadedComment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97B1-09F4-455B-9C39-CFD4DD294F64}">
  <dimension ref="A1:M2357"/>
  <sheetViews>
    <sheetView tabSelected="1" zoomScale="125" zoomScaleNormal="80" workbookViewId="0">
      <pane xSplit="1" ySplit="2" topLeftCell="B839" activePane="bottomRight" state="frozen"/>
      <selection pane="topRight" activeCell="B1" sqref="B1"/>
      <selection pane="bottomLeft" activeCell="A3" sqref="A3"/>
      <selection pane="bottomRight" activeCell="G852" sqref="G852"/>
    </sheetView>
  </sheetViews>
  <sheetFormatPr baseColWidth="10" defaultColWidth="11" defaultRowHeight="16" x14ac:dyDescent="0.2"/>
  <cols>
    <col min="1" max="1" width="16.83203125" customWidth="1"/>
    <col min="2" max="2" width="10.6640625" customWidth="1"/>
    <col min="3" max="4" width="9"/>
    <col min="5" max="5" width="17.1640625" customWidth="1"/>
    <col min="6" max="6" width="9"/>
    <col min="7" max="7" width="19.5" bestFit="1" customWidth="1"/>
    <col min="8" max="8" width="21.5" bestFit="1" customWidth="1"/>
    <col min="9" max="9" width="20.83203125" bestFit="1" customWidth="1"/>
    <col min="10" max="10" width="24.83203125" bestFit="1" customWidth="1"/>
    <col min="11" max="11" width="25.83203125" bestFit="1" customWidth="1"/>
  </cols>
  <sheetData>
    <row r="1" spans="1:13" x14ac:dyDescent="0.2">
      <c r="A1" s="17" t="s">
        <v>0</v>
      </c>
      <c r="B1" s="17"/>
      <c r="C1" s="17"/>
      <c r="D1" s="17"/>
      <c r="E1" s="17"/>
      <c r="F1" s="17"/>
      <c r="G1" s="2" t="s">
        <v>1</v>
      </c>
      <c r="H1" s="6" t="s">
        <v>2</v>
      </c>
      <c r="I1" s="3" t="s">
        <v>3</v>
      </c>
      <c r="J1" s="18" t="s">
        <v>4</v>
      </c>
      <c r="K1" s="18"/>
    </row>
    <row r="2" spans="1:13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</row>
    <row r="3" spans="1:13" x14ac:dyDescent="0.2">
      <c r="A3" s="1">
        <v>44197</v>
      </c>
      <c r="B3">
        <v>53</v>
      </c>
      <c r="C3">
        <v>1</v>
      </c>
      <c r="D3">
        <v>1</v>
      </c>
      <c r="E3" t="s">
        <v>24</v>
      </c>
      <c r="F3">
        <v>0</v>
      </c>
      <c r="G3">
        <f>INDEX(weekly!$E$2:$E$188,MATCH('Marketing Campaigns 22.11.22'!L3,weekly!$H$2:$H$188,0))</f>
        <v>0</v>
      </c>
      <c r="H3">
        <f>INDEX(weekly!$D$2:$D$188,MATCH('Marketing Campaigns 22.11.22'!L3,weekly!$H$2:$H$188,0))</f>
        <v>0</v>
      </c>
      <c r="I3">
        <f>INDEX(weekly!$F$2:$F$188,MATCH('Marketing Campaigns 22.11.22'!L3,weekly!$H$2:$H$188,0))</f>
        <v>0</v>
      </c>
      <c r="J3">
        <v>0</v>
      </c>
      <c r="K3">
        <v>0</v>
      </c>
      <c r="L3" t="str">
        <f>B3&amp;"-"&amp;C3&amp;"-"&amp;M3</f>
        <v>53-1-2021</v>
      </c>
      <c r="M3">
        <f>YEAR(A3)</f>
        <v>2021</v>
      </c>
    </row>
    <row r="4" spans="1:13" x14ac:dyDescent="0.2">
      <c r="A4" s="1">
        <v>44197</v>
      </c>
      <c r="B4">
        <v>53</v>
      </c>
      <c r="C4">
        <v>1</v>
      </c>
      <c r="D4">
        <v>1</v>
      </c>
      <c r="E4" t="s">
        <v>39</v>
      </c>
      <c r="F4">
        <v>0</v>
      </c>
      <c r="G4">
        <f>INDEX(weekly!$E$2:$E$188,MATCH('Marketing Campaigns 22.11.22'!L4,weekly!$H$2:$H$188,0))</f>
        <v>0</v>
      </c>
      <c r="H4">
        <f>INDEX(weekly!$D$2:$D$188,MATCH('Marketing Campaigns 22.11.22'!L4,weekly!$H$2:$H$188,0))</f>
        <v>0</v>
      </c>
      <c r="I4">
        <f>INDEX(weekly!$F$2:$F$188,MATCH('Marketing Campaigns 22.11.22'!L4,weekly!$H$2:$H$188,0))</f>
        <v>0</v>
      </c>
      <c r="J4">
        <v>0</v>
      </c>
      <c r="K4">
        <v>0</v>
      </c>
      <c r="L4" t="str">
        <f t="shared" ref="L4:L67" si="0">B4&amp;"-"&amp;C4&amp;"-"&amp;M4</f>
        <v>53-1-2021</v>
      </c>
      <c r="M4">
        <f t="shared" ref="M4:M67" si="1">YEAR(A4)</f>
        <v>2021</v>
      </c>
    </row>
    <row r="5" spans="1:13" x14ac:dyDescent="0.2">
      <c r="A5" s="1">
        <v>44197</v>
      </c>
      <c r="B5">
        <v>53</v>
      </c>
      <c r="C5">
        <v>1</v>
      </c>
      <c r="D5">
        <v>1</v>
      </c>
      <c r="E5" t="s">
        <v>40</v>
      </c>
      <c r="F5">
        <v>0</v>
      </c>
      <c r="G5">
        <f>INDEX(weekly!$E$2:$E$188,MATCH('Marketing Campaigns 22.11.22'!L5,weekly!$H$2:$H$188,0))</f>
        <v>0</v>
      </c>
      <c r="H5">
        <f>INDEX(weekly!$D$2:$D$188,MATCH('Marketing Campaigns 22.11.22'!L5,weekly!$H$2:$H$188,0))</f>
        <v>0</v>
      </c>
      <c r="I5">
        <f>INDEX(weekly!$F$2:$F$188,MATCH('Marketing Campaigns 22.11.22'!L5,weekly!$H$2:$H$188,0))</f>
        <v>0</v>
      </c>
      <c r="J5">
        <v>0</v>
      </c>
      <c r="K5">
        <v>0</v>
      </c>
      <c r="L5" t="str">
        <f t="shared" si="0"/>
        <v>53-1-2021</v>
      </c>
      <c r="M5">
        <f t="shared" si="1"/>
        <v>2021</v>
      </c>
    </row>
    <row r="6" spans="1:13" x14ac:dyDescent="0.2">
      <c r="A6" s="1">
        <v>44197</v>
      </c>
      <c r="B6">
        <v>53</v>
      </c>
      <c r="C6">
        <v>1</v>
      </c>
      <c r="D6">
        <v>1</v>
      </c>
      <c r="E6" t="s">
        <v>41</v>
      </c>
      <c r="F6">
        <v>0</v>
      </c>
      <c r="G6">
        <f>INDEX(weekly!$E$2:$E$188,MATCH('Marketing Campaigns 22.11.22'!L6,weekly!$H$2:$H$188,0))</f>
        <v>0</v>
      </c>
      <c r="H6">
        <f>INDEX(weekly!$D$2:$D$188,MATCH('Marketing Campaigns 22.11.22'!L6,weekly!$H$2:$H$188,0))</f>
        <v>0</v>
      </c>
      <c r="I6">
        <f>INDEX(weekly!$F$2:$F$188,MATCH('Marketing Campaigns 22.11.22'!L6,weekly!$H$2:$H$188,0))</f>
        <v>0</v>
      </c>
      <c r="J6">
        <v>0</v>
      </c>
      <c r="K6">
        <v>0</v>
      </c>
      <c r="L6" t="str">
        <f t="shared" si="0"/>
        <v>53-1-2021</v>
      </c>
      <c r="M6">
        <f t="shared" si="1"/>
        <v>2021</v>
      </c>
    </row>
    <row r="7" spans="1:13" x14ac:dyDescent="0.2">
      <c r="A7" s="1">
        <v>44197</v>
      </c>
      <c r="B7">
        <v>53</v>
      </c>
      <c r="C7">
        <v>1</v>
      </c>
      <c r="D7">
        <v>1</v>
      </c>
      <c r="E7" t="s">
        <v>42</v>
      </c>
      <c r="F7">
        <v>0</v>
      </c>
      <c r="G7">
        <f>INDEX(weekly!$E$2:$E$188,MATCH('Marketing Campaigns 22.11.22'!L7,weekly!$H$2:$H$188,0))</f>
        <v>0</v>
      </c>
      <c r="H7">
        <f>INDEX(weekly!$D$2:$D$188,MATCH('Marketing Campaigns 22.11.22'!L7,weekly!$H$2:$H$188,0))</f>
        <v>0</v>
      </c>
      <c r="I7">
        <f>INDEX(weekly!$F$2:$F$188,MATCH('Marketing Campaigns 22.11.22'!L7,weekly!$H$2:$H$188,0))</f>
        <v>0</v>
      </c>
      <c r="J7">
        <v>0</v>
      </c>
      <c r="K7">
        <v>0</v>
      </c>
      <c r="L7" t="str">
        <f t="shared" si="0"/>
        <v>53-1-2021</v>
      </c>
      <c r="M7">
        <f t="shared" si="1"/>
        <v>2021</v>
      </c>
    </row>
    <row r="8" spans="1:13" x14ac:dyDescent="0.2">
      <c r="A8" s="1">
        <v>44197</v>
      </c>
      <c r="B8">
        <v>53</v>
      </c>
      <c r="C8">
        <v>1</v>
      </c>
      <c r="D8">
        <v>1</v>
      </c>
      <c r="E8" t="s">
        <v>43</v>
      </c>
      <c r="F8">
        <v>0</v>
      </c>
      <c r="G8">
        <f>INDEX(weekly!$E$2:$E$188,MATCH('Marketing Campaigns 22.11.22'!L8,weekly!$H$2:$H$188,0))</f>
        <v>0</v>
      </c>
      <c r="H8">
        <f>INDEX(weekly!$D$2:$D$188,MATCH('Marketing Campaigns 22.11.22'!L8,weekly!$H$2:$H$188,0))</f>
        <v>0</v>
      </c>
      <c r="I8">
        <f>INDEX(weekly!$F$2:$F$188,MATCH('Marketing Campaigns 22.11.22'!L8,weekly!$H$2:$H$188,0))</f>
        <v>0</v>
      </c>
      <c r="J8">
        <v>0</v>
      </c>
      <c r="K8">
        <v>0</v>
      </c>
      <c r="L8" t="str">
        <f t="shared" si="0"/>
        <v>53-1-2021</v>
      </c>
      <c r="M8">
        <f t="shared" si="1"/>
        <v>2021</v>
      </c>
    </row>
    <row r="9" spans="1:13" x14ac:dyDescent="0.2">
      <c r="A9" s="1">
        <v>44197</v>
      </c>
      <c r="B9">
        <v>53</v>
      </c>
      <c r="C9">
        <v>1</v>
      </c>
      <c r="D9">
        <v>1</v>
      </c>
      <c r="E9" t="s">
        <v>44</v>
      </c>
      <c r="F9">
        <v>0</v>
      </c>
      <c r="G9">
        <f>INDEX(weekly!$E$2:$E$188,MATCH('Marketing Campaigns 22.11.22'!L9,weekly!$H$2:$H$188,0))</f>
        <v>0</v>
      </c>
      <c r="H9">
        <f>INDEX(weekly!$D$2:$D$188,MATCH('Marketing Campaigns 22.11.22'!L9,weekly!$H$2:$H$188,0))</f>
        <v>0</v>
      </c>
      <c r="I9">
        <f>INDEX(weekly!$F$2:$F$188,MATCH('Marketing Campaigns 22.11.22'!L9,weekly!$H$2:$H$188,0))</f>
        <v>0</v>
      </c>
      <c r="J9">
        <v>0</v>
      </c>
      <c r="K9">
        <v>0</v>
      </c>
      <c r="L9" t="str">
        <f t="shared" si="0"/>
        <v>53-1-2021</v>
      </c>
      <c r="M9">
        <f t="shared" si="1"/>
        <v>2021</v>
      </c>
    </row>
    <row r="10" spans="1:13" x14ac:dyDescent="0.2">
      <c r="A10" s="1">
        <v>44197</v>
      </c>
      <c r="B10">
        <v>53</v>
      </c>
      <c r="C10">
        <v>1</v>
      </c>
      <c r="D10">
        <v>1</v>
      </c>
      <c r="E10" t="s">
        <v>45</v>
      </c>
      <c r="F10">
        <v>0</v>
      </c>
      <c r="G10">
        <f>INDEX(weekly!$E$2:$E$188,MATCH('Marketing Campaigns 22.11.22'!L10,weekly!$H$2:$H$188,0))</f>
        <v>0</v>
      </c>
      <c r="H10">
        <f>INDEX(weekly!$D$2:$D$188,MATCH('Marketing Campaigns 22.11.22'!L10,weekly!$H$2:$H$188,0))</f>
        <v>0</v>
      </c>
      <c r="I10">
        <f>INDEX(weekly!$F$2:$F$188,MATCH('Marketing Campaigns 22.11.22'!L10,weekly!$H$2:$H$188,0))</f>
        <v>0</v>
      </c>
      <c r="J10">
        <v>0</v>
      </c>
      <c r="K10">
        <v>0</v>
      </c>
      <c r="L10" t="str">
        <f t="shared" si="0"/>
        <v>53-1-2021</v>
      </c>
      <c r="M10">
        <f t="shared" si="1"/>
        <v>2021</v>
      </c>
    </row>
    <row r="11" spans="1:13" x14ac:dyDescent="0.2">
      <c r="A11" s="1">
        <v>44197</v>
      </c>
      <c r="B11">
        <v>53</v>
      </c>
      <c r="C11">
        <v>1</v>
      </c>
      <c r="D11">
        <v>1</v>
      </c>
      <c r="E11" t="s">
        <v>46</v>
      </c>
      <c r="F11">
        <v>0</v>
      </c>
      <c r="G11">
        <f>INDEX(weekly!$E$2:$E$188,MATCH('Marketing Campaigns 22.11.22'!L11,weekly!$H$2:$H$188,0))</f>
        <v>0</v>
      </c>
      <c r="H11">
        <f>INDEX(weekly!$D$2:$D$188,MATCH('Marketing Campaigns 22.11.22'!L11,weekly!$H$2:$H$188,0))</f>
        <v>0</v>
      </c>
      <c r="I11">
        <f>INDEX(weekly!$F$2:$F$188,MATCH('Marketing Campaigns 22.11.22'!L11,weekly!$H$2:$H$188,0))</f>
        <v>0</v>
      </c>
      <c r="J11">
        <v>0</v>
      </c>
      <c r="K11">
        <v>0</v>
      </c>
      <c r="L11" t="str">
        <f t="shared" si="0"/>
        <v>53-1-2021</v>
      </c>
      <c r="M11">
        <f t="shared" si="1"/>
        <v>2021</v>
      </c>
    </row>
    <row r="12" spans="1:13" x14ac:dyDescent="0.2">
      <c r="A12" s="1">
        <v>44197</v>
      </c>
      <c r="B12">
        <v>53</v>
      </c>
      <c r="C12">
        <v>1</v>
      </c>
      <c r="D12">
        <v>1</v>
      </c>
      <c r="E12" t="s">
        <v>47</v>
      </c>
      <c r="F12">
        <v>0</v>
      </c>
      <c r="G12">
        <f>INDEX(weekly!$E$2:$E$188,MATCH('Marketing Campaigns 22.11.22'!L12,weekly!$H$2:$H$188,0))</f>
        <v>0</v>
      </c>
      <c r="H12">
        <f>INDEX(weekly!$D$2:$D$188,MATCH('Marketing Campaigns 22.11.22'!L12,weekly!$H$2:$H$188,0))</f>
        <v>0</v>
      </c>
      <c r="I12">
        <f>INDEX(weekly!$F$2:$F$188,MATCH('Marketing Campaigns 22.11.22'!L12,weekly!$H$2:$H$188,0))</f>
        <v>0</v>
      </c>
      <c r="J12">
        <v>0</v>
      </c>
      <c r="K12">
        <v>0</v>
      </c>
      <c r="L12" t="str">
        <f t="shared" si="0"/>
        <v>53-1-2021</v>
      </c>
      <c r="M12">
        <f t="shared" si="1"/>
        <v>2021</v>
      </c>
    </row>
    <row r="13" spans="1:13" x14ac:dyDescent="0.2">
      <c r="A13" s="1">
        <v>44197</v>
      </c>
      <c r="B13">
        <v>53</v>
      </c>
      <c r="C13">
        <v>1</v>
      </c>
      <c r="D13">
        <v>1</v>
      </c>
      <c r="E13" t="s">
        <v>48</v>
      </c>
      <c r="F13">
        <v>0</v>
      </c>
      <c r="G13">
        <f>INDEX(weekly!$E$2:$E$188,MATCH('Marketing Campaigns 22.11.22'!L13,weekly!$H$2:$H$188,0))</f>
        <v>0</v>
      </c>
      <c r="H13">
        <f>INDEX(weekly!$D$2:$D$188,MATCH('Marketing Campaigns 22.11.22'!L13,weekly!$H$2:$H$188,0))</f>
        <v>0</v>
      </c>
      <c r="I13">
        <f>INDEX(weekly!$F$2:$F$188,MATCH('Marketing Campaigns 22.11.22'!L13,weekly!$H$2:$H$188,0))</f>
        <v>0</v>
      </c>
      <c r="J13">
        <v>0</v>
      </c>
      <c r="K13">
        <v>0</v>
      </c>
      <c r="L13" t="str">
        <f t="shared" si="0"/>
        <v>53-1-2021</v>
      </c>
      <c r="M13">
        <f t="shared" si="1"/>
        <v>2021</v>
      </c>
    </row>
    <row r="14" spans="1:13" x14ac:dyDescent="0.2">
      <c r="A14" s="1">
        <v>44197</v>
      </c>
      <c r="B14">
        <v>53</v>
      </c>
      <c r="C14">
        <v>1</v>
      </c>
      <c r="D14">
        <v>1</v>
      </c>
      <c r="E14" t="s">
        <v>49</v>
      </c>
      <c r="F14">
        <v>0</v>
      </c>
      <c r="G14">
        <f>INDEX(weekly!$E$2:$E$188,MATCH('Marketing Campaigns 22.11.22'!L14,weekly!$H$2:$H$188,0))</f>
        <v>0</v>
      </c>
      <c r="H14">
        <f>INDEX(weekly!$D$2:$D$188,MATCH('Marketing Campaigns 22.11.22'!L14,weekly!$H$2:$H$188,0))</f>
        <v>0</v>
      </c>
      <c r="I14">
        <f>INDEX(weekly!$F$2:$F$188,MATCH('Marketing Campaigns 22.11.22'!L14,weekly!$H$2:$H$188,0))</f>
        <v>0</v>
      </c>
      <c r="J14">
        <v>0</v>
      </c>
      <c r="K14">
        <v>0</v>
      </c>
      <c r="L14" t="str">
        <f t="shared" si="0"/>
        <v>53-1-2021</v>
      </c>
      <c r="M14">
        <f t="shared" si="1"/>
        <v>2021</v>
      </c>
    </row>
    <row r="15" spans="1:13" x14ac:dyDescent="0.2">
      <c r="A15" s="1">
        <v>44197</v>
      </c>
      <c r="B15">
        <v>53</v>
      </c>
      <c r="C15">
        <v>1</v>
      </c>
      <c r="D15">
        <v>1</v>
      </c>
      <c r="E15" t="s">
        <v>50</v>
      </c>
      <c r="F15">
        <v>0</v>
      </c>
      <c r="G15">
        <f>INDEX(weekly!$E$2:$E$188,MATCH('Marketing Campaigns 22.11.22'!L15,weekly!$H$2:$H$188,0))</f>
        <v>0</v>
      </c>
      <c r="H15">
        <f>INDEX(weekly!$D$2:$D$188,MATCH('Marketing Campaigns 22.11.22'!L15,weekly!$H$2:$H$188,0))</f>
        <v>0</v>
      </c>
      <c r="I15">
        <f>INDEX(weekly!$F$2:$F$188,MATCH('Marketing Campaigns 22.11.22'!L15,weekly!$H$2:$H$188,0))</f>
        <v>0</v>
      </c>
      <c r="J15">
        <v>0</v>
      </c>
      <c r="K15">
        <v>0</v>
      </c>
      <c r="L15" t="str">
        <f t="shared" si="0"/>
        <v>53-1-2021</v>
      </c>
      <c r="M15">
        <f t="shared" si="1"/>
        <v>2021</v>
      </c>
    </row>
    <row r="16" spans="1:13" x14ac:dyDescent="0.2">
      <c r="A16" s="1">
        <v>44197</v>
      </c>
      <c r="B16">
        <v>53</v>
      </c>
      <c r="C16">
        <v>1</v>
      </c>
      <c r="D16">
        <v>1</v>
      </c>
      <c r="E16" t="s">
        <v>51</v>
      </c>
      <c r="F16">
        <v>0</v>
      </c>
      <c r="G16">
        <f>INDEX(weekly!$E$2:$E$188,MATCH('Marketing Campaigns 22.11.22'!L16,weekly!$H$2:$H$188,0))</f>
        <v>0</v>
      </c>
      <c r="H16">
        <f>INDEX(weekly!$D$2:$D$188,MATCH('Marketing Campaigns 22.11.22'!L16,weekly!$H$2:$H$188,0))</f>
        <v>0</v>
      </c>
      <c r="I16">
        <f>INDEX(weekly!$F$2:$F$188,MATCH('Marketing Campaigns 22.11.22'!L16,weekly!$H$2:$H$188,0))</f>
        <v>0</v>
      </c>
      <c r="J16">
        <v>0</v>
      </c>
      <c r="K16">
        <v>0</v>
      </c>
      <c r="L16" t="str">
        <f t="shared" si="0"/>
        <v>53-1-2021</v>
      </c>
      <c r="M16">
        <f t="shared" si="1"/>
        <v>2021</v>
      </c>
    </row>
    <row r="17" spans="1:13" x14ac:dyDescent="0.2">
      <c r="A17" s="1">
        <v>44197</v>
      </c>
      <c r="B17">
        <v>53</v>
      </c>
      <c r="C17">
        <v>1</v>
      </c>
      <c r="D17">
        <v>1</v>
      </c>
      <c r="E17" t="s">
        <v>52</v>
      </c>
      <c r="F17">
        <v>0</v>
      </c>
      <c r="G17">
        <f>INDEX(weekly!$E$2:$E$188,MATCH('Marketing Campaigns 22.11.22'!L17,weekly!$H$2:$H$188,0))</f>
        <v>0</v>
      </c>
      <c r="H17">
        <f>INDEX(weekly!$D$2:$D$188,MATCH('Marketing Campaigns 22.11.22'!L17,weekly!$H$2:$H$188,0))</f>
        <v>0</v>
      </c>
      <c r="I17">
        <f>INDEX(weekly!$F$2:$F$188,MATCH('Marketing Campaigns 22.11.22'!L17,weekly!$H$2:$H$188,0))</f>
        <v>0</v>
      </c>
      <c r="J17">
        <v>0</v>
      </c>
      <c r="K17">
        <v>0</v>
      </c>
      <c r="L17" t="str">
        <f t="shared" si="0"/>
        <v>53-1-2021</v>
      </c>
      <c r="M17">
        <f t="shared" si="1"/>
        <v>2021</v>
      </c>
    </row>
    <row r="18" spans="1:13" x14ac:dyDescent="0.2">
      <c r="A18" s="1">
        <v>44200</v>
      </c>
      <c r="B18">
        <v>1</v>
      </c>
      <c r="C18">
        <v>1</v>
      </c>
      <c r="D18">
        <v>1</v>
      </c>
      <c r="E18" t="s">
        <v>24</v>
      </c>
      <c r="F18">
        <v>0</v>
      </c>
      <c r="G18">
        <f>INDEX(weekly!$E$2:$E$188,MATCH('Marketing Campaigns 22.11.22'!L18,weekly!$H$2:$H$188,0))</f>
        <v>0</v>
      </c>
      <c r="H18">
        <f>INDEX(weekly!$D$2:$D$188,MATCH('Marketing Campaigns 22.11.22'!L18,weekly!$H$2:$H$188,0))</f>
        <v>0</v>
      </c>
      <c r="I18">
        <f>INDEX(weekly!$F$2:$F$188,MATCH('Marketing Campaigns 22.11.22'!L18,weekly!$H$2:$H$188,0))</f>
        <v>0</v>
      </c>
      <c r="J18">
        <v>0</v>
      </c>
      <c r="K18">
        <v>0</v>
      </c>
      <c r="L18" t="str">
        <f t="shared" si="0"/>
        <v>1-1-2021</v>
      </c>
      <c r="M18">
        <f t="shared" si="1"/>
        <v>2021</v>
      </c>
    </row>
    <row r="19" spans="1:13" x14ac:dyDescent="0.2">
      <c r="A19" s="1">
        <v>44200</v>
      </c>
      <c r="B19">
        <v>1</v>
      </c>
      <c r="C19">
        <v>1</v>
      </c>
      <c r="D19">
        <v>1</v>
      </c>
      <c r="E19" t="s">
        <v>39</v>
      </c>
      <c r="F19">
        <v>0</v>
      </c>
      <c r="G19">
        <f>INDEX(weekly!$E$2:$E$188,MATCH('Marketing Campaigns 22.11.22'!L19,weekly!$H$2:$H$188,0))</f>
        <v>0</v>
      </c>
      <c r="H19">
        <f>INDEX(weekly!$D$2:$D$188,MATCH('Marketing Campaigns 22.11.22'!L19,weekly!$H$2:$H$188,0))</f>
        <v>0</v>
      </c>
      <c r="I19">
        <f>INDEX(weekly!$F$2:$F$188,MATCH('Marketing Campaigns 22.11.22'!L19,weekly!$H$2:$H$188,0))</f>
        <v>0</v>
      </c>
      <c r="J19">
        <v>0</v>
      </c>
      <c r="K19">
        <v>0</v>
      </c>
      <c r="L19" t="str">
        <f t="shared" si="0"/>
        <v>1-1-2021</v>
      </c>
      <c r="M19">
        <f t="shared" si="1"/>
        <v>2021</v>
      </c>
    </row>
    <row r="20" spans="1:13" x14ac:dyDescent="0.2">
      <c r="A20" s="1">
        <v>44200</v>
      </c>
      <c r="B20">
        <v>1</v>
      </c>
      <c r="C20">
        <v>1</v>
      </c>
      <c r="D20">
        <v>1</v>
      </c>
      <c r="E20" t="s">
        <v>40</v>
      </c>
      <c r="F20">
        <v>0</v>
      </c>
      <c r="G20">
        <f>INDEX(weekly!$E$2:$E$188,MATCH('Marketing Campaigns 22.11.22'!L20,weekly!$H$2:$H$188,0))</f>
        <v>0</v>
      </c>
      <c r="H20">
        <f>INDEX(weekly!$D$2:$D$188,MATCH('Marketing Campaigns 22.11.22'!L20,weekly!$H$2:$H$188,0))</f>
        <v>0</v>
      </c>
      <c r="I20">
        <f>INDEX(weekly!$F$2:$F$188,MATCH('Marketing Campaigns 22.11.22'!L20,weekly!$H$2:$H$188,0))</f>
        <v>0</v>
      </c>
      <c r="J20">
        <v>0</v>
      </c>
      <c r="K20">
        <v>0</v>
      </c>
      <c r="L20" t="str">
        <f t="shared" si="0"/>
        <v>1-1-2021</v>
      </c>
      <c r="M20">
        <f t="shared" si="1"/>
        <v>2021</v>
      </c>
    </row>
    <row r="21" spans="1:13" x14ac:dyDescent="0.2">
      <c r="A21" s="1">
        <v>44200</v>
      </c>
      <c r="B21">
        <v>1</v>
      </c>
      <c r="C21">
        <v>1</v>
      </c>
      <c r="D21">
        <v>1</v>
      </c>
      <c r="E21" t="s">
        <v>41</v>
      </c>
      <c r="F21">
        <v>0</v>
      </c>
      <c r="G21">
        <f>INDEX(weekly!$E$2:$E$188,MATCH('Marketing Campaigns 22.11.22'!L21,weekly!$H$2:$H$188,0))</f>
        <v>0</v>
      </c>
      <c r="H21">
        <f>INDEX(weekly!$D$2:$D$188,MATCH('Marketing Campaigns 22.11.22'!L21,weekly!$H$2:$H$188,0))</f>
        <v>0</v>
      </c>
      <c r="I21">
        <f>INDEX(weekly!$F$2:$F$188,MATCH('Marketing Campaigns 22.11.22'!L21,weekly!$H$2:$H$188,0))</f>
        <v>0</v>
      </c>
      <c r="J21">
        <v>0</v>
      </c>
      <c r="K21">
        <v>0</v>
      </c>
      <c r="L21" t="str">
        <f t="shared" si="0"/>
        <v>1-1-2021</v>
      </c>
      <c r="M21">
        <f t="shared" si="1"/>
        <v>2021</v>
      </c>
    </row>
    <row r="22" spans="1:13" x14ac:dyDescent="0.2">
      <c r="A22" s="1">
        <v>44200</v>
      </c>
      <c r="B22">
        <v>1</v>
      </c>
      <c r="C22">
        <v>1</v>
      </c>
      <c r="D22">
        <v>1</v>
      </c>
      <c r="E22" t="s">
        <v>42</v>
      </c>
      <c r="F22">
        <v>0</v>
      </c>
      <c r="G22">
        <f>INDEX(weekly!$E$2:$E$188,MATCH('Marketing Campaigns 22.11.22'!L22,weekly!$H$2:$H$188,0))</f>
        <v>0</v>
      </c>
      <c r="H22">
        <f>INDEX(weekly!$D$2:$D$188,MATCH('Marketing Campaigns 22.11.22'!L22,weekly!$H$2:$H$188,0))</f>
        <v>0</v>
      </c>
      <c r="I22">
        <f>INDEX(weekly!$F$2:$F$188,MATCH('Marketing Campaigns 22.11.22'!L22,weekly!$H$2:$H$188,0))</f>
        <v>0</v>
      </c>
      <c r="J22">
        <v>0</v>
      </c>
      <c r="K22">
        <v>0</v>
      </c>
      <c r="L22" t="str">
        <f t="shared" si="0"/>
        <v>1-1-2021</v>
      </c>
      <c r="M22">
        <f t="shared" si="1"/>
        <v>2021</v>
      </c>
    </row>
    <row r="23" spans="1:13" x14ac:dyDescent="0.2">
      <c r="A23" s="1">
        <v>44200</v>
      </c>
      <c r="B23">
        <v>1</v>
      </c>
      <c r="C23">
        <v>1</v>
      </c>
      <c r="D23">
        <v>1</v>
      </c>
      <c r="E23" t="s">
        <v>43</v>
      </c>
      <c r="F23">
        <v>0</v>
      </c>
      <c r="G23">
        <f>INDEX(weekly!$E$2:$E$188,MATCH('Marketing Campaigns 22.11.22'!L23,weekly!$H$2:$H$188,0))</f>
        <v>0</v>
      </c>
      <c r="H23">
        <f>INDEX(weekly!$D$2:$D$188,MATCH('Marketing Campaigns 22.11.22'!L23,weekly!$H$2:$H$188,0))</f>
        <v>0</v>
      </c>
      <c r="I23">
        <f>INDEX(weekly!$F$2:$F$188,MATCH('Marketing Campaigns 22.11.22'!L23,weekly!$H$2:$H$188,0))</f>
        <v>0</v>
      </c>
      <c r="J23">
        <v>0</v>
      </c>
      <c r="K23">
        <v>0</v>
      </c>
      <c r="L23" t="str">
        <f t="shared" si="0"/>
        <v>1-1-2021</v>
      </c>
      <c r="M23">
        <f t="shared" si="1"/>
        <v>2021</v>
      </c>
    </row>
    <row r="24" spans="1:13" x14ac:dyDescent="0.2">
      <c r="A24" s="1">
        <v>44200</v>
      </c>
      <c r="B24">
        <v>1</v>
      </c>
      <c r="C24">
        <v>1</v>
      </c>
      <c r="D24">
        <v>1</v>
      </c>
      <c r="E24" t="s">
        <v>44</v>
      </c>
      <c r="F24">
        <v>0</v>
      </c>
      <c r="G24">
        <f>INDEX(weekly!$E$2:$E$188,MATCH('Marketing Campaigns 22.11.22'!L24,weekly!$H$2:$H$188,0))</f>
        <v>0</v>
      </c>
      <c r="H24">
        <f>INDEX(weekly!$D$2:$D$188,MATCH('Marketing Campaigns 22.11.22'!L24,weekly!$H$2:$H$188,0))</f>
        <v>0</v>
      </c>
      <c r="I24">
        <f>INDEX(weekly!$F$2:$F$188,MATCH('Marketing Campaigns 22.11.22'!L24,weekly!$H$2:$H$188,0))</f>
        <v>0</v>
      </c>
      <c r="J24">
        <v>0</v>
      </c>
      <c r="K24">
        <v>0</v>
      </c>
      <c r="L24" t="str">
        <f t="shared" si="0"/>
        <v>1-1-2021</v>
      </c>
      <c r="M24">
        <f t="shared" si="1"/>
        <v>2021</v>
      </c>
    </row>
    <row r="25" spans="1:13" x14ac:dyDescent="0.2">
      <c r="A25" s="1">
        <v>44200</v>
      </c>
      <c r="B25">
        <v>1</v>
      </c>
      <c r="C25">
        <v>1</v>
      </c>
      <c r="D25">
        <v>1</v>
      </c>
      <c r="E25" t="s">
        <v>45</v>
      </c>
      <c r="F25">
        <v>0</v>
      </c>
      <c r="G25">
        <f>INDEX(weekly!$E$2:$E$188,MATCH('Marketing Campaigns 22.11.22'!L25,weekly!$H$2:$H$188,0))</f>
        <v>0</v>
      </c>
      <c r="H25">
        <f>INDEX(weekly!$D$2:$D$188,MATCH('Marketing Campaigns 22.11.22'!L25,weekly!$H$2:$H$188,0))</f>
        <v>0</v>
      </c>
      <c r="I25">
        <f>INDEX(weekly!$F$2:$F$188,MATCH('Marketing Campaigns 22.11.22'!L25,weekly!$H$2:$H$188,0))</f>
        <v>0</v>
      </c>
      <c r="J25">
        <v>0</v>
      </c>
      <c r="K25">
        <v>0</v>
      </c>
      <c r="L25" t="str">
        <f t="shared" si="0"/>
        <v>1-1-2021</v>
      </c>
      <c r="M25">
        <f t="shared" si="1"/>
        <v>2021</v>
      </c>
    </row>
    <row r="26" spans="1:13" x14ac:dyDescent="0.2">
      <c r="A26" s="1">
        <v>44200</v>
      </c>
      <c r="B26">
        <v>1</v>
      </c>
      <c r="C26">
        <v>1</v>
      </c>
      <c r="D26">
        <v>1</v>
      </c>
      <c r="E26" t="s">
        <v>46</v>
      </c>
      <c r="F26">
        <v>0</v>
      </c>
      <c r="G26">
        <f>INDEX(weekly!$E$2:$E$188,MATCH('Marketing Campaigns 22.11.22'!L26,weekly!$H$2:$H$188,0))</f>
        <v>0</v>
      </c>
      <c r="H26">
        <f>INDEX(weekly!$D$2:$D$188,MATCH('Marketing Campaigns 22.11.22'!L26,weekly!$H$2:$H$188,0))</f>
        <v>0</v>
      </c>
      <c r="I26">
        <f>INDEX(weekly!$F$2:$F$188,MATCH('Marketing Campaigns 22.11.22'!L26,weekly!$H$2:$H$188,0))</f>
        <v>0</v>
      </c>
      <c r="J26">
        <v>0</v>
      </c>
      <c r="K26">
        <v>0</v>
      </c>
      <c r="L26" t="str">
        <f t="shared" si="0"/>
        <v>1-1-2021</v>
      </c>
      <c r="M26">
        <f t="shared" si="1"/>
        <v>2021</v>
      </c>
    </row>
    <row r="27" spans="1:13" x14ac:dyDescent="0.2">
      <c r="A27" s="1">
        <v>44200</v>
      </c>
      <c r="B27">
        <v>1</v>
      </c>
      <c r="C27">
        <v>1</v>
      </c>
      <c r="D27">
        <v>1</v>
      </c>
      <c r="E27" t="s">
        <v>47</v>
      </c>
      <c r="F27">
        <v>0</v>
      </c>
      <c r="G27">
        <f>INDEX(weekly!$E$2:$E$188,MATCH('Marketing Campaigns 22.11.22'!L27,weekly!$H$2:$H$188,0))</f>
        <v>0</v>
      </c>
      <c r="H27">
        <f>INDEX(weekly!$D$2:$D$188,MATCH('Marketing Campaigns 22.11.22'!L27,weekly!$H$2:$H$188,0))</f>
        <v>0</v>
      </c>
      <c r="I27">
        <f>INDEX(weekly!$F$2:$F$188,MATCH('Marketing Campaigns 22.11.22'!L27,weekly!$H$2:$H$188,0))</f>
        <v>0</v>
      </c>
      <c r="J27">
        <v>0</v>
      </c>
      <c r="K27">
        <v>0</v>
      </c>
      <c r="L27" t="str">
        <f t="shared" si="0"/>
        <v>1-1-2021</v>
      </c>
      <c r="M27">
        <f t="shared" si="1"/>
        <v>2021</v>
      </c>
    </row>
    <row r="28" spans="1:13" x14ac:dyDescent="0.2">
      <c r="A28" s="1">
        <v>44200</v>
      </c>
      <c r="B28">
        <v>1</v>
      </c>
      <c r="C28">
        <v>1</v>
      </c>
      <c r="D28">
        <v>1</v>
      </c>
      <c r="E28" t="s">
        <v>48</v>
      </c>
      <c r="F28">
        <v>0</v>
      </c>
      <c r="G28">
        <f>INDEX(weekly!$E$2:$E$188,MATCH('Marketing Campaigns 22.11.22'!L28,weekly!$H$2:$H$188,0))</f>
        <v>0</v>
      </c>
      <c r="H28">
        <f>INDEX(weekly!$D$2:$D$188,MATCH('Marketing Campaigns 22.11.22'!L28,weekly!$H$2:$H$188,0))</f>
        <v>0</v>
      </c>
      <c r="I28">
        <f>INDEX(weekly!$F$2:$F$188,MATCH('Marketing Campaigns 22.11.22'!L28,weekly!$H$2:$H$188,0))</f>
        <v>0</v>
      </c>
      <c r="J28">
        <v>0</v>
      </c>
      <c r="K28">
        <v>0</v>
      </c>
      <c r="L28" t="str">
        <f t="shared" si="0"/>
        <v>1-1-2021</v>
      </c>
      <c r="M28">
        <f t="shared" si="1"/>
        <v>2021</v>
      </c>
    </row>
    <row r="29" spans="1:13" x14ac:dyDescent="0.2">
      <c r="A29" s="1">
        <v>44200</v>
      </c>
      <c r="B29">
        <v>1</v>
      </c>
      <c r="C29">
        <v>1</v>
      </c>
      <c r="D29">
        <v>1</v>
      </c>
      <c r="E29" t="s">
        <v>49</v>
      </c>
      <c r="F29">
        <v>0</v>
      </c>
      <c r="G29">
        <f>INDEX(weekly!$E$2:$E$188,MATCH('Marketing Campaigns 22.11.22'!L29,weekly!$H$2:$H$188,0))</f>
        <v>0</v>
      </c>
      <c r="H29">
        <f>INDEX(weekly!$D$2:$D$188,MATCH('Marketing Campaigns 22.11.22'!L29,weekly!$H$2:$H$188,0))</f>
        <v>0</v>
      </c>
      <c r="I29">
        <f>INDEX(weekly!$F$2:$F$188,MATCH('Marketing Campaigns 22.11.22'!L29,weekly!$H$2:$H$188,0))</f>
        <v>0</v>
      </c>
      <c r="J29">
        <v>0</v>
      </c>
      <c r="K29">
        <v>0</v>
      </c>
      <c r="L29" t="str">
        <f t="shared" si="0"/>
        <v>1-1-2021</v>
      </c>
      <c r="M29">
        <f t="shared" si="1"/>
        <v>2021</v>
      </c>
    </row>
    <row r="30" spans="1:13" x14ac:dyDescent="0.2">
      <c r="A30" s="1">
        <v>44200</v>
      </c>
      <c r="B30">
        <v>1</v>
      </c>
      <c r="C30">
        <v>1</v>
      </c>
      <c r="D30">
        <v>1</v>
      </c>
      <c r="E30" t="s">
        <v>50</v>
      </c>
      <c r="F30">
        <v>0</v>
      </c>
      <c r="G30">
        <f>INDEX(weekly!$E$2:$E$188,MATCH('Marketing Campaigns 22.11.22'!L30,weekly!$H$2:$H$188,0))</f>
        <v>0</v>
      </c>
      <c r="H30">
        <f>INDEX(weekly!$D$2:$D$188,MATCH('Marketing Campaigns 22.11.22'!L30,weekly!$H$2:$H$188,0))</f>
        <v>0</v>
      </c>
      <c r="I30">
        <f>INDEX(weekly!$F$2:$F$188,MATCH('Marketing Campaigns 22.11.22'!L30,weekly!$H$2:$H$188,0))</f>
        <v>0</v>
      </c>
      <c r="J30">
        <v>0</v>
      </c>
      <c r="K30">
        <v>0</v>
      </c>
      <c r="L30" t="str">
        <f t="shared" si="0"/>
        <v>1-1-2021</v>
      </c>
      <c r="M30">
        <f t="shared" si="1"/>
        <v>2021</v>
      </c>
    </row>
    <row r="31" spans="1:13" x14ac:dyDescent="0.2">
      <c r="A31" s="1">
        <v>44200</v>
      </c>
      <c r="B31">
        <v>1</v>
      </c>
      <c r="C31">
        <v>1</v>
      </c>
      <c r="D31">
        <v>1</v>
      </c>
      <c r="E31" t="s">
        <v>51</v>
      </c>
      <c r="F31">
        <v>0</v>
      </c>
      <c r="G31">
        <f>INDEX(weekly!$E$2:$E$188,MATCH('Marketing Campaigns 22.11.22'!L31,weekly!$H$2:$H$188,0))</f>
        <v>0</v>
      </c>
      <c r="H31">
        <f>INDEX(weekly!$D$2:$D$188,MATCH('Marketing Campaigns 22.11.22'!L31,weekly!$H$2:$H$188,0))</f>
        <v>0</v>
      </c>
      <c r="I31">
        <f>INDEX(weekly!$F$2:$F$188,MATCH('Marketing Campaigns 22.11.22'!L31,weekly!$H$2:$H$188,0))</f>
        <v>0</v>
      </c>
      <c r="J31">
        <v>0</v>
      </c>
      <c r="K31">
        <v>0</v>
      </c>
      <c r="L31" t="str">
        <f t="shared" si="0"/>
        <v>1-1-2021</v>
      </c>
      <c r="M31">
        <f t="shared" si="1"/>
        <v>2021</v>
      </c>
    </row>
    <row r="32" spans="1:13" x14ac:dyDescent="0.2">
      <c r="A32" s="1">
        <v>44200</v>
      </c>
      <c r="B32">
        <v>1</v>
      </c>
      <c r="C32">
        <v>1</v>
      </c>
      <c r="D32">
        <v>1</v>
      </c>
      <c r="E32" t="s">
        <v>52</v>
      </c>
      <c r="F32">
        <v>0</v>
      </c>
      <c r="G32">
        <f>INDEX(weekly!$E$2:$E$188,MATCH('Marketing Campaigns 22.11.22'!L32,weekly!$H$2:$H$188,0))</f>
        <v>0</v>
      </c>
      <c r="H32">
        <f>INDEX(weekly!$D$2:$D$188,MATCH('Marketing Campaigns 22.11.22'!L32,weekly!$H$2:$H$188,0))</f>
        <v>0</v>
      </c>
      <c r="I32">
        <f>INDEX(weekly!$F$2:$F$188,MATCH('Marketing Campaigns 22.11.22'!L32,weekly!$H$2:$H$188,0))</f>
        <v>0</v>
      </c>
      <c r="J32">
        <v>0</v>
      </c>
      <c r="K32">
        <v>0</v>
      </c>
      <c r="L32" t="str">
        <f t="shared" si="0"/>
        <v>1-1-2021</v>
      </c>
      <c r="M32">
        <f t="shared" si="1"/>
        <v>2021</v>
      </c>
    </row>
    <row r="33" spans="1:13" x14ac:dyDescent="0.2">
      <c r="A33" s="1">
        <v>44207</v>
      </c>
      <c r="B33">
        <v>2</v>
      </c>
      <c r="C33">
        <v>1</v>
      </c>
      <c r="D33">
        <v>1</v>
      </c>
      <c r="E33" t="s">
        <v>24</v>
      </c>
      <c r="F33">
        <v>0</v>
      </c>
      <c r="G33">
        <f>INDEX(weekly!$E$2:$E$188,MATCH('Marketing Campaigns 22.11.22'!L33,weekly!$H$2:$H$188,0))</f>
        <v>0</v>
      </c>
      <c r="H33">
        <f>INDEX(weekly!$D$2:$D$188,MATCH('Marketing Campaigns 22.11.22'!L33,weekly!$H$2:$H$188,0))</f>
        <v>0</v>
      </c>
      <c r="I33">
        <f>INDEX(weekly!$F$2:$F$188,MATCH('Marketing Campaigns 22.11.22'!L33,weekly!$H$2:$H$188,0))</f>
        <v>0</v>
      </c>
      <c r="J33">
        <v>0</v>
      </c>
      <c r="K33">
        <v>0</v>
      </c>
      <c r="L33" t="str">
        <f t="shared" si="0"/>
        <v>2-1-2021</v>
      </c>
      <c r="M33">
        <f t="shared" si="1"/>
        <v>2021</v>
      </c>
    </row>
    <row r="34" spans="1:13" x14ac:dyDescent="0.2">
      <c r="A34" s="1">
        <v>44207</v>
      </c>
      <c r="B34">
        <v>2</v>
      </c>
      <c r="C34">
        <v>1</v>
      </c>
      <c r="D34">
        <v>1</v>
      </c>
      <c r="E34" t="s">
        <v>39</v>
      </c>
      <c r="F34">
        <v>0</v>
      </c>
      <c r="G34">
        <f>INDEX(weekly!$E$2:$E$188,MATCH('Marketing Campaigns 22.11.22'!L34,weekly!$H$2:$H$188,0))</f>
        <v>0</v>
      </c>
      <c r="H34">
        <f>INDEX(weekly!$D$2:$D$188,MATCH('Marketing Campaigns 22.11.22'!L34,weekly!$H$2:$H$188,0))</f>
        <v>0</v>
      </c>
      <c r="I34">
        <f>INDEX(weekly!$F$2:$F$188,MATCH('Marketing Campaigns 22.11.22'!L34,weekly!$H$2:$H$188,0))</f>
        <v>0</v>
      </c>
      <c r="J34">
        <v>0</v>
      </c>
      <c r="K34">
        <v>0</v>
      </c>
      <c r="L34" t="str">
        <f t="shared" si="0"/>
        <v>2-1-2021</v>
      </c>
      <c r="M34">
        <f t="shared" si="1"/>
        <v>2021</v>
      </c>
    </row>
    <row r="35" spans="1:13" x14ac:dyDescent="0.2">
      <c r="A35" s="1">
        <v>44207</v>
      </c>
      <c r="B35">
        <v>2</v>
      </c>
      <c r="C35">
        <v>1</v>
      </c>
      <c r="D35">
        <v>1</v>
      </c>
      <c r="E35" t="s">
        <v>40</v>
      </c>
      <c r="F35">
        <v>0</v>
      </c>
      <c r="G35">
        <f>INDEX(weekly!$E$2:$E$188,MATCH('Marketing Campaigns 22.11.22'!L35,weekly!$H$2:$H$188,0))</f>
        <v>0</v>
      </c>
      <c r="H35">
        <f>INDEX(weekly!$D$2:$D$188,MATCH('Marketing Campaigns 22.11.22'!L35,weekly!$H$2:$H$188,0))</f>
        <v>0</v>
      </c>
      <c r="I35">
        <f>INDEX(weekly!$F$2:$F$188,MATCH('Marketing Campaigns 22.11.22'!L35,weekly!$H$2:$H$188,0))</f>
        <v>0</v>
      </c>
      <c r="J35">
        <v>0</v>
      </c>
      <c r="K35">
        <v>0</v>
      </c>
      <c r="L35" t="str">
        <f t="shared" si="0"/>
        <v>2-1-2021</v>
      </c>
      <c r="M35">
        <f t="shared" si="1"/>
        <v>2021</v>
      </c>
    </row>
    <row r="36" spans="1:13" x14ac:dyDescent="0.2">
      <c r="A36" s="1">
        <v>44207</v>
      </c>
      <c r="B36">
        <v>2</v>
      </c>
      <c r="C36">
        <v>1</v>
      </c>
      <c r="D36">
        <v>1</v>
      </c>
      <c r="E36" t="s">
        <v>41</v>
      </c>
      <c r="F36">
        <v>0</v>
      </c>
      <c r="G36">
        <f>INDEX(weekly!$E$2:$E$188,MATCH('Marketing Campaigns 22.11.22'!L36,weekly!$H$2:$H$188,0))</f>
        <v>0</v>
      </c>
      <c r="H36">
        <f>INDEX(weekly!$D$2:$D$188,MATCH('Marketing Campaigns 22.11.22'!L36,weekly!$H$2:$H$188,0))</f>
        <v>0</v>
      </c>
      <c r="I36">
        <f>INDEX(weekly!$F$2:$F$188,MATCH('Marketing Campaigns 22.11.22'!L36,weekly!$H$2:$H$188,0))</f>
        <v>0</v>
      </c>
      <c r="J36">
        <v>0</v>
      </c>
      <c r="K36">
        <v>0</v>
      </c>
      <c r="L36" t="str">
        <f t="shared" si="0"/>
        <v>2-1-2021</v>
      </c>
      <c r="M36">
        <f t="shared" si="1"/>
        <v>2021</v>
      </c>
    </row>
    <row r="37" spans="1:13" x14ac:dyDescent="0.2">
      <c r="A37" s="1">
        <v>44207</v>
      </c>
      <c r="B37">
        <v>2</v>
      </c>
      <c r="C37">
        <v>1</v>
      </c>
      <c r="D37">
        <v>1</v>
      </c>
      <c r="E37" t="s">
        <v>42</v>
      </c>
      <c r="F37">
        <v>0</v>
      </c>
      <c r="G37">
        <f>INDEX(weekly!$E$2:$E$188,MATCH('Marketing Campaigns 22.11.22'!L37,weekly!$H$2:$H$188,0))</f>
        <v>0</v>
      </c>
      <c r="H37">
        <f>INDEX(weekly!$D$2:$D$188,MATCH('Marketing Campaigns 22.11.22'!L37,weekly!$H$2:$H$188,0))</f>
        <v>0</v>
      </c>
      <c r="I37">
        <f>INDEX(weekly!$F$2:$F$188,MATCH('Marketing Campaigns 22.11.22'!L37,weekly!$H$2:$H$188,0))</f>
        <v>0</v>
      </c>
      <c r="J37">
        <v>0</v>
      </c>
      <c r="K37">
        <v>0</v>
      </c>
      <c r="L37" t="str">
        <f t="shared" si="0"/>
        <v>2-1-2021</v>
      </c>
      <c r="M37">
        <f t="shared" si="1"/>
        <v>2021</v>
      </c>
    </row>
    <row r="38" spans="1:13" x14ac:dyDescent="0.2">
      <c r="A38" s="1">
        <v>44207</v>
      </c>
      <c r="B38">
        <v>2</v>
      </c>
      <c r="C38">
        <v>1</v>
      </c>
      <c r="D38">
        <v>1</v>
      </c>
      <c r="E38" t="s">
        <v>43</v>
      </c>
      <c r="F38">
        <v>0</v>
      </c>
      <c r="G38">
        <f>INDEX(weekly!$E$2:$E$188,MATCH('Marketing Campaigns 22.11.22'!L38,weekly!$H$2:$H$188,0))</f>
        <v>0</v>
      </c>
      <c r="H38">
        <f>INDEX(weekly!$D$2:$D$188,MATCH('Marketing Campaigns 22.11.22'!L38,weekly!$H$2:$H$188,0))</f>
        <v>0</v>
      </c>
      <c r="I38">
        <f>INDEX(weekly!$F$2:$F$188,MATCH('Marketing Campaigns 22.11.22'!L38,weekly!$H$2:$H$188,0))</f>
        <v>0</v>
      </c>
      <c r="J38">
        <v>0</v>
      </c>
      <c r="K38">
        <v>0</v>
      </c>
      <c r="L38" t="str">
        <f t="shared" si="0"/>
        <v>2-1-2021</v>
      </c>
      <c r="M38">
        <f t="shared" si="1"/>
        <v>2021</v>
      </c>
    </row>
    <row r="39" spans="1:13" x14ac:dyDescent="0.2">
      <c r="A39" s="1">
        <v>44207</v>
      </c>
      <c r="B39">
        <v>2</v>
      </c>
      <c r="C39">
        <v>1</v>
      </c>
      <c r="D39">
        <v>1</v>
      </c>
      <c r="E39" t="s">
        <v>44</v>
      </c>
      <c r="F39">
        <v>0</v>
      </c>
      <c r="G39">
        <f>INDEX(weekly!$E$2:$E$188,MATCH('Marketing Campaigns 22.11.22'!L39,weekly!$H$2:$H$188,0))</f>
        <v>0</v>
      </c>
      <c r="H39">
        <f>INDEX(weekly!$D$2:$D$188,MATCH('Marketing Campaigns 22.11.22'!L39,weekly!$H$2:$H$188,0))</f>
        <v>0</v>
      </c>
      <c r="I39">
        <f>INDEX(weekly!$F$2:$F$188,MATCH('Marketing Campaigns 22.11.22'!L39,weekly!$H$2:$H$188,0))</f>
        <v>0</v>
      </c>
      <c r="J39">
        <v>0</v>
      </c>
      <c r="K39">
        <v>0</v>
      </c>
      <c r="L39" t="str">
        <f t="shared" si="0"/>
        <v>2-1-2021</v>
      </c>
      <c r="M39">
        <f t="shared" si="1"/>
        <v>2021</v>
      </c>
    </row>
    <row r="40" spans="1:13" x14ac:dyDescent="0.2">
      <c r="A40" s="1">
        <v>44207</v>
      </c>
      <c r="B40">
        <v>2</v>
      </c>
      <c r="C40">
        <v>1</v>
      </c>
      <c r="D40">
        <v>1</v>
      </c>
      <c r="E40" t="s">
        <v>45</v>
      </c>
      <c r="F40">
        <v>0</v>
      </c>
      <c r="G40">
        <f>INDEX(weekly!$E$2:$E$188,MATCH('Marketing Campaigns 22.11.22'!L40,weekly!$H$2:$H$188,0))</f>
        <v>0</v>
      </c>
      <c r="H40">
        <f>INDEX(weekly!$D$2:$D$188,MATCH('Marketing Campaigns 22.11.22'!L40,weekly!$H$2:$H$188,0))</f>
        <v>0</v>
      </c>
      <c r="I40">
        <f>INDEX(weekly!$F$2:$F$188,MATCH('Marketing Campaigns 22.11.22'!L40,weekly!$H$2:$H$188,0))</f>
        <v>0</v>
      </c>
      <c r="J40">
        <v>0</v>
      </c>
      <c r="K40">
        <v>0</v>
      </c>
      <c r="L40" t="str">
        <f t="shared" si="0"/>
        <v>2-1-2021</v>
      </c>
      <c r="M40">
        <f t="shared" si="1"/>
        <v>2021</v>
      </c>
    </row>
    <row r="41" spans="1:13" x14ac:dyDescent="0.2">
      <c r="A41" s="1">
        <v>44207</v>
      </c>
      <c r="B41">
        <v>2</v>
      </c>
      <c r="C41">
        <v>1</v>
      </c>
      <c r="D41">
        <v>1</v>
      </c>
      <c r="E41" t="s">
        <v>46</v>
      </c>
      <c r="F41">
        <v>0</v>
      </c>
      <c r="G41">
        <f>INDEX(weekly!$E$2:$E$188,MATCH('Marketing Campaigns 22.11.22'!L41,weekly!$H$2:$H$188,0))</f>
        <v>0</v>
      </c>
      <c r="H41">
        <f>INDEX(weekly!$D$2:$D$188,MATCH('Marketing Campaigns 22.11.22'!L41,weekly!$H$2:$H$188,0))</f>
        <v>0</v>
      </c>
      <c r="I41">
        <f>INDEX(weekly!$F$2:$F$188,MATCH('Marketing Campaigns 22.11.22'!L41,weekly!$H$2:$H$188,0))</f>
        <v>0</v>
      </c>
      <c r="J41">
        <v>0</v>
      </c>
      <c r="K41">
        <v>0</v>
      </c>
      <c r="L41" t="str">
        <f t="shared" si="0"/>
        <v>2-1-2021</v>
      </c>
      <c r="M41">
        <f t="shared" si="1"/>
        <v>2021</v>
      </c>
    </row>
    <row r="42" spans="1:13" x14ac:dyDescent="0.2">
      <c r="A42" s="1">
        <v>44207</v>
      </c>
      <c r="B42">
        <v>2</v>
      </c>
      <c r="C42">
        <v>1</v>
      </c>
      <c r="D42">
        <v>1</v>
      </c>
      <c r="E42" t="s">
        <v>47</v>
      </c>
      <c r="F42">
        <v>0</v>
      </c>
      <c r="G42">
        <f>INDEX(weekly!$E$2:$E$188,MATCH('Marketing Campaigns 22.11.22'!L42,weekly!$H$2:$H$188,0))</f>
        <v>0</v>
      </c>
      <c r="H42">
        <f>INDEX(weekly!$D$2:$D$188,MATCH('Marketing Campaigns 22.11.22'!L42,weekly!$H$2:$H$188,0))</f>
        <v>0</v>
      </c>
      <c r="I42">
        <f>INDEX(weekly!$F$2:$F$188,MATCH('Marketing Campaigns 22.11.22'!L42,weekly!$H$2:$H$188,0))</f>
        <v>0</v>
      </c>
      <c r="J42">
        <v>0</v>
      </c>
      <c r="K42">
        <v>0</v>
      </c>
      <c r="L42" t="str">
        <f t="shared" si="0"/>
        <v>2-1-2021</v>
      </c>
      <c r="M42">
        <f t="shared" si="1"/>
        <v>2021</v>
      </c>
    </row>
    <row r="43" spans="1:13" x14ac:dyDescent="0.2">
      <c r="A43" s="1">
        <v>44207</v>
      </c>
      <c r="B43">
        <v>2</v>
      </c>
      <c r="C43">
        <v>1</v>
      </c>
      <c r="D43">
        <v>1</v>
      </c>
      <c r="E43" t="s">
        <v>48</v>
      </c>
      <c r="F43">
        <v>0</v>
      </c>
      <c r="G43">
        <f>INDEX(weekly!$E$2:$E$188,MATCH('Marketing Campaigns 22.11.22'!L43,weekly!$H$2:$H$188,0))</f>
        <v>0</v>
      </c>
      <c r="H43">
        <f>INDEX(weekly!$D$2:$D$188,MATCH('Marketing Campaigns 22.11.22'!L43,weekly!$H$2:$H$188,0))</f>
        <v>0</v>
      </c>
      <c r="I43">
        <f>INDEX(weekly!$F$2:$F$188,MATCH('Marketing Campaigns 22.11.22'!L43,weekly!$H$2:$H$188,0))</f>
        <v>0</v>
      </c>
      <c r="J43">
        <v>0</v>
      </c>
      <c r="K43">
        <v>0</v>
      </c>
      <c r="L43" t="str">
        <f t="shared" si="0"/>
        <v>2-1-2021</v>
      </c>
      <c r="M43">
        <f t="shared" si="1"/>
        <v>2021</v>
      </c>
    </row>
    <row r="44" spans="1:13" x14ac:dyDescent="0.2">
      <c r="A44" s="1">
        <v>44207</v>
      </c>
      <c r="B44">
        <v>2</v>
      </c>
      <c r="C44">
        <v>1</v>
      </c>
      <c r="D44">
        <v>1</v>
      </c>
      <c r="E44" t="s">
        <v>49</v>
      </c>
      <c r="F44">
        <v>0</v>
      </c>
      <c r="G44">
        <f>INDEX(weekly!$E$2:$E$188,MATCH('Marketing Campaigns 22.11.22'!L44,weekly!$H$2:$H$188,0))</f>
        <v>0</v>
      </c>
      <c r="H44">
        <f>INDEX(weekly!$D$2:$D$188,MATCH('Marketing Campaigns 22.11.22'!L44,weekly!$H$2:$H$188,0))</f>
        <v>0</v>
      </c>
      <c r="I44">
        <f>INDEX(weekly!$F$2:$F$188,MATCH('Marketing Campaigns 22.11.22'!L44,weekly!$H$2:$H$188,0))</f>
        <v>0</v>
      </c>
      <c r="J44">
        <v>0</v>
      </c>
      <c r="K44">
        <v>0</v>
      </c>
      <c r="L44" t="str">
        <f t="shared" si="0"/>
        <v>2-1-2021</v>
      </c>
      <c r="M44">
        <f t="shared" si="1"/>
        <v>2021</v>
      </c>
    </row>
    <row r="45" spans="1:13" x14ac:dyDescent="0.2">
      <c r="A45" s="1">
        <v>44207</v>
      </c>
      <c r="B45">
        <v>2</v>
      </c>
      <c r="C45">
        <v>1</v>
      </c>
      <c r="D45">
        <v>1</v>
      </c>
      <c r="E45" t="s">
        <v>50</v>
      </c>
      <c r="F45">
        <v>0</v>
      </c>
      <c r="G45">
        <f>INDEX(weekly!$E$2:$E$188,MATCH('Marketing Campaigns 22.11.22'!L45,weekly!$H$2:$H$188,0))</f>
        <v>0</v>
      </c>
      <c r="H45">
        <f>INDEX(weekly!$D$2:$D$188,MATCH('Marketing Campaigns 22.11.22'!L45,weekly!$H$2:$H$188,0))</f>
        <v>0</v>
      </c>
      <c r="I45">
        <f>INDEX(weekly!$F$2:$F$188,MATCH('Marketing Campaigns 22.11.22'!L45,weekly!$H$2:$H$188,0))</f>
        <v>0</v>
      </c>
      <c r="J45">
        <v>0</v>
      </c>
      <c r="K45">
        <v>0</v>
      </c>
      <c r="L45" t="str">
        <f t="shared" si="0"/>
        <v>2-1-2021</v>
      </c>
      <c r="M45">
        <f t="shared" si="1"/>
        <v>2021</v>
      </c>
    </row>
    <row r="46" spans="1:13" x14ac:dyDescent="0.2">
      <c r="A46" s="1">
        <v>44207</v>
      </c>
      <c r="B46">
        <v>2</v>
      </c>
      <c r="C46">
        <v>1</v>
      </c>
      <c r="D46">
        <v>1</v>
      </c>
      <c r="E46" t="s">
        <v>51</v>
      </c>
      <c r="F46">
        <v>0</v>
      </c>
      <c r="G46">
        <f>INDEX(weekly!$E$2:$E$188,MATCH('Marketing Campaigns 22.11.22'!L46,weekly!$H$2:$H$188,0))</f>
        <v>0</v>
      </c>
      <c r="H46">
        <f>INDEX(weekly!$D$2:$D$188,MATCH('Marketing Campaigns 22.11.22'!L46,weekly!$H$2:$H$188,0))</f>
        <v>0</v>
      </c>
      <c r="I46">
        <f>INDEX(weekly!$F$2:$F$188,MATCH('Marketing Campaigns 22.11.22'!L46,weekly!$H$2:$H$188,0))</f>
        <v>0</v>
      </c>
      <c r="J46">
        <v>0</v>
      </c>
      <c r="K46">
        <v>0</v>
      </c>
      <c r="L46" t="str">
        <f t="shared" si="0"/>
        <v>2-1-2021</v>
      </c>
      <c r="M46">
        <f t="shared" si="1"/>
        <v>2021</v>
      </c>
    </row>
    <row r="47" spans="1:13" x14ac:dyDescent="0.2">
      <c r="A47" s="1">
        <v>44207</v>
      </c>
      <c r="B47">
        <v>2</v>
      </c>
      <c r="C47">
        <v>1</v>
      </c>
      <c r="D47">
        <v>1</v>
      </c>
      <c r="E47" t="s">
        <v>52</v>
      </c>
      <c r="F47">
        <v>0</v>
      </c>
      <c r="G47">
        <f>INDEX(weekly!$E$2:$E$188,MATCH('Marketing Campaigns 22.11.22'!L47,weekly!$H$2:$H$188,0))</f>
        <v>0</v>
      </c>
      <c r="H47">
        <f>INDEX(weekly!$D$2:$D$188,MATCH('Marketing Campaigns 22.11.22'!L47,weekly!$H$2:$H$188,0))</f>
        <v>0</v>
      </c>
      <c r="I47">
        <f>INDEX(weekly!$F$2:$F$188,MATCH('Marketing Campaigns 22.11.22'!L47,weekly!$H$2:$H$188,0))</f>
        <v>0</v>
      </c>
      <c r="J47">
        <v>0</v>
      </c>
      <c r="K47">
        <v>0</v>
      </c>
      <c r="L47" t="str">
        <f t="shared" si="0"/>
        <v>2-1-2021</v>
      </c>
      <c r="M47">
        <f t="shared" si="1"/>
        <v>2021</v>
      </c>
    </row>
    <row r="48" spans="1:13" x14ac:dyDescent="0.2">
      <c r="A48" s="1">
        <v>44214</v>
      </c>
      <c r="B48">
        <v>3</v>
      </c>
      <c r="C48">
        <v>1</v>
      </c>
      <c r="D48">
        <v>1</v>
      </c>
      <c r="E48" t="s">
        <v>24</v>
      </c>
      <c r="F48">
        <v>0</v>
      </c>
      <c r="G48">
        <f>INDEX(weekly!$E$2:$E$188,MATCH('Marketing Campaigns 22.11.22'!L48,weekly!$H$2:$H$188,0))</f>
        <v>0</v>
      </c>
      <c r="H48">
        <f>INDEX(weekly!$D$2:$D$188,MATCH('Marketing Campaigns 22.11.22'!L48,weekly!$H$2:$H$188,0))</f>
        <v>0</v>
      </c>
      <c r="I48">
        <f>INDEX(weekly!$F$2:$F$188,MATCH('Marketing Campaigns 22.11.22'!L48,weekly!$H$2:$H$188,0))</f>
        <v>0</v>
      </c>
      <c r="J48">
        <v>0</v>
      </c>
      <c r="K48">
        <v>0</v>
      </c>
      <c r="L48" t="str">
        <f t="shared" si="0"/>
        <v>3-1-2021</v>
      </c>
      <c r="M48">
        <f t="shared" si="1"/>
        <v>2021</v>
      </c>
    </row>
    <row r="49" spans="1:13" x14ac:dyDescent="0.2">
      <c r="A49" s="1">
        <v>44214</v>
      </c>
      <c r="B49">
        <v>3</v>
      </c>
      <c r="C49">
        <v>1</v>
      </c>
      <c r="D49">
        <v>1</v>
      </c>
      <c r="E49" t="s">
        <v>39</v>
      </c>
      <c r="F49">
        <v>0</v>
      </c>
      <c r="G49">
        <f>INDEX(weekly!$E$2:$E$188,MATCH('Marketing Campaigns 22.11.22'!L49,weekly!$H$2:$H$188,0))</f>
        <v>0</v>
      </c>
      <c r="H49">
        <f>INDEX(weekly!$D$2:$D$188,MATCH('Marketing Campaigns 22.11.22'!L49,weekly!$H$2:$H$188,0))</f>
        <v>0</v>
      </c>
      <c r="I49">
        <f>INDEX(weekly!$F$2:$F$188,MATCH('Marketing Campaigns 22.11.22'!L49,weekly!$H$2:$H$188,0))</f>
        <v>0</v>
      </c>
      <c r="J49">
        <v>0</v>
      </c>
      <c r="K49">
        <v>0</v>
      </c>
      <c r="L49" t="str">
        <f t="shared" si="0"/>
        <v>3-1-2021</v>
      </c>
      <c r="M49">
        <f t="shared" si="1"/>
        <v>2021</v>
      </c>
    </row>
    <row r="50" spans="1:13" x14ac:dyDescent="0.2">
      <c r="A50" s="1">
        <v>44214</v>
      </c>
      <c r="B50">
        <v>3</v>
      </c>
      <c r="C50">
        <v>1</v>
      </c>
      <c r="D50">
        <v>1</v>
      </c>
      <c r="E50" t="s">
        <v>40</v>
      </c>
      <c r="F50">
        <v>0</v>
      </c>
      <c r="G50">
        <f>INDEX(weekly!$E$2:$E$188,MATCH('Marketing Campaigns 22.11.22'!L50,weekly!$H$2:$H$188,0))</f>
        <v>0</v>
      </c>
      <c r="H50">
        <f>INDEX(weekly!$D$2:$D$188,MATCH('Marketing Campaigns 22.11.22'!L50,weekly!$H$2:$H$188,0))</f>
        <v>0</v>
      </c>
      <c r="I50">
        <f>INDEX(weekly!$F$2:$F$188,MATCH('Marketing Campaigns 22.11.22'!L50,weekly!$H$2:$H$188,0))</f>
        <v>0</v>
      </c>
      <c r="J50">
        <v>0</v>
      </c>
      <c r="K50">
        <v>0</v>
      </c>
      <c r="L50" t="str">
        <f t="shared" si="0"/>
        <v>3-1-2021</v>
      </c>
      <c r="M50">
        <f t="shared" si="1"/>
        <v>2021</v>
      </c>
    </row>
    <row r="51" spans="1:13" x14ac:dyDescent="0.2">
      <c r="A51" s="1">
        <v>44214</v>
      </c>
      <c r="B51">
        <v>3</v>
      </c>
      <c r="C51">
        <v>1</v>
      </c>
      <c r="D51">
        <v>1</v>
      </c>
      <c r="E51" t="s">
        <v>41</v>
      </c>
      <c r="F51">
        <v>0</v>
      </c>
      <c r="G51">
        <f>INDEX(weekly!$E$2:$E$188,MATCH('Marketing Campaigns 22.11.22'!L51,weekly!$H$2:$H$188,0))</f>
        <v>0</v>
      </c>
      <c r="H51">
        <f>INDEX(weekly!$D$2:$D$188,MATCH('Marketing Campaigns 22.11.22'!L51,weekly!$H$2:$H$188,0))</f>
        <v>0</v>
      </c>
      <c r="I51">
        <f>INDEX(weekly!$F$2:$F$188,MATCH('Marketing Campaigns 22.11.22'!L51,weekly!$H$2:$H$188,0))</f>
        <v>0</v>
      </c>
      <c r="J51">
        <v>0</v>
      </c>
      <c r="K51">
        <v>0</v>
      </c>
      <c r="L51" t="str">
        <f t="shared" si="0"/>
        <v>3-1-2021</v>
      </c>
      <c r="M51">
        <f t="shared" si="1"/>
        <v>2021</v>
      </c>
    </row>
    <row r="52" spans="1:13" x14ac:dyDescent="0.2">
      <c r="A52" s="1">
        <v>44214</v>
      </c>
      <c r="B52">
        <v>3</v>
      </c>
      <c r="C52">
        <v>1</v>
      </c>
      <c r="D52">
        <v>1</v>
      </c>
      <c r="E52" t="s">
        <v>42</v>
      </c>
      <c r="F52">
        <v>0</v>
      </c>
      <c r="G52">
        <f>INDEX(weekly!$E$2:$E$188,MATCH('Marketing Campaigns 22.11.22'!L52,weekly!$H$2:$H$188,0))</f>
        <v>0</v>
      </c>
      <c r="H52">
        <f>INDEX(weekly!$D$2:$D$188,MATCH('Marketing Campaigns 22.11.22'!L52,weekly!$H$2:$H$188,0))</f>
        <v>0</v>
      </c>
      <c r="I52">
        <f>INDEX(weekly!$F$2:$F$188,MATCH('Marketing Campaigns 22.11.22'!L52,weekly!$H$2:$H$188,0))</f>
        <v>0</v>
      </c>
      <c r="J52">
        <v>0</v>
      </c>
      <c r="K52">
        <v>0</v>
      </c>
      <c r="L52" t="str">
        <f t="shared" si="0"/>
        <v>3-1-2021</v>
      </c>
      <c r="M52">
        <f t="shared" si="1"/>
        <v>2021</v>
      </c>
    </row>
    <row r="53" spans="1:13" x14ac:dyDescent="0.2">
      <c r="A53" s="1">
        <v>44214</v>
      </c>
      <c r="B53">
        <v>3</v>
      </c>
      <c r="C53">
        <v>1</v>
      </c>
      <c r="D53">
        <v>1</v>
      </c>
      <c r="E53" t="s">
        <v>43</v>
      </c>
      <c r="F53">
        <v>0</v>
      </c>
      <c r="G53">
        <f>INDEX(weekly!$E$2:$E$188,MATCH('Marketing Campaigns 22.11.22'!L53,weekly!$H$2:$H$188,0))</f>
        <v>0</v>
      </c>
      <c r="H53">
        <f>INDEX(weekly!$D$2:$D$188,MATCH('Marketing Campaigns 22.11.22'!L53,weekly!$H$2:$H$188,0))</f>
        <v>0</v>
      </c>
      <c r="I53">
        <f>INDEX(weekly!$F$2:$F$188,MATCH('Marketing Campaigns 22.11.22'!L53,weekly!$H$2:$H$188,0))</f>
        <v>0</v>
      </c>
      <c r="J53">
        <v>0</v>
      </c>
      <c r="K53">
        <v>0</v>
      </c>
      <c r="L53" t="str">
        <f t="shared" si="0"/>
        <v>3-1-2021</v>
      </c>
      <c r="M53">
        <f t="shared" si="1"/>
        <v>2021</v>
      </c>
    </row>
    <row r="54" spans="1:13" x14ac:dyDescent="0.2">
      <c r="A54" s="1">
        <v>44214</v>
      </c>
      <c r="B54">
        <v>3</v>
      </c>
      <c r="C54">
        <v>1</v>
      </c>
      <c r="D54">
        <v>1</v>
      </c>
      <c r="E54" t="s">
        <v>44</v>
      </c>
      <c r="F54">
        <v>0</v>
      </c>
      <c r="G54">
        <f>INDEX(weekly!$E$2:$E$188,MATCH('Marketing Campaigns 22.11.22'!L54,weekly!$H$2:$H$188,0))</f>
        <v>0</v>
      </c>
      <c r="H54">
        <f>INDEX(weekly!$D$2:$D$188,MATCH('Marketing Campaigns 22.11.22'!L54,weekly!$H$2:$H$188,0))</f>
        <v>0</v>
      </c>
      <c r="I54">
        <f>INDEX(weekly!$F$2:$F$188,MATCH('Marketing Campaigns 22.11.22'!L54,weekly!$H$2:$H$188,0))</f>
        <v>0</v>
      </c>
      <c r="J54">
        <v>0</v>
      </c>
      <c r="K54">
        <v>0</v>
      </c>
      <c r="L54" t="str">
        <f t="shared" si="0"/>
        <v>3-1-2021</v>
      </c>
      <c r="M54">
        <f t="shared" si="1"/>
        <v>2021</v>
      </c>
    </row>
    <row r="55" spans="1:13" x14ac:dyDescent="0.2">
      <c r="A55" s="1">
        <v>44214</v>
      </c>
      <c r="B55">
        <v>3</v>
      </c>
      <c r="C55">
        <v>1</v>
      </c>
      <c r="D55">
        <v>1</v>
      </c>
      <c r="E55" t="s">
        <v>45</v>
      </c>
      <c r="F55">
        <v>0</v>
      </c>
      <c r="G55">
        <f>INDEX(weekly!$E$2:$E$188,MATCH('Marketing Campaigns 22.11.22'!L55,weekly!$H$2:$H$188,0))</f>
        <v>0</v>
      </c>
      <c r="H55">
        <f>INDEX(weekly!$D$2:$D$188,MATCH('Marketing Campaigns 22.11.22'!L55,weekly!$H$2:$H$188,0))</f>
        <v>0</v>
      </c>
      <c r="I55">
        <f>INDEX(weekly!$F$2:$F$188,MATCH('Marketing Campaigns 22.11.22'!L55,weekly!$H$2:$H$188,0))</f>
        <v>0</v>
      </c>
      <c r="J55">
        <v>0</v>
      </c>
      <c r="K55">
        <v>0</v>
      </c>
      <c r="L55" t="str">
        <f t="shared" si="0"/>
        <v>3-1-2021</v>
      </c>
      <c r="M55">
        <f t="shared" si="1"/>
        <v>2021</v>
      </c>
    </row>
    <row r="56" spans="1:13" x14ac:dyDescent="0.2">
      <c r="A56" s="1">
        <v>44214</v>
      </c>
      <c r="B56">
        <v>3</v>
      </c>
      <c r="C56">
        <v>1</v>
      </c>
      <c r="D56">
        <v>1</v>
      </c>
      <c r="E56" t="s">
        <v>46</v>
      </c>
      <c r="F56">
        <v>0</v>
      </c>
      <c r="G56">
        <f>INDEX(weekly!$E$2:$E$188,MATCH('Marketing Campaigns 22.11.22'!L56,weekly!$H$2:$H$188,0))</f>
        <v>0</v>
      </c>
      <c r="H56">
        <f>INDEX(weekly!$D$2:$D$188,MATCH('Marketing Campaigns 22.11.22'!L56,weekly!$H$2:$H$188,0))</f>
        <v>0</v>
      </c>
      <c r="I56">
        <f>INDEX(weekly!$F$2:$F$188,MATCH('Marketing Campaigns 22.11.22'!L56,weekly!$H$2:$H$188,0))</f>
        <v>0</v>
      </c>
      <c r="J56">
        <v>0</v>
      </c>
      <c r="K56">
        <v>0</v>
      </c>
      <c r="L56" t="str">
        <f t="shared" si="0"/>
        <v>3-1-2021</v>
      </c>
      <c r="M56">
        <f t="shared" si="1"/>
        <v>2021</v>
      </c>
    </row>
    <row r="57" spans="1:13" x14ac:dyDescent="0.2">
      <c r="A57" s="1">
        <v>44214</v>
      </c>
      <c r="B57">
        <v>3</v>
      </c>
      <c r="C57">
        <v>1</v>
      </c>
      <c r="D57">
        <v>1</v>
      </c>
      <c r="E57" t="s">
        <v>47</v>
      </c>
      <c r="F57">
        <v>0</v>
      </c>
      <c r="G57">
        <f>INDEX(weekly!$E$2:$E$188,MATCH('Marketing Campaigns 22.11.22'!L57,weekly!$H$2:$H$188,0))</f>
        <v>0</v>
      </c>
      <c r="H57">
        <f>INDEX(weekly!$D$2:$D$188,MATCH('Marketing Campaigns 22.11.22'!L57,weekly!$H$2:$H$188,0))</f>
        <v>0</v>
      </c>
      <c r="I57">
        <f>INDEX(weekly!$F$2:$F$188,MATCH('Marketing Campaigns 22.11.22'!L57,weekly!$H$2:$H$188,0))</f>
        <v>0</v>
      </c>
      <c r="J57">
        <v>0</v>
      </c>
      <c r="K57">
        <v>0</v>
      </c>
      <c r="L57" t="str">
        <f t="shared" si="0"/>
        <v>3-1-2021</v>
      </c>
      <c r="M57">
        <f t="shared" si="1"/>
        <v>2021</v>
      </c>
    </row>
    <row r="58" spans="1:13" x14ac:dyDescent="0.2">
      <c r="A58" s="1">
        <v>44214</v>
      </c>
      <c r="B58">
        <v>3</v>
      </c>
      <c r="C58">
        <v>1</v>
      </c>
      <c r="D58">
        <v>1</v>
      </c>
      <c r="E58" t="s">
        <v>48</v>
      </c>
      <c r="F58">
        <v>0</v>
      </c>
      <c r="G58">
        <f>INDEX(weekly!$E$2:$E$188,MATCH('Marketing Campaigns 22.11.22'!L58,weekly!$H$2:$H$188,0))</f>
        <v>0</v>
      </c>
      <c r="H58">
        <f>INDEX(weekly!$D$2:$D$188,MATCH('Marketing Campaigns 22.11.22'!L58,weekly!$H$2:$H$188,0))</f>
        <v>0</v>
      </c>
      <c r="I58">
        <f>INDEX(weekly!$F$2:$F$188,MATCH('Marketing Campaigns 22.11.22'!L58,weekly!$H$2:$H$188,0))</f>
        <v>0</v>
      </c>
      <c r="J58">
        <v>0</v>
      </c>
      <c r="K58">
        <v>0</v>
      </c>
      <c r="L58" t="str">
        <f t="shared" si="0"/>
        <v>3-1-2021</v>
      </c>
      <c r="M58">
        <f t="shared" si="1"/>
        <v>2021</v>
      </c>
    </row>
    <row r="59" spans="1:13" x14ac:dyDescent="0.2">
      <c r="A59" s="1">
        <v>44214</v>
      </c>
      <c r="B59">
        <v>3</v>
      </c>
      <c r="C59">
        <v>1</v>
      </c>
      <c r="D59">
        <v>1</v>
      </c>
      <c r="E59" t="s">
        <v>49</v>
      </c>
      <c r="F59">
        <v>0</v>
      </c>
      <c r="G59">
        <f>INDEX(weekly!$E$2:$E$188,MATCH('Marketing Campaigns 22.11.22'!L59,weekly!$H$2:$H$188,0))</f>
        <v>0</v>
      </c>
      <c r="H59">
        <f>INDEX(weekly!$D$2:$D$188,MATCH('Marketing Campaigns 22.11.22'!L59,weekly!$H$2:$H$188,0))</f>
        <v>0</v>
      </c>
      <c r="I59">
        <f>INDEX(weekly!$F$2:$F$188,MATCH('Marketing Campaigns 22.11.22'!L59,weekly!$H$2:$H$188,0))</f>
        <v>0</v>
      </c>
      <c r="J59">
        <v>0</v>
      </c>
      <c r="K59">
        <v>0</v>
      </c>
      <c r="L59" t="str">
        <f t="shared" si="0"/>
        <v>3-1-2021</v>
      </c>
      <c r="M59">
        <f t="shared" si="1"/>
        <v>2021</v>
      </c>
    </row>
    <row r="60" spans="1:13" x14ac:dyDescent="0.2">
      <c r="A60" s="1">
        <v>44214</v>
      </c>
      <c r="B60">
        <v>3</v>
      </c>
      <c r="C60">
        <v>1</v>
      </c>
      <c r="D60">
        <v>1</v>
      </c>
      <c r="E60" t="s">
        <v>50</v>
      </c>
      <c r="F60">
        <v>0</v>
      </c>
      <c r="G60">
        <f>INDEX(weekly!$E$2:$E$188,MATCH('Marketing Campaigns 22.11.22'!L60,weekly!$H$2:$H$188,0))</f>
        <v>0</v>
      </c>
      <c r="H60">
        <f>INDEX(weekly!$D$2:$D$188,MATCH('Marketing Campaigns 22.11.22'!L60,weekly!$H$2:$H$188,0))</f>
        <v>0</v>
      </c>
      <c r="I60">
        <f>INDEX(weekly!$F$2:$F$188,MATCH('Marketing Campaigns 22.11.22'!L60,weekly!$H$2:$H$188,0))</f>
        <v>0</v>
      </c>
      <c r="J60">
        <v>0</v>
      </c>
      <c r="K60">
        <v>0</v>
      </c>
      <c r="L60" t="str">
        <f t="shared" si="0"/>
        <v>3-1-2021</v>
      </c>
      <c r="M60">
        <f t="shared" si="1"/>
        <v>2021</v>
      </c>
    </row>
    <row r="61" spans="1:13" x14ac:dyDescent="0.2">
      <c r="A61" s="1">
        <v>44214</v>
      </c>
      <c r="B61">
        <v>3</v>
      </c>
      <c r="C61">
        <v>1</v>
      </c>
      <c r="D61">
        <v>1</v>
      </c>
      <c r="E61" t="s">
        <v>51</v>
      </c>
      <c r="F61">
        <v>0</v>
      </c>
      <c r="G61">
        <f>INDEX(weekly!$E$2:$E$188,MATCH('Marketing Campaigns 22.11.22'!L61,weekly!$H$2:$H$188,0))</f>
        <v>0</v>
      </c>
      <c r="H61">
        <f>INDEX(weekly!$D$2:$D$188,MATCH('Marketing Campaigns 22.11.22'!L61,weekly!$H$2:$H$188,0))</f>
        <v>0</v>
      </c>
      <c r="I61">
        <f>INDEX(weekly!$F$2:$F$188,MATCH('Marketing Campaigns 22.11.22'!L61,weekly!$H$2:$H$188,0))</f>
        <v>0</v>
      </c>
      <c r="J61">
        <v>0</v>
      </c>
      <c r="K61">
        <v>0</v>
      </c>
      <c r="L61" t="str">
        <f t="shared" si="0"/>
        <v>3-1-2021</v>
      </c>
      <c r="M61">
        <f t="shared" si="1"/>
        <v>2021</v>
      </c>
    </row>
    <row r="62" spans="1:13" x14ac:dyDescent="0.2">
      <c r="A62" s="1">
        <v>44214</v>
      </c>
      <c r="B62">
        <v>3</v>
      </c>
      <c r="C62">
        <v>1</v>
      </c>
      <c r="D62">
        <v>1</v>
      </c>
      <c r="E62" t="s">
        <v>52</v>
      </c>
      <c r="F62">
        <v>0</v>
      </c>
      <c r="G62">
        <f>INDEX(weekly!$E$2:$E$188,MATCH('Marketing Campaigns 22.11.22'!L62,weekly!$H$2:$H$188,0))</f>
        <v>0</v>
      </c>
      <c r="H62">
        <f>INDEX(weekly!$D$2:$D$188,MATCH('Marketing Campaigns 22.11.22'!L62,weekly!$H$2:$H$188,0))</f>
        <v>0</v>
      </c>
      <c r="I62">
        <f>INDEX(weekly!$F$2:$F$188,MATCH('Marketing Campaigns 22.11.22'!L62,weekly!$H$2:$H$188,0))</f>
        <v>0</v>
      </c>
      <c r="J62">
        <v>0</v>
      </c>
      <c r="K62">
        <v>0</v>
      </c>
      <c r="L62" t="str">
        <f t="shared" si="0"/>
        <v>3-1-2021</v>
      </c>
      <c r="M62">
        <f t="shared" si="1"/>
        <v>2021</v>
      </c>
    </row>
    <row r="63" spans="1:13" x14ac:dyDescent="0.2">
      <c r="A63" s="1">
        <v>44221</v>
      </c>
      <c r="B63">
        <v>4</v>
      </c>
      <c r="C63">
        <v>1</v>
      </c>
      <c r="D63">
        <v>1</v>
      </c>
      <c r="E63" t="s">
        <v>24</v>
      </c>
      <c r="F63">
        <v>0</v>
      </c>
      <c r="G63">
        <f>INDEX(weekly!$E$2:$E$188,MATCH('Marketing Campaigns 22.11.22'!L63,weekly!$H$2:$H$188,0))</f>
        <v>0</v>
      </c>
      <c r="H63">
        <f>INDEX(weekly!$D$2:$D$188,MATCH('Marketing Campaigns 22.11.22'!L63,weekly!$H$2:$H$188,0))</f>
        <v>0</v>
      </c>
      <c r="I63">
        <f>INDEX(weekly!$F$2:$F$188,MATCH('Marketing Campaigns 22.11.22'!L63,weekly!$H$2:$H$188,0))</f>
        <v>0</v>
      </c>
      <c r="J63">
        <v>0</v>
      </c>
      <c r="K63">
        <v>0</v>
      </c>
      <c r="L63" t="str">
        <f t="shared" si="0"/>
        <v>4-1-2021</v>
      </c>
      <c r="M63">
        <f t="shared" si="1"/>
        <v>2021</v>
      </c>
    </row>
    <row r="64" spans="1:13" x14ac:dyDescent="0.2">
      <c r="A64" s="1">
        <v>44221</v>
      </c>
      <c r="B64">
        <v>4</v>
      </c>
      <c r="C64">
        <v>1</v>
      </c>
      <c r="D64">
        <v>1</v>
      </c>
      <c r="E64" t="s">
        <v>39</v>
      </c>
      <c r="F64">
        <v>0</v>
      </c>
      <c r="G64">
        <f>INDEX(weekly!$E$2:$E$188,MATCH('Marketing Campaigns 22.11.22'!L64,weekly!$H$2:$H$188,0))</f>
        <v>0</v>
      </c>
      <c r="H64">
        <f>INDEX(weekly!$D$2:$D$188,MATCH('Marketing Campaigns 22.11.22'!L64,weekly!$H$2:$H$188,0))</f>
        <v>0</v>
      </c>
      <c r="I64">
        <f>INDEX(weekly!$F$2:$F$188,MATCH('Marketing Campaigns 22.11.22'!L64,weekly!$H$2:$H$188,0))</f>
        <v>0</v>
      </c>
      <c r="J64">
        <v>0</v>
      </c>
      <c r="K64">
        <v>0</v>
      </c>
      <c r="L64" t="str">
        <f t="shared" si="0"/>
        <v>4-1-2021</v>
      </c>
      <c r="M64">
        <f t="shared" si="1"/>
        <v>2021</v>
      </c>
    </row>
    <row r="65" spans="1:13" x14ac:dyDescent="0.2">
      <c r="A65" s="1">
        <v>44221</v>
      </c>
      <c r="B65">
        <v>4</v>
      </c>
      <c r="C65">
        <v>1</v>
      </c>
      <c r="D65">
        <v>1</v>
      </c>
      <c r="E65" t="s">
        <v>40</v>
      </c>
      <c r="F65">
        <v>0</v>
      </c>
      <c r="G65">
        <f>INDEX(weekly!$E$2:$E$188,MATCH('Marketing Campaigns 22.11.22'!L65,weekly!$H$2:$H$188,0))</f>
        <v>0</v>
      </c>
      <c r="H65">
        <f>INDEX(weekly!$D$2:$D$188,MATCH('Marketing Campaigns 22.11.22'!L65,weekly!$H$2:$H$188,0))</f>
        <v>0</v>
      </c>
      <c r="I65">
        <f>INDEX(weekly!$F$2:$F$188,MATCH('Marketing Campaigns 22.11.22'!L65,weekly!$H$2:$H$188,0))</f>
        <v>0</v>
      </c>
      <c r="J65">
        <v>0</v>
      </c>
      <c r="K65">
        <v>0</v>
      </c>
      <c r="L65" t="str">
        <f t="shared" si="0"/>
        <v>4-1-2021</v>
      </c>
      <c r="M65">
        <f t="shared" si="1"/>
        <v>2021</v>
      </c>
    </row>
    <row r="66" spans="1:13" x14ac:dyDescent="0.2">
      <c r="A66" s="1">
        <v>44221</v>
      </c>
      <c r="B66">
        <v>4</v>
      </c>
      <c r="C66">
        <v>1</v>
      </c>
      <c r="D66">
        <v>1</v>
      </c>
      <c r="E66" t="s">
        <v>41</v>
      </c>
      <c r="F66">
        <v>0</v>
      </c>
      <c r="G66">
        <f>INDEX(weekly!$E$2:$E$188,MATCH('Marketing Campaigns 22.11.22'!L66,weekly!$H$2:$H$188,0))</f>
        <v>0</v>
      </c>
      <c r="H66">
        <f>INDEX(weekly!$D$2:$D$188,MATCH('Marketing Campaigns 22.11.22'!L66,weekly!$H$2:$H$188,0))</f>
        <v>0</v>
      </c>
      <c r="I66">
        <f>INDEX(weekly!$F$2:$F$188,MATCH('Marketing Campaigns 22.11.22'!L66,weekly!$H$2:$H$188,0))</f>
        <v>0</v>
      </c>
      <c r="J66">
        <v>0</v>
      </c>
      <c r="K66">
        <v>0</v>
      </c>
      <c r="L66" t="str">
        <f t="shared" si="0"/>
        <v>4-1-2021</v>
      </c>
      <c r="M66">
        <f t="shared" si="1"/>
        <v>2021</v>
      </c>
    </row>
    <row r="67" spans="1:13" x14ac:dyDescent="0.2">
      <c r="A67" s="1">
        <v>44221</v>
      </c>
      <c r="B67">
        <v>4</v>
      </c>
      <c r="C67">
        <v>1</v>
      </c>
      <c r="D67">
        <v>1</v>
      </c>
      <c r="E67" t="s">
        <v>42</v>
      </c>
      <c r="F67">
        <v>0</v>
      </c>
      <c r="G67">
        <f>INDEX(weekly!$E$2:$E$188,MATCH('Marketing Campaigns 22.11.22'!L67,weekly!$H$2:$H$188,0))</f>
        <v>0</v>
      </c>
      <c r="H67">
        <f>INDEX(weekly!$D$2:$D$188,MATCH('Marketing Campaigns 22.11.22'!L67,weekly!$H$2:$H$188,0))</f>
        <v>0</v>
      </c>
      <c r="I67">
        <f>INDEX(weekly!$F$2:$F$188,MATCH('Marketing Campaigns 22.11.22'!L67,weekly!$H$2:$H$188,0))</f>
        <v>0</v>
      </c>
      <c r="J67">
        <v>0</v>
      </c>
      <c r="K67">
        <v>0</v>
      </c>
      <c r="L67" t="str">
        <f t="shared" si="0"/>
        <v>4-1-2021</v>
      </c>
      <c r="M67">
        <f t="shared" si="1"/>
        <v>2021</v>
      </c>
    </row>
    <row r="68" spans="1:13" x14ac:dyDescent="0.2">
      <c r="A68" s="1">
        <v>44221</v>
      </c>
      <c r="B68">
        <v>4</v>
      </c>
      <c r="C68">
        <v>1</v>
      </c>
      <c r="D68">
        <v>1</v>
      </c>
      <c r="E68" t="s">
        <v>43</v>
      </c>
      <c r="F68">
        <v>0</v>
      </c>
      <c r="G68">
        <f>INDEX(weekly!$E$2:$E$188,MATCH('Marketing Campaigns 22.11.22'!L68,weekly!$H$2:$H$188,0))</f>
        <v>0</v>
      </c>
      <c r="H68">
        <f>INDEX(weekly!$D$2:$D$188,MATCH('Marketing Campaigns 22.11.22'!L68,weekly!$H$2:$H$188,0))</f>
        <v>0</v>
      </c>
      <c r="I68">
        <f>INDEX(weekly!$F$2:$F$188,MATCH('Marketing Campaigns 22.11.22'!L68,weekly!$H$2:$H$188,0))</f>
        <v>0</v>
      </c>
      <c r="J68">
        <v>0</v>
      </c>
      <c r="K68">
        <v>0</v>
      </c>
      <c r="L68" t="str">
        <f t="shared" ref="L68:L131" si="2">B68&amp;"-"&amp;C68&amp;"-"&amp;M68</f>
        <v>4-1-2021</v>
      </c>
      <c r="M68">
        <f t="shared" ref="M68:M131" si="3">YEAR(A68)</f>
        <v>2021</v>
      </c>
    </row>
    <row r="69" spans="1:13" x14ac:dyDescent="0.2">
      <c r="A69" s="1">
        <v>44221</v>
      </c>
      <c r="B69">
        <v>4</v>
      </c>
      <c r="C69">
        <v>1</v>
      </c>
      <c r="D69">
        <v>1</v>
      </c>
      <c r="E69" t="s">
        <v>44</v>
      </c>
      <c r="F69">
        <v>0</v>
      </c>
      <c r="G69">
        <f>INDEX(weekly!$E$2:$E$188,MATCH('Marketing Campaigns 22.11.22'!L69,weekly!$H$2:$H$188,0))</f>
        <v>0</v>
      </c>
      <c r="H69">
        <f>INDEX(weekly!$D$2:$D$188,MATCH('Marketing Campaigns 22.11.22'!L69,weekly!$H$2:$H$188,0))</f>
        <v>0</v>
      </c>
      <c r="I69">
        <f>INDEX(weekly!$F$2:$F$188,MATCH('Marketing Campaigns 22.11.22'!L69,weekly!$H$2:$H$188,0))</f>
        <v>0</v>
      </c>
      <c r="J69">
        <v>0</v>
      </c>
      <c r="K69">
        <v>0</v>
      </c>
      <c r="L69" t="str">
        <f t="shared" si="2"/>
        <v>4-1-2021</v>
      </c>
      <c r="M69">
        <f t="shared" si="3"/>
        <v>2021</v>
      </c>
    </row>
    <row r="70" spans="1:13" x14ac:dyDescent="0.2">
      <c r="A70" s="1">
        <v>44221</v>
      </c>
      <c r="B70">
        <v>4</v>
      </c>
      <c r="C70">
        <v>1</v>
      </c>
      <c r="D70">
        <v>1</v>
      </c>
      <c r="E70" t="s">
        <v>45</v>
      </c>
      <c r="F70">
        <v>0</v>
      </c>
      <c r="G70">
        <f>INDEX(weekly!$E$2:$E$188,MATCH('Marketing Campaigns 22.11.22'!L70,weekly!$H$2:$H$188,0))</f>
        <v>0</v>
      </c>
      <c r="H70">
        <f>INDEX(weekly!$D$2:$D$188,MATCH('Marketing Campaigns 22.11.22'!L70,weekly!$H$2:$H$188,0))</f>
        <v>0</v>
      </c>
      <c r="I70">
        <f>INDEX(weekly!$F$2:$F$188,MATCH('Marketing Campaigns 22.11.22'!L70,weekly!$H$2:$H$188,0))</f>
        <v>0</v>
      </c>
      <c r="J70">
        <v>0</v>
      </c>
      <c r="K70">
        <v>0</v>
      </c>
      <c r="L70" t="str">
        <f t="shared" si="2"/>
        <v>4-1-2021</v>
      </c>
      <c r="M70">
        <f t="shared" si="3"/>
        <v>2021</v>
      </c>
    </row>
    <row r="71" spans="1:13" x14ac:dyDescent="0.2">
      <c r="A71" s="1">
        <v>44221</v>
      </c>
      <c r="B71">
        <v>4</v>
      </c>
      <c r="C71">
        <v>1</v>
      </c>
      <c r="D71">
        <v>1</v>
      </c>
      <c r="E71" t="s">
        <v>46</v>
      </c>
      <c r="F71">
        <v>0</v>
      </c>
      <c r="G71">
        <f>INDEX(weekly!$E$2:$E$188,MATCH('Marketing Campaigns 22.11.22'!L71,weekly!$H$2:$H$188,0))</f>
        <v>0</v>
      </c>
      <c r="H71">
        <f>INDEX(weekly!$D$2:$D$188,MATCH('Marketing Campaigns 22.11.22'!L71,weekly!$H$2:$H$188,0))</f>
        <v>0</v>
      </c>
      <c r="I71">
        <f>INDEX(weekly!$F$2:$F$188,MATCH('Marketing Campaigns 22.11.22'!L71,weekly!$H$2:$H$188,0))</f>
        <v>0</v>
      </c>
      <c r="J71">
        <v>0</v>
      </c>
      <c r="K71">
        <v>0</v>
      </c>
      <c r="L71" t="str">
        <f t="shared" si="2"/>
        <v>4-1-2021</v>
      </c>
      <c r="M71">
        <f t="shared" si="3"/>
        <v>2021</v>
      </c>
    </row>
    <row r="72" spans="1:13" x14ac:dyDescent="0.2">
      <c r="A72" s="1">
        <v>44221</v>
      </c>
      <c r="B72">
        <v>4</v>
      </c>
      <c r="C72">
        <v>1</v>
      </c>
      <c r="D72">
        <v>1</v>
      </c>
      <c r="E72" t="s">
        <v>47</v>
      </c>
      <c r="F72">
        <v>0</v>
      </c>
      <c r="G72">
        <f>INDEX(weekly!$E$2:$E$188,MATCH('Marketing Campaigns 22.11.22'!L72,weekly!$H$2:$H$188,0))</f>
        <v>0</v>
      </c>
      <c r="H72">
        <f>INDEX(weekly!$D$2:$D$188,MATCH('Marketing Campaigns 22.11.22'!L72,weekly!$H$2:$H$188,0))</f>
        <v>0</v>
      </c>
      <c r="I72">
        <f>INDEX(weekly!$F$2:$F$188,MATCH('Marketing Campaigns 22.11.22'!L72,weekly!$H$2:$H$188,0))</f>
        <v>0</v>
      </c>
      <c r="J72">
        <v>0</v>
      </c>
      <c r="K72">
        <v>0</v>
      </c>
      <c r="L72" t="str">
        <f t="shared" si="2"/>
        <v>4-1-2021</v>
      </c>
      <c r="M72">
        <f t="shared" si="3"/>
        <v>2021</v>
      </c>
    </row>
    <row r="73" spans="1:13" x14ac:dyDescent="0.2">
      <c r="A73" s="1">
        <v>44221</v>
      </c>
      <c r="B73">
        <v>4</v>
      </c>
      <c r="C73">
        <v>1</v>
      </c>
      <c r="D73">
        <v>1</v>
      </c>
      <c r="E73" t="s">
        <v>48</v>
      </c>
      <c r="F73">
        <v>0</v>
      </c>
      <c r="G73">
        <f>INDEX(weekly!$E$2:$E$188,MATCH('Marketing Campaigns 22.11.22'!L73,weekly!$H$2:$H$188,0))</f>
        <v>0</v>
      </c>
      <c r="H73">
        <f>INDEX(weekly!$D$2:$D$188,MATCH('Marketing Campaigns 22.11.22'!L73,weekly!$H$2:$H$188,0))</f>
        <v>0</v>
      </c>
      <c r="I73">
        <f>INDEX(weekly!$F$2:$F$188,MATCH('Marketing Campaigns 22.11.22'!L73,weekly!$H$2:$H$188,0))</f>
        <v>0</v>
      </c>
      <c r="J73">
        <v>0</v>
      </c>
      <c r="K73">
        <v>0</v>
      </c>
      <c r="L73" t="str">
        <f t="shared" si="2"/>
        <v>4-1-2021</v>
      </c>
      <c r="M73">
        <f t="shared" si="3"/>
        <v>2021</v>
      </c>
    </row>
    <row r="74" spans="1:13" x14ac:dyDescent="0.2">
      <c r="A74" s="1">
        <v>44221</v>
      </c>
      <c r="B74">
        <v>4</v>
      </c>
      <c r="C74">
        <v>1</v>
      </c>
      <c r="D74">
        <v>1</v>
      </c>
      <c r="E74" t="s">
        <v>49</v>
      </c>
      <c r="F74">
        <v>0</v>
      </c>
      <c r="G74">
        <f>INDEX(weekly!$E$2:$E$188,MATCH('Marketing Campaigns 22.11.22'!L74,weekly!$H$2:$H$188,0))</f>
        <v>0</v>
      </c>
      <c r="H74">
        <f>INDEX(weekly!$D$2:$D$188,MATCH('Marketing Campaigns 22.11.22'!L74,weekly!$H$2:$H$188,0))</f>
        <v>0</v>
      </c>
      <c r="I74">
        <f>INDEX(weekly!$F$2:$F$188,MATCH('Marketing Campaigns 22.11.22'!L74,weekly!$H$2:$H$188,0))</f>
        <v>0</v>
      </c>
      <c r="J74">
        <v>0</v>
      </c>
      <c r="K74">
        <v>0</v>
      </c>
      <c r="L74" t="str">
        <f t="shared" si="2"/>
        <v>4-1-2021</v>
      </c>
      <c r="M74">
        <f t="shared" si="3"/>
        <v>2021</v>
      </c>
    </row>
    <row r="75" spans="1:13" x14ac:dyDescent="0.2">
      <c r="A75" s="1">
        <v>44221</v>
      </c>
      <c r="B75">
        <v>4</v>
      </c>
      <c r="C75">
        <v>1</v>
      </c>
      <c r="D75">
        <v>1</v>
      </c>
      <c r="E75" t="s">
        <v>50</v>
      </c>
      <c r="F75">
        <v>0</v>
      </c>
      <c r="G75">
        <f>INDEX(weekly!$E$2:$E$188,MATCH('Marketing Campaigns 22.11.22'!L75,weekly!$H$2:$H$188,0))</f>
        <v>0</v>
      </c>
      <c r="H75">
        <f>INDEX(weekly!$D$2:$D$188,MATCH('Marketing Campaigns 22.11.22'!L75,weekly!$H$2:$H$188,0))</f>
        <v>0</v>
      </c>
      <c r="I75">
        <f>INDEX(weekly!$F$2:$F$188,MATCH('Marketing Campaigns 22.11.22'!L75,weekly!$H$2:$H$188,0))</f>
        <v>0</v>
      </c>
      <c r="J75">
        <v>0</v>
      </c>
      <c r="K75">
        <v>0</v>
      </c>
      <c r="L75" t="str">
        <f t="shared" si="2"/>
        <v>4-1-2021</v>
      </c>
      <c r="M75">
        <f t="shared" si="3"/>
        <v>2021</v>
      </c>
    </row>
    <row r="76" spans="1:13" x14ac:dyDescent="0.2">
      <c r="A76" s="1">
        <v>44221</v>
      </c>
      <c r="B76">
        <v>4</v>
      </c>
      <c r="C76">
        <v>1</v>
      </c>
      <c r="D76">
        <v>1</v>
      </c>
      <c r="E76" t="s">
        <v>51</v>
      </c>
      <c r="F76">
        <v>0</v>
      </c>
      <c r="G76">
        <f>INDEX(weekly!$E$2:$E$188,MATCH('Marketing Campaigns 22.11.22'!L76,weekly!$H$2:$H$188,0))</f>
        <v>0</v>
      </c>
      <c r="H76">
        <f>INDEX(weekly!$D$2:$D$188,MATCH('Marketing Campaigns 22.11.22'!L76,weekly!$H$2:$H$188,0))</f>
        <v>0</v>
      </c>
      <c r="I76">
        <f>INDEX(weekly!$F$2:$F$188,MATCH('Marketing Campaigns 22.11.22'!L76,weekly!$H$2:$H$188,0))</f>
        <v>0</v>
      </c>
      <c r="J76">
        <v>0</v>
      </c>
      <c r="K76">
        <v>0</v>
      </c>
      <c r="L76" t="str">
        <f t="shared" si="2"/>
        <v>4-1-2021</v>
      </c>
      <c r="M76">
        <f t="shared" si="3"/>
        <v>2021</v>
      </c>
    </row>
    <row r="77" spans="1:13" x14ac:dyDescent="0.2">
      <c r="A77" s="1">
        <v>44221</v>
      </c>
      <c r="B77">
        <v>4</v>
      </c>
      <c r="C77">
        <v>1</v>
      </c>
      <c r="D77">
        <v>1</v>
      </c>
      <c r="E77" t="s">
        <v>52</v>
      </c>
      <c r="F77">
        <v>0</v>
      </c>
      <c r="G77">
        <f>INDEX(weekly!$E$2:$E$188,MATCH('Marketing Campaigns 22.11.22'!L77,weekly!$H$2:$H$188,0))</f>
        <v>0</v>
      </c>
      <c r="H77">
        <f>INDEX(weekly!$D$2:$D$188,MATCH('Marketing Campaigns 22.11.22'!L77,weekly!$H$2:$H$188,0))</f>
        <v>0</v>
      </c>
      <c r="I77">
        <f>INDEX(weekly!$F$2:$F$188,MATCH('Marketing Campaigns 22.11.22'!L77,weekly!$H$2:$H$188,0))</f>
        <v>0</v>
      </c>
      <c r="J77">
        <v>0</v>
      </c>
      <c r="K77">
        <v>0</v>
      </c>
      <c r="L77" t="str">
        <f t="shared" si="2"/>
        <v>4-1-2021</v>
      </c>
      <c r="M77">
        <f t="shared" si="3"/>
        <v>2021</v>
      </c>
    </row>
    <row r="78" spans="1:13" x14ac:dyDescent="0.2">
      <c r="A78" s="1">
        <v>44228</v>
      </c>
      <c r="B78">
        <v>5</v>
      </c>
      <c r="C78">
        <v>2</v>
      </c>
      <c r="D78">
        <v>1</v>
      </c>
      <c r="E78" t="s">
        <v>24</v>
      </c>
      <c r="F78">
        <v>0</v>
      </c>
      <c r="G78">
        <f>INDEX(weekly!$E$2:$E$188,MATCH('Marketing Campaigns 22.11.22'!L78,weekly!$H$2:$H$188,0))</f>
        <v>0</v>
      </c>
      <c r="H78">
        <f>INDEX(weekly!$D$2:$D$188,MATCH('Marketing Campaigns 22.11.22'!L78,weekly!$H$2:$H$188,0))</f>
        <v>0</v>
      </c>
      <c r="I78">
        <f>INDEX(weekly!$F$2:$F$188,MATCH('Marketing Campaigns 22.11.22'!L78,weekly!$H$2:$H$188,0))</f>
        <v>0</v>
      </c>
      <c r="J78">
        <v>0</v>
      </c>
      <c r="K78">
        <v>0</v>
      </c>
      <c r="L78" t="str">
        <f t="shared" si="2"/>
        <v>5-2-2021</v>
      </c>
      <c r="M78">
        <f t="shared" si="3"/>
        <v>2021</v>
      </c>
    </row>
    <row r="79" spans="1:13" x14ac:dyDescent="0.2">
      <c r="A79" s="1">
        <v>44228</v>
      </c>
      <c r="B79">
        <v>5</v>
      </c>
      <c r="C79">
        <v>2</v>
      </c>
      <c r="D79">
        <v>1</v>
      </c>
      <c r="E79" t="s">
        <v>39</v>
      </c>
      <c r="F79">
        <v>0</v>
      </c>
      <c r="G79">
        <f>INDEX(weekly!$E$2:$E$188,MATCH('Marketing Campaigns 22.11.22'!L79,weekly!$H$2:$H$188,0))</f>
        <v>0</v>
      </c>
      <c r="H79">
        <f>INDEX(weekly!$D$2:$D$188,MATCH('Marketing Campaigns 22.11.22'!L79,weekly!$H$2:$H$188,0))</f>
        <v>0</v>
      </c>
      <c r="I79">
        <f>INDEX(weekly!$F$2:$F$188,MATCH('Marketing Campaigns 22.11.22'!L79,weekly!$H$2:$H$188,0))</f>
        <v>0</v>
      </c>
      <c r="J79">
        <v>0</v>
      </c>
      <c r="K79">
        <v>0</v>
      </c>
      <c r="L79" t="str">
        <f t="shared" si="2"/>
        <v>5-2-2021</v>
      </c>
      <c r="M79">
        <f t="shared" si="3"/>
        <v>2021</v>
      </c>
    </row>
    <row r="80" spans="1:13" x14ac:dyDescent="0.2">
      <c r="A80" s="1">
        <v>44228</v>
      </c>
      <c r="B80">
        <v>5</v>
      </c>
      <c r="C80">
        <v>2</v>
      </c>
      <c r="D80">
        <v>1</v>
      </c>
      <c r="E80" t="s">
        <v>40</v>
      </c>
      <c r="F80">
        <v>0</v>
      </c>
      <c r="G80">
        <f>INDEX(weekly!$E$2:$E$188,MATCH('Marketing Campaigns 22.11.22'!L80,weekly!$H$2:$H$188,0))</f>
        <v>0</v>
      </c>
      <c r="H80">
        <f>INDEX(weekly!$D$2:$D$188,MATCH('Marketing Campaigns 22.11.22'!L80,weekly!$H$2:$H$188,0))</f>
        <v>0</v>
      </c>
      <c r="I80">
        <f>INDEX(weekly!$F$2:$F$188,MATCH('Marketing Campaigns 22.11.22'!L80,weekly!$H$2:$H$188,0))</f>
        <v>0</v>
      </c>
      <c r="J80">
        <v>0</v>
      </c>
      <c r="K80">
        <v>0</v>
      </c>
      <c r="L80" t="str">
        <f t="shared" si="2"/>
        <v>5-2-2021</v>
      </c>
      <c r="M80">
        <f t="shared" si="3"/>
        <v>2021</v>
      </c>
    </row>
    <row r="81" spans="1:13" x14ac:dyDescent="0.2">
      <c r="A81" s="1">
        <v>44228</v>
      </c>
      <c r="B81">
        <v>5</v>
      </c>
      <c r="C81">
        <v>2</v>
      </c>
      <c r="D81">
        <v>1</v>
      </c>
      <c r="E81" t="s">
        <v>41</v>
      </c>
      <c r="F81">
        <v>0</v>
      </c>
      <c r="G81">
        <f>INDEX(weekly!$E$2:$E$188,MATCH('Marketing Campaigns 22.11.22'!L81,weekly!$H$2:$H$188,0))</f>
        <v>0</v>
      </c>
      <c r="H81">
        <f>INDEX(weekly!$D$2:$D$188,MATCH('Marketing Campaigns 22.11.22'!L81,weekly!$H$2:$H$188,0))</f>
        <v>0</v>
      </c>
      <c r="I81">
        <f>INDEX(weekly!$F$2:$F$188,MATCH('Marketing Campaigns 22.11.22'!L81,weekly!$H$2:$H$188,0))</f>
        <v>0</v>
      </c>
      <c r="J81">
        <v>0</v>
      </c>
      <c r="K81">
        <v>0</v>
      </c>
      <c r="L81" t="str">
        <f t="shared" si="2"/>
        <v>5-2-2021</v>
      </c>
      <c r="M81">
        <f t="shared" si="3"/>
        <v>2021</v>
      </c>
    </row>
    <row r="82" spans="1:13" x14ac:dyDescent="0.2">
      <c r="A82" s="1">
        <v>44228</v>
      </c>
      <c r="B82">
        <v>5</v>
      </c>
      <c r="C82">
        <v>2</v>
      </c>
      <c r="D82">
        <v>1</v>
      </c>
      <c r="E82" t="s">
        <v>42</v>
      </c>
      <c r="F82">
        <v>0</v>
      </c>
      <c r="G82">
        <f>INDEX(weekly!$E$2:$E$188,MATCH('Marketing Campaigns 22.11.22'!L82,weekly!$H$2:$H$188,0))</f>
        <v>0</v>
      </c>
      <c r="H82">
        <f>INDEX(weekly!$D$2:$D$188,MATCH('Marketing Campaigns 22.11.22'!L82,weekly!$H$2:$H$188,0))</f>
        <v>0</v>
      </c>
      <c r="I82">
        <f>INDEX(weekly!$F$2:$F$188,MATCH('Marketing Campaigns 22.11.22'!L82,weekly!$H$2:$H$188,0))</f>
        <v>0</v>
      </c>
      <c r="J82">
        <v>0</v>
      </c>
      <c r="K82">
        <v>0</v>
      </c>
      <c r="L82" t="str">
        <f t="shared" si="2"/>
        <v>5-2-2021</v>
      </c>
      <c r="M82">
        <f t="shared" si="3"/>
        <v>2021</v>
      </c>
    </row>
    <row r="83" spans="1:13" x14ac:dyDescent="0.2">
      <c r="A83" s="1">
        <v>44228</v>
      </c>
      <c r="B83">
        <v>5</v>
      </c>
      <c r="C83">
        <v>2</v>
      </c>
      <c r="D83">
        <v>1</v>
      </c>
      <c r="E83" t="s">
        <v>43</v>
      </c>
      <c r="F83">
        <v>0</v>
      </c>
      <c r="G83">
        <f>INDEX(weekly!$E$2:$E$188,MATCH('Marketing Campaigns 22.11.22'!L83,weekly!$H$2:$H$188,0))</f>
        <v>0</v>
      </c>
      <c r="H83">
        <f>INDEX(weekly!$D$2:$D$188,MATCH('Marketing Campaigns 22.11.22'!L83,weekly!$H$2:$H$188,0))</f>
        <v>0</v>
      </c>
      <c r="I83">
        <f>INDEX(weekly!$F$2:$F$188,MATCH('Marketing Campaigns 22.11.22'!L83,weekly!$H$2:$H$188,0))</f>
        <v>0</v>
      </c>
      <c r="J83">
        <v>0</v>
      </c>
      <c r="K83">
        <v>0</v>
      </c>
      <c r="L83" t="str">
        <f t="shared" si="2"/>
        <v>5-2-2021</v>
      </c>
      <c r="M83">
        <f t="shared" si="3"/>
        <v>2021</v>
      </c>
    </row>
    <row r="84" spans="1:13" x14ac:dyDescent="0.2">
      <c r="A84" s="1">
        <v>44228</v>
      </c>
      <c r="B84">
        <v>5</v>
      </c>
      <c r="C84">
        <v>2</v>
      </c>
      <c r="D84">
        <v>1</v>
      </c>
      <c r="E84" t="s">
        <v>44</v>
      </c>
      <c r="F84">
        <v>0</v>
      </c>
      <c r="G84">
        <f>INDEX(weekly!$E$2:$E$188,MATCH('Marketing Campaigns 22.11.22'!L84,weekly!$H$2:$H$188,0))</f>
        <v>0</v>
      </c>
      <c r="H84">
        <f>INDEX(weekly!$D$2:$D$188,MATCH('Marketing Campaigns 22.11.22'!L84,weekly!$H$2:$H$188,0))</f>
        <v>0</v>
      </c>
      <c r="I84">
        <f>INDEX(weekly!$F$2:$F$188,MATCH('Marketing Campaigns 22.11.22'!L84,weekly!$H$2:$H$188,0))</f>
        <v>0</v>
      </c>
      <c r="J84">
        <v>0</v>
      </c>
      <c r="K84">
        <v>0</v>
      </c>
      <c r="L84" t="str">
        <f t="shared" si="2"/>
        <v>5-2-2021</v>
      </c>
      <c r="M84">
        <f t="shared" si="3"/>
        <v>2021</v>
      </c>
    </row>
    <row r="85" spans="1:13" x14ac:dyDescent="0.2">
      <c r="A85" s="1">
        <v>44228</v>
      </c>
      <c r="B85">
        <v>5</v>
      </c>
      <c r="C85">
        <v>2</v>
      </c>
      <c r="D85">
        <v>1</v>
      </c>
      <c r="E85" t="s">
        <v>45</v>
      </c>
      <c r="F85">
        <v>0</v>
      </c>
      <c r="G85">
        <f>INDEX(weekly!$E$2:$E$188,MATCH('Marketing Campaigns 22.11.22'!L85,weekly!$H$2:$H$188,0))</f>
        <v>0</v>
      </c>
      <c r="H85">
        <f>INDEX(weekly!$D$2:$D$188,MATCH('Marketing Campaigns 22.11.22'!L85,weekly!$H$2:$H$188,0))</f>
        <v>0</v>
      </c>
      <c r="I85">
        <f>INDEX(weekly!$F$2:$F$188,MATCH('Marketing Campaigns 22.11.22'!L85,weekly!$H$2:$H$188,0))</f>
        <v>0</v>
      </c>
      <c r="J85">
        <v>0</v>
      </c>
      <c r="K85">
        <v>0</v>
      </c>
      <c r="L85" t="str">
        <f t="shared" si="2"/>
        <v>5-2-2021</v>
      </c>
      <c r="M85">
        <f t="shared" si="3"/>
        <v>2021</v>
      </c>
    </row>
    <row r="86" spans="1:13" x14ac:dyDescent="0.2">
      <c r="A86" s="1">
        <v>44228</v>
      </c>
      <c r="B86">
        <v>5</v>
      </c>
      <c r="C86">
        <v>2</v>
      </c>
      <c r="D86">
        <v>1</v>
      </c>
      <c r="E86" t="s">
        <v>46</v>
      </c>
      <c r="F86">
        <v>0</v>
      </c>
      <c r="G86">
        <f>INDEX(weekly!$E$2:$E$188,MATCH('Marketing Campaigns 22.11.22'!L86,weekly!$H$2:$H$188,0))</f>
        <v>0</v>
      </c>
      <c r="H86">
        <f>INDEX(weekly!$D$2:$D$188,MATCH('Marketing Campaigns 22.11.22'!L86,weekly!$H$2:$H$188,0))</f>
        <v>0</v>
      </c>
      <c r="I86">
        <f>INDEX(weekly!$F$2:$F$188,MATCH('Marketing Campaigns 22.11.22'!L86,weekly!$H$2:$H$188,0))</f>
        <v>0</v>
      </c>
      <c r="J86">
        <v>0</v>
      </c>
      <c r="K86">
        <v>0</v>
      </c>
      <c r="L86" t="str">
        <f t="shared" si="2"/>
        <v>5-2-2021</v>
      </c>
      <c r="M86">
        <f t="shared" si="3"/>
        <v>2021</v>
      </c>
    </row>
    <row r="87" spans="1:13" x14ac:dyDescent="0.2">
      <c r="A87" s="1">
        <v>44228</v>
      </c>
      <c r="B87">
        <v>5</v>
      </c>
      <c r="C87">
        <v>2</v>
      </c>
      <c r="D87">
        <v>1</v>
      </c>
      <c r="E87" t="s">
        <v>47</v>
      </c>
      <c r="F87">
        <v>0</v>
      </c>
      <c r="G87">
        <f>INDEX(weekly!$E$2:$E$188,MATCH('Marketing Campaigns 22.11.22'!L87,weekly!$H$2:$H$188,0))</f>
        <v>0</v>
      </c>
      <c r="H87">
        <f>INDEX(weekly!$D$2:$D$188,MATCH('Marketing Campaigns 22.11.22'!L87,weekly!$H$2:$H$188,0))</f>
        <v>0</v>
      </c>
      <c r="I87">
        <f>INDEX(weekly!$F$2:$F$188,MATCH('Marketing Campaigns 22.11.22'!L87,weekly!$H$2:$H$188,0))</f>
        <v>0</v>
      </c>
      <c r="J87">
        <v>0</v>
      </c>
      <c r="K87">
        <v>0</v>
      </c>
      <c r="L87" t="str">
        <f t="shared" si="2"/>
        <v>5-2-2021</v>
      </c>
      <c r="M87">
        <f t="shared" si="3"/>
        <v>2021</v>
      </c>
    </row>
    <row r="88" spans="1:13" x14ac:dyDescent="0.2">
      <c r="A88" s="1">
        <v>44228</v>
      </c>
      <c r="B88">
        <v>5</v>
      </c>
      <c r="C88">
        <v>2</v>
      </c>
      <c r="D88">
        <v>1</v>
      </c>
      <c r="E88" t="s">
        <v>48</v>
      </c>
      <c r="F88">
        <v>0</v>
      </c>
      <c r="G88">
        <f>INDEX(weekly!$E$2:$E$188,MATCH('Marketing Campaigns 22.11.22'!L88,weekly!$H$2:$H$188,0))</f>
        <v>0</v>
      </c>
      <c r="H88">
        <f>INDEX(weekly!$D$2:$D$188,MATCH('Marketing Campaigns 22.11.22'!L88,weekly!$H$2:$H$188,0))</f>
        <v>0</v>
      </c>
      <c r="I88">
        <f>INDEX(weekly!$F$2:$F$188,MATCH('Marketing Campaigns 22.11.22'!L88,weekly!$H$2:$H$188,0))</f>
        <v>0</v>
      </c>
      <c r="J88">
        <v>0</v>
      </c>
      <c r="K88">
        <v>0</v>
      </c>
      <c r="L88" t="str">
        <f t="shared" si="2"/>
        <v>5-2-2021</v>
      </c>
      <c r="M88">
        <f t="shared" si="3"/>
        <v>2021</v>
      </c>
    </row>
    <row r="89" spans="1:13" x14ac:dyDescent="0.2">
      <c r="A89" s="1">
        <v>44228</v>
      </c>
      <c r="B89">
        <v>5</v>
      </c>
      <c r="C89">
        <v>2</v>
      </c>
      <c r="D89">
        <v>1</v>
      </c>
      <c r="E89" t="s">
        <v>49</v>
      </c>
      <c r="F89">
        <v>0</v>
      </c>
      <c r="G89">
        <f>INDEX(weekly!$E$2:$E$188,MATCH('Marketing Campaigns 22.11.22'!L89,weekly!$H$2:$H$188,0))</f>
        <v>0</v>
      </c>
      <c r="H89">
        <f>INDEX(weekly!$D$2:$D$188,MATCH('Marketing Campaigns 22.11.22'!L89,weekly!$H$2:$H$188,0))</f>
        <v>0</v>
      </c>
      <c r="I89">
        <f>INDEX(weekly!$F$2:$F$188,MATCH('Marketing Campaigns 22.11.22'!L89,weekly!$H$2:$H$188,0))</f>
        <v>0</v>
      </c>
      <c r="J89">
        <v>0</v>
      </c>
      <c r="K89">
        <v>0</v>
      </c>
      <c r="L89" t="str">
        <f t="shared" si="2"/>
        <v>5-2-2021</v>
      </c>
      <c r="M89">
        <f t="shared" si="3"/>
        <v>2021</v>
      </c>
    </row>
    <row r="90" spans="1:13" x14ac:dyDescent="0.2">
      <c r="A90" s="1">
        <v>44228</v>
      </c>
      <c r="B90">
        <v>5</v>
      </c>
      <c r="C90">
        <v>2</v>
      </c>
      <c r="D90">
        <v>1</v>
      </c>
      <c r="E90" t="s">
        <v>50</v>
      </c>
      <c r="F90">
        <v>0</v>
      </c>
      <c r="G90">
        <f>INDEX(weekly!$E$2:$E$188,MATCH('Marketing Campaigns 22.11.22'!L90,weekly!$H$2:$H$188,0))</f>
        <v>0</v>
      </c>
      <c r="H90">
        <f>INDEX(weekly!$D$2:$D$188,MATCH('Marketing Campaigns 22.11.22'!L90,weekly!$H$2:$H$188,0))</f>
        <v>0</v>
      </c>
      <c r="I90">
        <f>INDEX(weekly!$F$2:$F$188,MATCH('Marketing Campaigns 22.11.22'!L90,weekly!$H$2:$H$188,0))</f>
        <v>0</v>
      </c>
      <c r="J90">
        <v>0</v>
      </c>
      <c r="K90">
        <v>0</v>
      </c>
      <c r="L90" t="str">
        <f t="shared" si="2"/>
        <v>5-2-2021</v>
      </c>
      <c r="M90">
        <f t="shared" si="3"/>
        <v>2021</v>
      </c>
    </row>
    <row r="91" spans="1:13" x14ac:dyDescent="0.2">
      <c r="A91" s="1">
        <v>44228</v>
      </c>
      <c r="B91">
        <v>5</v>
      </c>
      <c r="C91">
        <v>2</v>
      </c>
      <c r="D91">
        <v>1</v>
      </c>
      <c r="E91" t="s">
        <v>51</v>
      </c>
      <c r="F91">
        <v>0</v>
      </c>
      <c r="G91">
        <f>INDEX(weekly!$E$2:$E$188,MATCH('Marketing Campaigns 22.11.22'!L91,weekly!$H$2:$H$188,0))</f>
        <v>0</v>
      </c>
      <c r="H91">
        <f>INDEX(weekly!$D$2:$D$188,MATCH('Marketing Campaigns 22.11.22'!L91,weekly!$H$2:$H$188,0))</f>
        <v>0</v>
      </c>
      <c r="I91">
        <f>INDEX(weekly!$F$2:$F$188,MATCH('Marketing Campaigns 22.11.22'!L91,weekly!$H$2:$H$188,0))</f>
        <v>0</v>
      </c>
      <c r="J91">
        <v>0</v>
      </c>
      <c r="K91">
        <v>0</v>
      </c>
      <c r="L91" t="str">
        <f t="shared" si="2"/>
        <v>5-2-2021</v>
      </c>
      <c r="M91">
        <f t="shared" si="3"/>
        <v>2021</v>
      </c>
    </row>
    <row r="92" spans="1:13" x14ac:dyDescent="0.2">
      <c r="A92" s="1">
        <v>44228</v>
      </c>
      <c r="B92">
        <v>5</v>
      </c>
      <c r="C92">
        <v>2</v>
      </c>
      <c r="D92">
        <v>1</v>
      </c>
      <c r="E92" t="s">
        <v>52</v>
      </c>
      <c r="F92">
        <v>0</v>
      </c>
      <c r="G92">
        <f>INDEX(weekly!$E$2:$E$188,MATCH('Marketing Campaigns 22.11.22'!L92,weekly!$H$2:$H$188,0))</f>
        <v>0</v>
      </c>
      <c r="H92">
        <f>INDEX(weekly!$D$2:$D$188,MATCH('Marketing Campaigns 22.11.22'!L92,weekly!$H$2:$H$188,0))</f>
        <v>0</v>
      </c>
      <c r="I92">
        <f>INDEX(weekly!$F$2:$F$188,MATCH('Marketing Campaigns 22.11.22'!L92,weekly!$H$2:$H$188,0))</f>
        <v>0</v>
      </c>
      <c r="J92">
        <v>0</v>
      </c>
      <c r="K92">
        <v>0</v>
      </c>
      <c r="L92" t="str">
        <f t="shared" si="2"/>
        <v>5-2-2021</v>
      </c>
      <c r="M92">
        <f t="shared" si="3"/>
        <v>2021</v>
      </c>
    </row>
    <row r="93" spans="1:13" x14ac:dyDescent="0.2">
      <c r="A93" s="1">
        <v>44235</v>
      </c>
      <c r="B93">
        <v>6</v>
      </c>
      <c r="C93">
        <v>2</v>
      </c>
      <c r="D93">
        <v>1</v>
      </c>
      <c r="E93" t="s">
        <v>24</v>
      </c>
      <c r="F93">
        <v>0</v>
      </c>
      <c r="G93">
        <f>INDEX(weekly!$E$2:$E$188,MATCH('Marketing Campaigns 22.11.22'!L93,weekly!$H$2:$H$188,0))</f>
        <v>0</v>
      </c>
      <c r="H93">
        <f>INDEX(weekly!$D$2:$D$188,MATCH('Marketing Campaigns 22.11.22'!L93,weekly!$H$2:$H$188,0))</f>
        <v>0</v>
      </c>
      <c r="I93">
        <f>INDEX(weekly!$F$2:$F$188,MATCH('Marketing Campaigns 22.11.22'!L93,weekly!$H$2:$H$188,0))</f>
        <v>0</v>
      </c>
      <c r="J93">
        <v>0</v>
      </c>
      <c r="K93">
        <v>0</v>
      </c>
      <c r="L93" t="str">
        <f t="shared" si="2"/>
        <v>6-2-2021</v>
      </c>
      <c r="M93">
        <f t="shared" si="3"/>
        <v>2021</v>
      </c>
    </row>
    <row r="94" spans="1:13" x14ac:dyDescent="0.2">
      <c r="A94" s="1">
        <v>44235</v>
      </c>
      <c r="B94">
        <v>6</v>
      </c>
      <c r="C94">
        <v>2</v>
      </c>
      <c r="D94">
        <v>1</v>
      </c>
      <c r="E94" t="s">
        <v>39</v>
      </c>
      <c r="F94">
        <v>0</v>
      </c>
      <c r="G94">
        <f>INDEX(weekly!$E$2:$E$188,MATCH('Marketing Campaigns 22.11.22'!L94,weekly!$H$2:$H$188,0))</f>
        <v>0</v>
      </c>
      <c r="H94">
        <f>INDEX(weekly!$D$2:$D$188,MATCH('Marketing Campaigns 22.11.22'!L94,weekly!$H$2:$H$188,0))</f>
        <v>0</v>
      </c>
      <c r="I94">
        <f>INDEX(weekly!$F$2:$F$188,MATCH('Marketing Campaigns 22.11.22'!L94,weekly!$H$2:$H$188,0))</f>
        <v>0</v>
      </c>
      <c r="J94">
        <v>0</v>
      </c>
      <c r="K94">
        <v>0</v>
      </c>
      <c r="L94" t="str">
        <f t="shared" si="2"/>
        <v>6-2-2021</v>
      </c>
      <c r="M94">
        <f t="shared" si="3"/>
        <v>2021</v>
      </c>
    </row>
    <row r="95" spans="1:13" x14ac:dyDescent="0.2">
      <c r="A95" s="1">
        <v>44235</v>
      </c>
      <c r="B95">
        <v>6</v>
      </c>
      <c r="C95">
        <v>2</v>
      </c>
      <c r="D95">
        <v>1</v>
      </c>
      <c r="E95" t="s">
        <v>40</v>
      </c>
      <c r="F95">
        <v>0</v>
      </c>
      <c r="G95">
        <f>INDEX(weekly!$E$2:$E$188,MATCH('Marketing Campaigns 22.11.22'!L95,weekly!$H$2:$H$188,0))</f>
        <v>0</v>
      </c>
      <c r="H95">
        <f>INDEX(weekly!$D$2:$D$188,MATCH('Marketing Campaigns 22.11.22'!L95,weekly!$H$2:$H$188,0))</f>
        <v>0</v>
      </c>
      <c r="I95">
        <f>INDEX(weekly!$F$2:$F$188,MATCH('Marketing Campaigns 22.11.22'!L95,weekly!$H$2:$H$188,0))</f>
        <v>0</v>
      </c>
      <c r="J95">
        <v>0</v>
      </c>
      <c r="K95">
        <v>0</v>
      </c>
      <c r="L95" t="str">
        <f t="shared" si="2"/>
        <v>6-2-2021</v>
      </c>
      <c r="M95">
        <f t="shared" si="3"/>
        <v>2021</v>
      </c>
    </row>
    <row r="96" spans="1:13" x14ac:dyDescent="0.2">
      <c r="A96" s="1">
        <v>44235</v>
      </c>
      <c r="B96">
        <v>6</v>
      </c>
      <c r="C96">
        <v>2</v>
      </c>
      <c r="D96">
        <v>1</v>
      </c>
      <c r="E96" t="s">
        <v>41</v>
      </c>
      <c r="F96">
        <v>0</v>
      </c>
      <c r="G96">
        <f>INDEX(weekly!$E$2:$E$188,MATCH('Marketing Campaigns 22.11.22'!L96,weekly!$H$2:$H$188,0))</f>
        <v>0</v>
      </c>
      <c r="H96">
        <f>INDEX(weekly!$D$2:$D$188,MATCH('Marketing Campaigns 22.11.22'!L96,weekly!$H$2:$H$188,0))</f>
        <v>0</v>
      </c>
      <c r="I96">
        <f>INDEX(weekly!$F$2:$F$188,MATCH('Marketing Campaigns 22.11.22'!L96,weekly!$H$2:$H$188,0))</f>
        <v>0</v>
      </c>
      <c r="J96">
        <v>0</v>
      </c>
      <c r="K96">
        <v>0</v>
      </c>
      <c r="L96" t="str">
        <f t="shared" si="2"/>
        <v>6-2-2021</v>
      </c>
      <c r="M96">
        <f t="shared" si="3"/>
        <v>2021</v>
      </c>
    </row>
    <row r="97" spans="1:13" x14ac:dyDescent="0.2">
      <c r="A97" s="1">
        <v>44235</v>
      </c>
      <c r="B97">
        <v>6</v>
      </c>
      <c r="C97">
        <v>2</v>
      </c>
      <c r="D97">
        <v>1</v>
      </c>
      <c r="E97" t="s">
        <v>42</v>
      </c>
      <c r="F97">
        <v>0</v>
      </c>
      <c r="G97">
        <f>INDEX(weekly!$E$2:$E$188,MATCH('Marketing Campaigns 22.11.22'!L97,weekly!$H$2:$H$188,0))</f>
        <v>0</v>
      </c>
      <c r="H97">
        <f>INDEX(weekly!$D$2:$D$188,MATCH('Marketing Campaigns 22.11.22'!L97,weekly!$H$2:$H$188,0))</f>
        <v>0</v>
      </c>
      <c r="I97">
        <f>INDEX(weekly!$F$2:$F$188,MATCH('Marketing Campaigns 22.11.22'!L97,weekly!$H$2:$H$188,0))</f>
        <v>0</v>
      </c>
      <c r="J97">
        <v>0</v>
      </c>
      <c r="K97">
        <v>0</v>
      </c>
      <c r="L97" t="str">
        <f t="shared" si="2"/>
        <v>6-2-2021</v>
      </c>
      <c r="M97">
        <f t="shared" si="3"/>
        <v>2021</v>
      </c>
    </row>
    <row r="98" spans="1:13" x14ac:dyDescent="0.2">
      <c r="A98" s="1">
        <v>44235</v>
      </c>
      <c r="B98">
        <v>6</v>
      </c>
      <c r="C98">
        <v>2</v>
      </c>
      <c r="D98">
        <v>1</v>
      </c>
      <c r="E98" t="s">
        <v>43</v>
      </c>
      <c r="F98">
        <v>0</v>
      </c>
      <c r="G98">
        <f>INDEX(weekly!$E$2:$E$188,MATCH('Marketing Campaigns 22.11.22'!L98,weekly!$H$2:$H$188,0))</f>
        <v>0</v>
      </c>
      <c r="H98">
        <f>INDEX(weekly!$D$2:$D$188,MATCH('Marketing Campaigns 22.11.22'!L98,weekly!$H$2:$H$188,0))</f>
        <v>0</v>
      </c>
      <c r="I98">
        <f>INDEX(weekly!$F$2:$F$188,MATCH('Marketing Campaigns 22.11.22'!L98,weekly!$H$2:$H$188,0))</f>
        <v>0</v>
      </c>
      <c r="J98">
        <v>0</v>
      </c>
      <c r="K98">
        <v>0</v>
      </c>
      <c r="L98" t="str">
        <f t="shared" si="2"/>
        <v>6-2-2021</v>
      </c>
      <c r="M98">
        <f t="shared" si="3"/>
        <v>2021</v>
      </c>
    </row>
    <row r="99" spans="1:13" x14ac:dyDescent="0.2">
      <c r="A99" s="1">
        <v>44235</v>
      </c>
      <c r="B99">
        <v>6</v>
      </c>
      <c r="C99">
        <v>2</v>
      </c>
      <c r="D99">
        <v>1</v>
      </c>
      <c r="E99" t="s">
        <v>44</v>
      </c>
      <c r="F99">
        <v>0</v>
      </c>
      <c r="G99">
        <f>INDEX(weekly!$E$2:$E$188,MATCH('Marketing Campaigns 22.11.22'!L99,weekly!$H$2:$H$188,0))</f>
        <v>0</v>
      </c>
      <c r="H99">
        <f>INDEX(weekly!$D$2:$D$188,MATCH('Marketing Campaigns 22.11.22'!L99,weekly!$H$2:$H$188,0))</f>
        <v>0</v>
      </c>
      <c r="I99">
        <f>INDEX(weekly!$F$2:$F$188,MATCH('Marketing Campaigns 22.11.22'!L99,weekly!$H$2:$H$188,0))</f>
        <v>0</v>
      </c>
      <c r="J99">
        <v>0</v>
      </c>
      <c r="K99">
        <v>0</v>
      </c>
      <c r="L99" t="str">
        <f t="shared" si="2"/>
        <v>6-2-2021</v>
      </c>
      <c r="M99">
        <f t="shared" si="3"/>
        <v>2021</v>
      </c>
    </row>
    <row r="100" spans="1:13" x14ac:dyDescent="0.2">
      <c r="A100" s="1">
        <v>44235</v>
      </c>
      <c r="B100">
        <v>6</v>
      </c>
      <c r="C100">
        <v>2</v>
      </c>
      <c r="D100">
        <v>1</v>
      </c>
      <c r="E100" t="s">
        <v>45</v>
      </c>
      <c r="F100">
        <v>0</v>
      </c>
      <c r="G100">
        <f>INDEX(weekly!$E$2:$E$188,MATCH('Marketing Campaigns 22.11.22'!L100,weekly!$H$2:$H$188,0))</f>
        <v>0</v>
      </c>
      <c r="H100">
        <f>INDEX(weekly!$D$2:$D$188,MATCH('Marketing Campaigns 22.11.22'!L100,weekly!$H$2:$H$188,0))</f>
        <v>0</v>
      </c>
      <c r="I100">
        <f>INDEX(weekly!$F$2:$F$188,MATCH('Marketing Campaigns 22.11.22'!L100,weekly!$H$2:$H$188,0))</f>
        <v>0</v>
      </c>
      <c r="J100">
        <v>0</v>
      </c>
      <c r="K100">
        <v>0</v>
      </c>
      <c r="L100" t="str">
        <f t="shared" si="2"/>
        <v>6-2-2021</v>
      </c>
      <c r="M100">
        <f t="shared" si="3"/>
        <v>2021</v>
      </c>
    </row>
    <row r="101" spans="1:13" x14ac:dyDescent="0.2">
      <c r="A101" s="1">
        <v>44235</v>
      </c>
      <c r="B101">
        <v>6</v>
      </c>
      <c r="C101">
        <v>2</v>
      </c>
      <c r="D101">
        <v>1</v>
      </c>
      <c r="E101" t="s">
        <v>46</v>
      </c>
      <c r="F101">
        <v>0</v>
      </c>
      <c r="G101">
        <f>INDEX(weekly!$E$2:$E$188,MATCH('Marketing Campaigns 22.11.22'!L101,weekly!$H$2:$H$188,0))</f>
        <v>0</v>
      </c>
      <c r="H101">
        <f>INDEX(weekly!$D$2:$D$188,MATCH('Marketing Campaigns 22.11.22'!L101,weekly!$H$2:$H$188,0))</f>
        <v>0</v>
      </c>
      <c r="I101">
        <f>INDEX(weekly!$F$2:$F$188,MATCH('Marketing Campaigns 22.11.22'!L101,weekly!$H$2:$H$188,0))</f>
        <v>0</v>
      </c>
      <c r="J101">
        <v>0</v>
      </c>
      <c r="K101">
        <v>0</v>
      </c>
      <c r="L101" t="str">
        <f t="shared" si="2"/>
        <v>6-2-2021</v>
      </c>
      <c r="M101">
        <f t="shared" si="3"/>
        <v>2021</v>
      </c>
    </row>
    <row r="102" spans="1:13" x14ac:dyDescent="0.2">
      <c r="A102" s="1">
        <v>44235</v>
      </c>
      <c r="B102">
        <v>6</v>
      </c>
      <c r="C102">
        <v>2</v>
      </c>
      <c r="D102">
        <v>1</v>
      </c>
      <c r="E102" t="s">
        <v>47</v>
      </c>
      <c r="F102">
        <v>0</v>
      </c>
      <c r="G102">
        <f>INDEX(weekly!$E$2:$E$188,MATCH('Marketing Campaigns 22.11.22'!L102,weekly!$H$2:$H$188,0))</f>
        <v>0</v>
      </c>
      <c r="H102">
        <f>INDEX(weekly!$D$2:$D$188,MATCH('Marketing Campaigns 22.11.22'!L102,weekly!$H$2:$H$188,0))</f>
        <v>0</v>
      </c>
      <c r="I102">
        <f>INDEX(weekly!$F$2:$F$188,MATCH('Marketing Campaigns 22.11.22'!L102,weekly!$H$2:$H$188,0))</f>
        <v>0</v>
      </c>
      <c r="J102">
        <v>0</v>
      </c>
      <c r="K102">
        <v>0</v>
      </c>
      <c r="L102" t="str">
        <f t="shared" si="2"/>
        <v>6-2-2021</v>
      </c>
      <c r="M102">
        <f t="shared" si="3"/>
        <v>2021</v>
      </c>
    </row>
    <row r="103" spans="1:13" x14ac:dyDescent="0.2">
      <c r="A103" s="1">
        <v>44235</v>
      </c>
      <c r="B103">
        <v>6</v>
      </c>
      <c r="C103">
        <v>2</v>
      </c>
      <c r="D103">
        <v>1</v>
      </c>
      <c r="E103" t="s">
        <v>48</v>
      </c>
      <c r="F103">
        <v>0</v>
      </c>
      <c r="G103">
        <f>INDEX(weekly!$E$2:$E$188,MATCH('Marketing Campaigns 22.11.22'!L103,weekly!$H$2:$H$188,0))</f>
        <v>0</v>
      </c>
      <c r="H103">
        <f>INDEX(weekly!$D$2:$D$188,MATCH('Marketing Campaigns 22.11.22'!L103,weekly!$H$2:$H$188,0))</f>
        <v>0</v>
      </c>
      <c r="I103">
        <f>INDEX(weekly!$F$2:$F$188,MATCH('Marketing Campaigns 22.11.22'!L103,weekly!$H$2:$H$188,0))</f>
        <v>0</v>
      </c>
      <c r="J103">
        <v>0</v>
      </c>
      <c r="K103">
        <v>0</v>
      </c>
      <c r="L103" t="str">
        <f t="shared" si="2"/>
        <v>6-2-2021</v>
      </c>
      <c r="M103">
        <f t="shared" si="3"/>
        <v>2021</v>
      </c>
    </row>
    <row r="104" spans="1:13" x14ac:dyDescent="0.2">
      <c r="A104" s="1">
        <v>44235</v>
      </c>
      <c r="B104">
        <v>6</v>
      </c>
      <c r="C104">
        <v>2</v>
      </c>
      <c r="D104">
        <v>1</v>
      </c>
      <c r="E104" t="s">
        <v>49</v>
      </c>
      <c r="F104">
        <v>0</v>
      </c>
      <c r="G104">
        <f>INDEX(weekly!$E$2:$E$188,MATCH('Marketing Campaigns 22.11.22'!L104,weekly!$H$2:$H$188,0))</f>
        <v>0</v>
      </c>
      <c r="H104">
        <f>INDEX(weekly!$D$2:$D$188,MATCH('Marketing Campaigns 22.11.22'!L104,weekly!$H$2:$H$188,0))</f>
        <v>0</v>
      </c>
      <c r="I104">
        <f>INDEX(weekly!$F$2:$F$188,MATCH('Marketing Campaigns 22.11.22'!L104,weekly!$H$2:$H$188,0))</f>
        <v>0</v>
      </c>
      <c r="J104">
        <v>0</v>
      </c>
      <c r="K104">
        <v>0</v>
      </c>
      <c r="L104" t="str">
        <f t="shared" si="2"/>
        <v>6-2-2021</v>
      </c>
      <c r="M104">
        <f t="shared" si="3"/>
        <v>2021</v>
      </c>
    </row>
    <row r="105" spans="1:13" x14ac:dyDescent="0.2">
      <c r="A105" s="1">
        <v>44235</v>
      </c>
      <c r="B105">
        <v>6</v>
      </c>
      <c r="C105">
        <v>2</v>
      </c>
      <c r="D105">
        <v>1</v>
      </c>
      <c r="E105" t="s">
        <v>50</v>
      </c>
      <c r="F105">
        <v>0</v>
      </c>
      <c r="G105">
        <f>INDEX(weekly!$E$2:$E$188,MATCH('Marketing Campaigns 22.11.22'!L105,weekly!$H$2:$H$188,0))</f>
        <v>0</v>
      </c>
      <c r="H105">
        <f>INDEX(weekly!$D$2:$D$188,MATCH('Marketing Campaigns 22.11.22'!L105,weekly!$H$2:$H$188,0))</f>
        <v>0</v>
      </c>
      <c r="I105">
        <f>INDEX(weekly!$F$2:$F$188,MATCH('Marketing Campaigns 22.11.22'!L105,weekly!$H$2:$H$188,0))</f>
        <v>0</v>
      </c>
      <c r="J105">
        <v>0</v>
      </c>
      <c r="K105">
        <v>0</v>
      </c>
      <c r="L105" t="str">
        <f t="shared" si="2"/>
        <v>6-2-2021</v>
      </c>
      <c r="M105">
        <f t="shared" si="3"/>
        <v>2021</v>
      </c>
    </row>
    <row r="106" spans="1:13" x14ac:dyDescent="0.2">
      <c r="A106" s="1">
        <v>44235</v>
      </c>
      <c r="B106">
        <v>6</v>
      </c>
      <c r="C106">
        <v>2</v>
      </c>
      <c r="D106">
        <v>1</v>
      </c>
      <c r="E106" t="s">
        <v>51</v>
      </c>
      <c r="F106">
        <v>0</v>
      </c>
      <c r="G106">
        <f>INDEX(weekly!$E$2:$E$188,MATCH('Marketing Campaigns 22.11.22'!L106,weekly!$H$2:$H$188,0))</f>
        <v>0</v>
      </c>
      <c r="H106">
        <f>INDEX(weekly!$D$2:$D$188,MATCH('Marketing Campaigns 22.11.22'!L106,weekly!$H$2:$H$188,0))</f>
        <v>0</v>
      </c>
      <c r="I106">
        <f>INDEX(weekly!$F$2:$F$188,MATCH('Marketing Campaigns 22.11.22'!L106,weekly!$H$2:$H$188,0))</f>
        <v>0</v>
      </c>
      <c r="J106">
        <v>0</v>
      </c>
      <c r="K106">
        <v>0</v>
      </c>
      <c r="L106" t="str">
        <f t="shared" si="2"/>
        <v>6-2-2021</v>
      </c>
      <c r="M106">
        <f t="shared" si="3"/>
        <v>2021</v>
      </c>
    </row>
    <row r="107" spans="1:13" x14ac:dyDescent="0.2">
      <c r="A107" s="1">
        <v>44235</v>
      </c>
      <c r="B107">
        <v>6</v>
      </c>
      <c r="C107">
        <v>2</v>
      </c>
      <c r="D107">
        <v>1</v>
      </c>
      <c r="E107" t="s">
        <v>52</v>
      </c>
      <c r="F107">
        <v>0</v>
      </c>
      <c r="G107">
        <f>INDEX(weekly!$E$2:$E$188,MATCH('Marketing Campaigns 22.11.22'!L107,weekly!$H$2:$H$188,0))</f>
        <v>0</v>
      </c>
      <c r="H107">
        <f>INDEX(weekly!$D$2:$D$188,MATCH('Marketing Campaigns 22.11.22'!L107,weekly!$H$2:$H$188,0))</f>
        <v>0</v>
      </c>
      <c r="I107">
        <f>INDEX(weekly!$F$2:$F$188,MATCH('Marketing Campaigns 22.11.22'!L107,weekly!$H$2:$H$188,0))</f>
        <v>0</v>
      </c>
      <c r="J107">
        <v>0</v>
      </c>
      <c r="K107">
        <v>0</v>
      </c>
      <c r="L107" t="str">
        <f t="shared" si="2"/>
        <v>6-2-2021</v>
      </c>
      <c r="M107">
        <f t="shared" si="3"/>
        <v>2021</v>
      </c>
    </row>
    <row r="108" spans="1:13" x14ac:dyDescent="0.2">
      <c r="A108" s="1">
        <v>44242</v>
      </c>
      <c r="B108">
        <v>7</v>
      </c>
      <c r="C108">
        <v>2</v>
      </c>
      <c r="D108">
        <v>1</v>
      </c>
      <c r="E108" t="s">
        <v>24</v>
      </c>
      <c r="F108">
        <v>0</v>
      </c>
      <c r="G108">
        <f>INDEX(weekly!$E$2:$E$188,MATCH('Marketing Campaigns 22.11.22'!L108,weekly!$H$2:$H$188,0))</f>
        <v>0</v>
      </c>
      <c r="H108">
        <f>INDEX(weekly!$D$2:$D$188,MATCH('Marketing Campaigns 22.11.22'!L108,weekly!$H$2:$H$188,0))</f>
        <v>0</v>
      </c>
      <c r="I108">
        <f>INDEX(weekly!$F$2:$F$188,MATCH('Marketing Campaigns 22.11.22'!L108,weekly!$H$2:$H$188,0))</f>
        <v>0</v>
      </c>
      <c r="J108">
        <v>0</v>
      </c>
      <c r="K108">
        <v>0</v>
      </c>
      <c r="L108" t="str">
        <f t="shared" si="2"/>
        <v>7-2-2021</v>
      </c>
      <c r="M108">
        <f t="shared" si="3"/>
        <v>2021</v>
      </c>
    </row>
    <row r="109" spans="1:13" x14ac:dyDescent="0.2">
      <c r="A109" s="1">
        <v>44242</v>
      </c>
      <c r="B109">
        <v>7</v>
      </c>
      <c r="C109">
        <v>2</v>
      </c>
      <c r="D109">
        <v>1</v>
      </c>
      <c r="E109" t="s">
        <v>39</v>
      </c>
      <c r="F109">
        <v>0</v>
      </c>
      <c r="G109">
        <f>INDEX(weekly!$E$2:$E$188,MATCH('Marketing Campaigns 22.11.22'!L109,weekly!$H$2:$H$188,0))</f>
        <v>0</v>
      </c>
      <c r="H109">
        <f>INDEX(weekly!$D$2:$D$188,MATCH('Marketing Campaigns 22.11.22'!L109,weekly!$H$2:$H$188,0))</f>
        <v>0</v>
      </c>
      <c r="I109">
        <f>INDEX(weekly!$F$2:$F$188,MATCH('Marketing Campaigns 22.11.22'!L109,weekly!$H$2:$H$188,0))</f>
        <v>0</v>
      </c>
      <c r="J109">
        <v>0</v>
      </c>
      <c r="K109">
        <v>0</v>
      </c>
      <c r="L109" t="str">
        <f t="shared" si="2"/>
        <v>7-2-2021</v>
      </c>
      <c r="M109">
        <f t="shared" si="3"/>
        <v>2021</v>
      </c>
    </row>
    <row r="110" spans="1:13" x14ac:dyDescent="0.2">
      <c r="A110" s="1">
        <v>44242</v>
      </c>
      <c r="B110">
        <v>7</v>
      </c>
      <c r="C110">
        <v>2</v>
      </c>
      <c r="D110">
        <v>1</v>
      </c>
      <c r="E110" t="s">
        <v>40</v>
      </c>
      <c r="F110">
        <v>0</v>
      </c>
      <c r="G110">
        <f>INDEX(weekly!$E$2:$E$188,MATCH('Marketing Campaigns 22.11.22'!L110,weekly!$H$2:$H$188,0))</f>
        <v>0</v>
      </c>
      <c r="H110">
        <f>INDEX(weekly!$D$2:$D$188,MATCH('Marketing Campaigns 22.11.22'!L110,weekly!$H$2:$H$188,0))</f>
        <v>0</v>
      </c>
      <c r="I110">
        <f>INDEX(weekly!$F$2:$F$188,MATCH('Marketing Campaigns 22.11.22'!L110,weekly!$H$2:$H$188,0))</f>
        <v>0</v>
      </c>
      <c r="J110">
        <v>0</v>
      </c>
      <c r="K110">
        <v>0</v>
      </c>
      <c r="L110" t="str">
        <f t="shared" si="2"/>
        <v>7-2-2021</v>
      </c>
      <c r="M110">
        <f t="shared" si="3"/>
        <v>2021</v>
      </c>
    </row>
    <row r="111" spans="1:13" x14ac:dyDescent="0.2">
      <c r="A111" s="1">
        <v>44242</v>
      </c>
      <c r="B111">
        <v>7</v>
      </c>
      <c r="C111">
        <v>2</v>
      </c>
      <c r="D111">
        <v>1</v>
      </c>
      <c r="E111" t="s">
        <v>41</v>
      </c>
      <c r="F111">
        <v>0</v>
      </c>
      <c r="G111">
        <f>INDEX(weekly!$E$2:$E$188,MATCH('Marketing Campaigns 22.11.22'!L111,weekly!$H$2:$H$188,0))</f>
        <v>0</v>
      </c>
      <c r="H111">
        <f>INDEX(weekly!$D$2:$D$188,MATCH('Marketing Campaigns 22.11.22'!L111,weekly!$H$2:$H$188,0))</f>
        <v>0</v>
      </c>
      <c r="I111">
        <f>INDEX(weekly!$F$2:$F$188,MATCH('Marketing Campaigns 22.11.22'!L111,weekly!$H$2:$H$188,0))</f>
        <v>0</v>
      </c>
      <c r="J111">
        <v>0</v>
      </c>
      <c r="K111">
        <v>0</v>
      </c>
      <c r="L111" t="str">
        <f t="shared" si="2"/>
        <v>7-2-2021</v>
      </c>
      <c r="M111">
        <f t="shared" si="3"/>
        <v>2021</v>
      </c>
    </row>
    <row r="112" spans="1:13" x14ac:dyDescent="0.2">
      <c r="A112" s="1">
        <v>44242</v>
      </c>
      <c r="B112">
        <v>7</v>
      </c>
      <c r="C112">
        <v>2</v>
      </c>
      <c r="D112">
        <v>1</v>
      </c>
      <c r="E112" t="s">
        <v>42</v>
      </c>
      <c r="F112">
        <v>0</v>
      </c>
      <c r="G112">
        <f>INDEX(weekly!$E$2:$E$188,MATCH('Marketing Campaigns 22.11.22'!L112,weekly!$H$2:$H$188,0))</f>
        <v>0</v>
      </c>
      <c r="H112">
        <f>INDEX(weekly!$D$2:$D$188,MATCH('Marketing Campaigns 22.11.22'!L112,weekly!$H$2:$H$188,0))</f>
        <v>0</v>
      </c>
      <c r="I112">
        <f>INDEX(weekly!$F$2:$F$188,MATCH('Marketing Campaigns 22.11.22'!L112,weekly!$H$2:$H$188,0))</f>
        <v>0</v>
      </c>
      <c r="J112">
        <v>0</v>
      </c>
      <c r="K112">
        <v>0</v>
      </c>
      <c r="L112" t="str">
        <f t="shared" si="2"/>
        <v>7-2-2021</v>
      </c>
      <c r="M112">
        <f t="shared" si="3"/>
        <v>2021</v>
      </c>
    </row>
    <row r="113" spans="1:13" x14ac:dyDescent="0.2">
      <c r="A113" s="1">
        <v>44242</v>
      </c>
      <c r="B113">
        <v>7</v>
      </c>
      <c r="C113">
        <v>2</v>
      </c>
      <c r="D113">
        <v>1</v>
      </c>
      <c r="E113" t="s">
        <v>43</v>
      </c>
      <c r="F113">
        <v>0</v>
      </c>
      <c r="G113">
        <f>INDEX(weekly!$E$2:$E$188,MATCH('Marketing Campaigns 22.11.22'!L113,weekly!$H$2:$H$188,0))</f>
        <v>0</v>
      </c>
      <c r="H113">
        <f>INDEX(weekly!$D$2:$D$188,MATCH('Marketing Campaigns 22.11.22'!L113,weekly!$H$2:$H$188,0))</f>
        <v>0</v>
      </c>
      <c r="I113">
        <f>INDEX(weekly!$F$2:$F$188,MATCH('Marketing Campaigns 22.11.22'!L113,weekly!$H$2:$H$188,0))</f>
        <v>0</v>
      </c>
      <c r="J113">
        <v>0</v>
      </c>
      <c r="K113">
        <v>0</v>
      </c>
      <c r="L113" t="str">
        <f t="shared" si="2"/>
        <v>7-2-2021</v>
      </c>
      <c r="M113">
        <f t="shared" si="3"/>
        <v>2021</v>
      </c>
    </row>
    <row r="114" spans="1:13" x14ac:dyDescent="0.2">
      <c r="A114" s="1">
        <v>44242</v>
      </c>
      <c r="B114">
        <v>7</v>
      </c>
      <c r="C114">
        <v>2</v>
      </c>
      <c r="D114">
        <v>1</v>
      </c>
      <c r="E114" t="s">
        <v>44</v>
      </c>
      <c r="F114">
        <v>0</v>
      </c>
      <c r="G114">
        <f>INDEX(weekly!$E$2:$E$188,MATCH('Marketing Campaigns 22.11.22'!L114,weekly!$H$2:$H$188,0))</f>
        <v>0</v>
      </c>
      <c r="H114">
        <f>INDEX(weekly!$D$2:$D$188,MATCH('Marketing Campaigns 22.11.22'!L114,weekly!$H$2:$H$188,0))</f>
        <v>0</v>
      </c>
      <c r="I114">
        <f>INDEX(weekly!$F$2:$F$188,MATCH('Marketing Campaigns 22.11.22'!L114,weekly!$H$2:$H$188,0))</f>
        <v>0</v>
      </c>
      <c r="J114">
        <v>0</v>
      </c>
      <c r="K114">
        <v>0</v>
      </c>
      <c r="L114" t="str">
        <f t="shared" si="2"/>
        <v>7-2-2021</v>
      </c>
      <c r="M114">
        <f t="shared" si="3"/>
        <v>2021</v>
      </c>
    </row>
    <row r="115" spans="1:13" x14ac:dyDescent="0.2">
      <c r="A115" s="1">
        <v>44242</v>
      </c>
      <c r="B115">
        <v>7</v>
      </c>
      <c r="C115">
        <v>2</v>
      </c>
      <c r="D115">
        <v>1</v>
      </c>
      <c r="E115" t="s">
        <v>45</v>
      </c>
      <c r="F115">
        <v>0</v>
      </c>
      <c r="G115">
        <f>INDEX(weekly!$E$2:$E$188,MATCH('Marketing Campaigns 22.11.22'!L115,weekly!$H$2:$H$188,0))</f>
        <v>0</v>
      </c>
      <c r="H115">
        <f>INDEX(weekly!$D$2:$D$188,MATCH('Marketing Campaigns 22.11.22'!L115,weekly!$H$2:$H$188,0))</f>
        <v>0</v>
      </c>
      <c r="I115">
        <f>INDEX(weekly!$F$2:$F$188,MATCH('Marketing Campaigns 22.11.22'!L115,weekly!$H$2:$H$188,0))</f>
        <v>0</v>
      </c>
      <c r="J115">
        <v>0</v>
      </c>
      <c r="K115">
        <v>0</v>
      </c>
      <c r="L115" t="str">
        <f t="shared" si="2"/>
        <v>7-2-2021</v>
      </c>
      <c r="M115">
        <f t="shared" si="3"/>
        <v>2021</v>
      </c>
    </row>
    <row r="116" spans="1:13" x14ac:dyDescent="0.2">
      <c r="A116" s="1">
        <v>44242</v>
      </c>
      <c r="B116">
        <v>7</v>
      </c>
      <c r="C116">
        <v>2</v>
      </c>
      <c r="D116">
        <v>1</v>
      </c>
      <c r="E116" t="s">
        <v>46</v>
      </c>
      <c r="F116">
        <v>0</v>
      </c>
      <c r="G116">
        <f>INDEX(weekly!$E$2:$E$188,MATCH('Marketing Campaigns 22.11.22'!L116,weekly!$H$2:$H$188,0))</f>
        <v>0</v>
      </c>
      <c r="H116">
        <f>INDEX(weekly!$D$2:$D$188,MATCH('Marketing Campaigns 22.11.22'!L116,weekly!$H$2:$H$188,0))</f>
        <v>0</v>
      </c>
      <c r="I116">
        <f>INDEX(weekly!$F$2:$F$188,MATCH('Marketing Campaigns 22.11.22'!L116,weekly!$H$2:$H$188,0))</f>
        <v>0</v>
      </c>
      <c r="J116">
        <v>0</v>
      </c>
      <c r="K116">
        <v>0</v>
      </c>
      <c r="L116" t="str">
        <f t="shared" si="2"/>
        <v>7-2-2021</v>
      </c>
      <c r="M116">
        <f t="shared" si="3"/>
        <v>2021</v>
      </c>
    </row>
    <row r="117" spans="1:13" x14ac:dyDescent="0.2">
      <c r="A117" s="1">
        <v>44242</v>
      </c>
      <c r="B117">
        <v>7</v>
      </c>
      <c r="C117">
        <v>2</v>
      </c>
      <c r="D117">
        <v>1</v>
      </c>
      <c r="E117" t="s">
        <v>47</v>
      </c>
      <c r="F117">
        <v>0</v>
      </c>
      <c r="G117">
        <f>INDEX(weekly!$E$2:$E$188,MATCH('Marketing Campaigns 22.11.22'!L117,weekly!$H$2:$H$188,0))</f>
        <v>0</v>
      </c>
      <c r="H117">
        <f>INDEX(weekly!$D$2:$D$188,MATCH('Marketing Campaigns 22.11.22'!L117,weekly!$H$2:$H$188,0))</f>
        <v>0</v>
      </c>
      <c r="I117">
        <f>INDEX(weekly!$F$2:$F$188,MATCH('Marketing Campaigns 22.11.22'!L117,weekly!$H$2:$H$188,0))</f>
        <v>0</v>
      </c>
      <c r="J117">
        <v>0</v>
      </c>
      <c r="K117">
        <v>0</v>
      </c>
      <c r="L117" t="str">
        <f t="shared" si="2"/>
        <v>7-2-2021</v>
      </c>
      <c r="M117">
        <f t="shared" si="3"/>
        <v>2021</v>
      </c>
    </row>
    <row r="118" spans="1:13" x14ac:dyDescent="0.2">
      <c r="A118" s="1">
        <v>44242</v>
      </c>
      <c r="B118">
        <v>7</v>
      </c>
      <c r="C118">
        <v>2</v>
      </c>
      <c r="D118">
        <v>1</v>
      </c>
      <c r="E118" t="s">
        <v>48</v>
      </c>
      <c r="F118">
        <v>0</v>
      </c>
      <c r="G118">
        <f>INDEX(weekly!$E$2:$E$188,MATCH('Marketing Campaigns 22.11.22'!L118,weekly!$H$2:$H$188,0))</f>
        <v>0</v>
      </c>
      <c r="H118">
        <f>INDEX(weekly!$D$2:$D$188,MATCH('Marketing Campaigns 22.11.22'!L118,weekly!$H$2:$H$188,0))</f>
        <v>0</v>
      </c>
      <c r="I118">
        <f>INDEX(weekly!$F$2:$F$188,MATCH('Marketing Campaigns 22.11.22'!L118,weekly!$H$2:$H$188,0))</f>
        <v>0</v>
      </c>
      <c r="J118">
        <v>0</v>
      </c>
      <c r="K118">
        <v>0</v>
      </c>
      <c r="L118" t="str">
        <f t="shared" si="2"/>
        <v>7-2-2021</v>
      </c>
      <c r="M118">
        <f t="shared" si="3"/>
        <v>2021</v>
      </c>
    </row>
    <row r="119" spans="1:13" x14ac:dyDescent="0.2">
      <c r="A119" s="1">
        <v>44242</v>
      </c>
      <c r="B119">
        <v>7</v>
      </c>
      <c r="C119">
        <v>2</v>
      </c>
      <c r="D119">
        <v>1</v>
      </c>
      <c r="E119" t="s">
        <v>49</v>
      </c>
      <c r="F119">
        <v>0</v>
      </c>
      <c r="G119">
        <f>INDEX(weekly!$E$2:$E$188,MATCH('Marketing Campaigns 22.11.22'!L119,weekly!$H$2:$H$188,0))</f>
        <v>0</v>
      </c>
      <c r="H119">
        <f>INDEX(weekly!$D$2:$D$188,MATCH('Marketing Campaigns 22.11.22'!L119,weekly!$H$2:$H$188,0))</f>
        <v>0</v>
      </c>
      <c r="I119">
        <f>INDEX(weekly!$F$2:$F$188,MATCH('Marketing Campaigns 22.11.22'!L119,weekly!$H$2:$H$188,0))</f>
        <v>0</v>
      </c>
      <c r="J119">
        <v>0</v>
      </c>
      <c r="K119">
        <v>0</v>
      </c>
      <c r="L119" t="str">
        <f t="shared" si="2"/>
        <v>7-2-2021</v>
      </c>
      <c r="M119">
        <f t="shared" si="3"/>
        <v>2021</v>
      </c>
    </row>
    <row r="120" spans="1:13" x14ac:dyDescent="0.2">
      <c r="A120" s="1">
        <v>44242</v>
      </c>
      <c r="B120">
        <v>7</v>
      </c>
      <c r="C120">
        <v>2</v>
      </c>
      <c r="D120">
        <v>1</v>
      </c>
      <c r="E120" t="s">
        <v>50</v>
      </c>
      <c r="F120">
        <v>0</v>
      </c>
      <c r="G120">
        <f>INDEX(weekly!$E$2:$E$188,MATCH('Marketing Campaigns 22.11.22'!L120,weekly!$H$2:$H$188,0))</f>
        <v>0</v>
      </c>
      <c r="H120">
        <f>INDEX(weekly!$D$2:$D$188,MATCH('Marketing Campaigns 22.11.22'!L120,weekly!$H$2:$H$188,0))</f>
        <v>0</v>
      </c>
      <c r="I120">
        <f>INDEX(weekly!$F$2:$F$188,MATCH('Marketing Campaigns 22.11.22'!L120,weekly!$H$2:$H$188,0))</f>
        <v>0</v>
      </c>
      <c r="J120">
        <v>0</v>
      </c>
      <c r="K120">
        <v>0</v>
      </c>
      <c r="L120" t="str">
        <f t="shared" si="2"/>
        <v>7-2-2021</v>
      </c>
      <c r="M120">
        <f t="shared" si="3"/>
        <v>2021</v>
      </c>
    </row>
    <row r="121" spans="1:13" x14ac:dyDescent="0.2">
      <c r="A121" s="1">
        <v>44242</v>
      </c>
      <c r="B121">
        <v>7</v>
      </c>
      <c r="C121">
        <v>2</v>
      </c>
      <c r="D121">
        <v>1</v>
      </c>
      <c r="E121" t="s">
        <v>51</v>
      </c>
      <c r="F121">
        <v>0</v>
      </c>
      <c r="G121">
        <f>INDEX(weekly!$E$2:$E$188,MATCH('Marketing Campaigns 22.11.22'!L121,weekly!$H$2:$H$188,0))</f>
        <v>0</v>
      </c>
      <c r="H121">
        <f>INDEX(weekly!$D$2:$D$188,MATCH('Marketing Campaigns 22.11.22'!L121,weekly!$H$2:$H$188,0))</f>
        <v>0</v>
      </c>
      <c r="I121">
        <f>INDEX(weekly!$F$2:$F$188,MATCH('Marketing Campaigns 22.11.22'!L121,weekly!$H$2:$H$188,0))</f>
        <v>0</v>
      </c>
      <c r="J121">
        <v>0</v>
      </c>
      <c r="K121">
        <v>0</v>
      </c>
      <c r="L121" t="str">
        <f t="shared" si="2"/>
        <v>7-2-2021</v>
      </c>
      <c r="M121">
        <f t="shared" si="3"/>
        <v>2021</v>
      </c>
    </row>
    <row r="122" spans="1:13" x14ac:dyDescent="0.2">
      <c r="A122" s="1">
        <v>44242</v>
      </c>
      <c r="B122">
        <v>7</v>
      </c>
      <c r="C122">
        <v>2</v>
      </c>
      <c r="D122">
        <v>1</v>
      </c>
      <c r="E122" t="s">
        <v>52</v>
      </c>
      <c r="F122">
        <v>0</v>
      </c>
      <c r="G122">
        <f>INDEX(weekly!$E$2:$E$188,MATCH('Marketing Campaigns 22.11.22'!L122,weekly!$H$2:$H$188,0))</f>
        <v>0</v>
      </c>
      <c r="H122">
        <f>INDEX(weekly!$D$2:$D$188,MATCH('Marketing Campaigns 22.11.22'!L122,weekly!$H$2:$H$188,0))</f>
        <v>0</v>
      </c>
      <c r="I122">
        <f>INDEX(weekly!$F$2:$F$188,MATCH('Marketing Campaigns 22.11.22'!L122,weekly!$H$2:$H$188,0))</f>
        <v>0</v>
      </c>
      <c r="J122">
        <v>0</v>
      </c>
      <c r="K122">
        <v>0</v>
      </c>
      <c r="L122" t="str">
        <f t="shared" si="2"/>
        <v>7-2-2021</v>
      </c>
      <c r="M122">
        <f t="shared" si="3"/>
        <v>2021</v>
      </c>
    </row>
    <row r="123" spans="1:13" x14ac:dyDescent="0.2">
      <c r="A123" s="1">
        <v>44249</v>
      </c>
      <c r="B123">
        <v>8</v>
      </c>
      <c r="C123">
        <v>2</v>
      </c>
      <c r="D123">
        <v>1</v>
      </c>
      <c r="E123" t="s">
        <v>24</v>
      </c>
      <c r="F123">
        <v>0</v>
      </c>
      <c r="G123">
        <f>INDEX(weekly!$E$2:$E$188,MATCH('Marketing Campaigns 22.11.22'!L123,weekly!$H$2:$H$188,0))</f>
        <v>0</v>
      </c>
      <c r="H123">
        <f>INDEX(weekly!$D$2:$D$188,MATCH('Marketing Campaigns 22.11.22'!L123,weekly!$H$2:$H$188,0))</f>
        <v>0</v>
      </c>
      <c r="I123">
        <f>INDEX(weekly!$F$2:$F$188,MATCH('Marketing Campaigns 22.11.22'!L123,weekly!$H$2:$H$188,0))</f>
        <v>0</v>
      </c>
      <c r="J123">
        <v>0</v>
      </c>
      <c r="K123">
        <v>0</v>
      </c>
      <c r="L123" t="str">
        <f t="shared" si="2"/>
        <v>8-2-2021</v>
      </c>
      <c r="M123">
        <f t="shared" si="3"/>
        <v>2021</v>
      </c>
    </row>
    <row r="124" spans="1:13" x14ac:dyDescent="0.2">
      <c r="A124" s="1">
        <v>44249</v>
      </c>
      <c r="B124">
        <v>8</v>
      </c>
      <c r="C124">
        <v>2</v>
      </c>
      <c r="D124">
        <v>1</v>
      </c>
      <c r="E124" t="s">
        <v>39</v>
      </c>
      <c r="F124">
        <v>0</v>
      </c>
      <c r="G124">
        <f>INDEX(weekly!$E$2:$E$188,MATCH('Marketing Campaigns 22.11.22'!L124,weekly!$H$2:$H$188,0))</f>
        <v>0</v>
      </c>
      <c r="H124">
        <f>INDEX(weekly!$D$2:$D$188,MATCH('Marketing Campaigns 22.11.22'!L124,weekly!$H$2:$H$188,0))</f>
        <v>0</v>
      </c>
      <c r="I124">
        <f>INDEX(weekly!$F$2:$F$188,MATCH('Marketing Campaigns 22.11.22'!L124,weekly!$H$2:$H$188,0))</f>
        <v>0</v>
      </c>
      <c r="J124">
        <v>0</v>
      </c>
      <c r="K124">
        <v>0</v>
      </c>
      <c r="L124" t="str">
        <f t="shared" si="2"/>
        <v>8-2-2021</v>
      </c>
      <c r="M124">
        <f t="shared" si="3"/>
        <v>2021</v>
      </c>
    </row>
    <row r="125" spans="1:13" x14ac:dyDescent="0.2">
      <c r="A125" s="1">
        <v>44249</v>
      </c>
      <c r="B125">
        <v>8</v>
      </c>
      <c r="C125">
        <v>2</v>
      </c>
      <c r="D125">
        <v>1</v>
      </c>
      <c r="E125" t="s">
        <v>40</v>
      </c>
      <c r="F125">
        <v>0</v>
      </c>
      <c r="G125">
        <f>INDEX(weekly!$E$2:$E$188,MATCH('Marketing Campaigns 22.11.22'!L125,weekly!$H$2:$H$188,0))</f>
        <v>0</v>
      </c>
      <c r="H125">
        <f>INDEX(weekly!$D$2:$D$188,MATCH('Marketing Campaigns 22.11.22'!L125,weekly!$H$2:$H$188,0))</f>
        <v>0</v>
      </c>
      <c r="I125">
        <f>INDEX(weekly!$F$2:$F$188,MATCH('Marketing Campaigns 22.11.22'!L125,weekly!$H$2:$H$188,0))</f>
        <v>0</v>
      </c>
      <c r="J125">
        <v>0</v>
      </c>
      <c r="K125">
        <v>0</v>
      </c>
      <c r="L125" t="str">
        <f t="shared" si="2"/>
        <v>8-2-2021</v>
      </c>
      <c r="M125">
        <f t="shared" si="3"/>
        <v>2021</v>
      </c>
    </row>
    <row r="126" spans="1:13" x14ac:dyDescent="0.2">
      <c r="A126" s="1">
        <v>44249</v>
      </c>
      <c r="B126">
        <v>8</v>
      </c>
      <c r="C126">
        <v>2</v>
      </c>
      <c r="D126">
        <v>1</v>
      </c>
      <c r="E126" t="s">
        <v>41</v>
      </c>
      <c r="F126">
        <v>0</v>
      </c>
      <c r="G126">
        <f>INDEX(weekly!$E$2:$E$188,MATCH('Marketing Campaigns 22.11.22'!L126,weekly!$H$2:$H$188,0))</f>
        <v>0</v>
      </c>
      <c r="H126">
        <f>INDEX(weekly!$D$2:$D$188,MATCH('Marketing Campaigns 22.11.22'!L126,weekly!$H$2:$H$188,0))</f>
        <v>0</v>
      </c>
      <c r="I126">
        <f>INDEX(weekly!$F$2:$F$188,MATCH('Marketing Campaigns 22.11.22'!L126,weekly!$H$2:$H$188,0))</f>
        <v>0</v>
      </c>
      <c r="J126">
        <v>0</v>
      </c>
      <c r="K126">
        <v>0</v>
      </c>
      <c r="L126" t="str">
        <f t="shared" si="2"/>
        <v>8-2-2021</v>
      </c>
      <c r="M126">
        <f t="shared" si="3"/>
        <v>2021</v>
      </c>
    </row>
    <row r="127" spans="1:13" x14ac:dyDescent="0.2">
      <c r="A127" s="1">
        <v>44249</v>
      </c>
      <c r="B127">
        <v>8</v>
      </c>
      <c r="C127">
        <v>2</v>
      </c>
      <c r="D127">
        <v>1</v>
      </c>
      <c r="E127" t="s">
        <v>42</v>
      </c>
      <c r="F127">
        <v>0</v>
      </c>
      <c r="G127">
        <f>INDEX(weekly!$E$2:$E$188,MATCH('Marketing Campaigns 22.11.22'!L127,weekly!$H$2:$H$188,0))</f>
        <v>0</v>
      </c>
      <c r="H127">
        <f>INDEX(weekly!$D$2:$D$188,MATCH('Marketing Campaigns 22.11.22'!L127,weekly!$H$2:$H$188,0))</f>
        <v>0</v>
      </c>
      <c r="I127">
        <f>INDEX(weekly!$F$2:$F$188,MATCH('Marketing Campaigns 22.11.22'!L127,weekly!$H$2:$H$188,0))</f>
        <v>0</v>
      </c>
      <c r="J127">
        <v>0</v>
      </c>
      <c r="K127">
        <v>0</v>
      </c>
      <c r="L127" t="str">
        <f t="shared" si="2"/>
        <v>8-2-2021</v>
      </c>
      <c r="M127">
        <f t="shared" si="3"/>
        <v>2021</v>
      </c>
    </row>
    <row r="128" spans="1:13" x14ac:dyDescent="0.2">
      <c r="A128" s="1">
        <v>44249</v>
      </c>
      <c r="B128">
        <v>8</v>
      </c>
      <c r="C128">
        <v>2</v>
      </c>
      <c r="D128">
        <v>1</v>
      </c>
      <c r="E128" t="s">
        <v>43</v>
      </c>
      <c r="F128">
        <v>0</v>
      </c>
      <c r="G128">
        <f>INDEX(weekly!$E$2:$E$188,MATCH('Marketing Campaigns 22.11.22'!L128,weekly!$H$2:$H$188,0))</f>
        <v>0</v>
      </c>
      <c r="H128">
        <f>INDEX(weekly!$D$2:$D$188,MATCH('Marketing Campaigns 22.11.22'!L128,weekly!$H$2:$H$188,0))</f>
        <v>0</v>
      </c>
      <c r="I128">
        <f>INDEX(weekly!$F$2:$F$188,MATCH('Marketing Campaigns 22.11.22'!L128,weekly!$H$2:$H$188,0))</f>
        <v>0</v>
      </c>
      <c r="J128">
        <v>0</v>
      </c>
      <c r="K128">
        <v>0</v>
      </c>
      <c r="L128" t="str">
        <f t="shared" si="2"/>
        <v>8-2-2021</v>
      </c>
      <c r="M128">
        <f t="shared" si="3"/>
        <v>2021</v>
      </c>
    </row>
    <row r="129" spans="1:13" x14ac:dyDescent="0.2">
      <c r="A129" s="1">
        <v>44249</v>
      </c>
      <c r="B129">
        <v>8</v>
      </c>
      <c r="C129">
        <v>2</v>
      </c>
      <c r="D129">
        <v>1</v>
      </c>
      <c r="E129" t="s">
        <v>44</v>
      </c>
      <c r="F129">
        <v>0</v>
      </c>
      <c r="G129">
        <f>INDEX(weekly!$E$2:$E$188,MATCH('Marketing Campaigns 22.11.22'!L129,weekly!$H$2:$H$188,0))</f>
        <v>0</v>
      </c>
      <c r="H129">
        <f>INDEX(weekly!$D$2:$D$188,MATCH('Marketing Campaigns 22.11.22'!L129,weekly!$H$2:$H$188,0))</f>
        <v>0</v>
      </c>
      <c r="I129">
        <f>INDEX(weekly!$F$2:$F$188,MATCH('Marketing Campaigns 22.11.22'!L129,weekly!$H$2:$H$188,0))</f>
        <v>0</v>
      </c>
      <c r="J129">
        <v>0</v>
      </c>
      <c r="K129">
        <v>0</v>
      </c>
      <c r="L129" t="str">
        <f t="shared" si="2"/>
        <v>8-2-2021</v>
      </c>
      <c r="M129">
        <f t="shared" si="3"/>
        <v>2021</v>
      </c>
    </row>
    <row r="130" spans="1:13" x14ac:dyDescent="0.2">
      <c r="A130" s="1">
        <v>44249</v>
      </c>
      <c r="B130">
        <v>8</v>
      </c>
      <c r="C130">
        <v>2</v>
      </c>
      <c r="D130">
        <v>1</v>
      </c>
      <c r="E130" t="s">
        <v>45</v>
      </c>
      <c r="F130">
        <v>0</v>
      </c>
      <c r="G130">
        <f>INDEX(weekly!$E$2:$E$188,MATCH('Marketing Campaigns 22.11.22'!L130,weekly!$H$2:$H$188,0))</f>
        <v>0</v>
      </c>
      <c r="H130">
        <f>INDEX(weekly!$D$2:$D$188,MATCH('Marketing Campaigns 22.11.22'!L130,weekly!$H$2:$H$188,0))</f>
        <v>0</v>
      </c>
      <c r="I130">
        <f>INDEX(weekly!$F$2:$F$188,MATCH('Marketing Campaigns 22.11.22'!L130,weekly!$H$2:$H$188,0))</f>
        <v>0</v>
      </c>
      <c r="J130">
        <v>0</v>
      </c>
      <c r="K130">
        <v>0</v>
      </c>
      <c r="L130" t="str">
        <f t="shared" si="2"/>
        <v>8-2-2021</v>
      </c>
      <c r="M130">
        <f t="shared" si="3"/>
        <v>2021</v>
      </c>
    </row>
    <row r="131" spans="1:13" x14ac:dyDescent="0.2">
      <c r="A131" s="1">
        <v>44249</v>
      </c>
      <c r="B131">
        <v>8</v>
      </c>
      <c r="C131">
        <v>2</v>
      </c>
      <c r="D131">
        <v>1</v>
      </c>
      <c r="E131" t="s">
        <v>46</v>
      </c>
      <c r="F131">
        <v>0</v>
      </c>
      <c r="G131">
        <f>INDEX(weekly!$E$2:$E$188,MATCH('Marketing Campaigns 22.11.22'!L131,weekly!$H$2:$H$188,0))</f>
        <v>0</v>
      </c>
      <c r="H131">
        <f>INDEX(weekly!$D$2:$D$188,MATCH('Marketing Campaigns 22.11.22'!L131,weekly!$H$2:$H$188,0))</f>
        <v>0</v>
      </c>
      <c r="I131">
        <f>INDEX(weekly!$F$2:$F$188,MATCH('Marketing Campaigns 22.11.22'!L131,weekly!$H$2:$H$188,0))</f>
        <v>0</v>
      </c>
      <c r="J131">
        <v>0</v>
      </c>
      <c r="K131">
        <v>0</v>
      </c>
      <c r="L131" t="str">
        <f t="shared" si="2"/>
        <v>8-2-2021</v>
      </c>
      <c r="M131">
        <f t="shared" si="3"/>
        <v>2021</v>
      </c>
    </row>
    <row r="132" spans="1:13" x14ac:dyDescent="0.2">
      <c r="A132" s="1">
        <v>44249</v>
      </c>
      <c r="B132">
        <v>8</v>
      </c>
      <c r="C132">
        <v>2</v>
      </c>
      <c r="D132">
        <v>1</v>
      </c>
      <c r="E132" t="s">
        <v>47</v>
      </c>
      <c r="F132">
        <v>0</v>
      </c>
      <c r="G132">
        <f>INDEX(weekly!$E$2:$E$188,MATCH('Marketing Campaigns 22.11.22'!L132,weekly!$H$2:$H$188,0))</f>
        <v>0</v>
      </c>
      <c r="H132">
        <f>INDEX(weekly!$D$2:$D$188,MATCH('Marketing Campaigns 22.11.22'!L132,weekly!$H$2:$H$188,0))</f>
        <v>0</v>
      </c>
      <c r="I132">
        <f>INDEX(weekly!$F$2:$F$188,MATCH('Marketing Campaigns 22.11.22'!L132,weekly!$H$2:$H$188,0))</f>
        <v>0</v>
      </c>
      <c r="J132">
        <v>0</v>
      </c>
      <c r="K132">
        <v>0</v>
      </c>
      <c r="L132" t="str">
        <f t="shared" ref="L132:L195" si="4">B132&amp;"-"&amp;C132&amp;"-"&amp;M132</f>
        <v>8-2-2021</v>
      </c>
      <c r="M132">
        <f t="shared" ref="M132:M195" si="5">YEAR(A132)</f>
        <v>2021</v>
      </c>
    </row>
    <row r="133" spans="1:13" x14ac:dyDescent="0.2">
      <c r="A133" s="1">
        <v>44249</v>
      </c>
      <c r="B133">
        <v>8</v>
      </c>
      <c r="C133">
        <v>2</v>
      </c>
      <c r="D133">
        <v>1</v>
      </c>
      <c r="E133" t="s">
        <v>48</v>
      </c>
      <c r="F133">
        <v>0</v>
      </c>
      <c r="G133">
        <f>INDEX(weekly!$E$2:$E$188,MATCH('Marketing Campaigns 22.11.22'!L133,weekly!$H$2:$H$188,0))</f>
        <v>0</v>
      </c>
      <c r="H133">
        <f>INDEX(weekly!$D$2:$D$188,MATCH('Marketing Campaigns 22.11.22'!L133,weekly!$H$2:$H$188,0))</f>
        <v>0</v>
      </c>
      <c r="I133">
        <f>INDEX(weekly!$F$2:$F$188,MATCH('Marketing Campaigns 22.11.22'!L133,weekly!$H$2:$H$188,0))</f>
        <v>0</v>
      </c>
      <c r="J133">
        <v>0</v>
      </c>
      <c r="K133">
        <v>0</v>
      </c>
      <c r="L133" t="str">
        <f t="shared" si="4"/>
        <v>8-2-2021</v>
      </c>
      <c r="M133">
        <f t="shared" si="5"/>
        <v>2021</v>
      </c>
    </row>
    <row r="134" spans="1:13" x14ac:dyDescent="0.2">
      <c r="A134" s="1">
        <v>44249</v>
      </c>
      <c r="B134">
        <v>8</v>
      </c>
      <c r="C134">
        <v>2</v>
      </c>
      <c r="D134">
        <v>1</v>
      </c>
      <c r="E134" t="s">
        <v>49</v>
      </c>
      <c r="F134">
        <v>0</v>
      </c>
      <c r="G134">
        <f>INDEX(weekly!$E$2:$E$188,MATCH('Marketing Campaigns 22.11.22'!L134,weekly!$H$2:$H$188,0))</f>
        <v>0</v>
      </c>
      <c r="H134">
        <f>INDEX(weekly!$D$2:$D$188,MATCH('Marketing Campaigns 22.11.22'!L134,weekly!$H$2:$H$188,0))</f>
        <v>0</v>
      </c>
      <c r="I134">
        <f>INDEX(weekly!$F$2:$F$188,MATCH('Marketing Campaigns 22.11.22'!L134,weekly!$H$2:$H$188,0))</f>
        <v>0</v>
      </c>
      <c r="J134">
        <v>0</v>
      </c>
      <c r="K134">
        <v>0</v>
      </c>
      <c r="L134" t="str">
        <f t="shared" si="4"/>
        <v>8-2-2021</v>
      </c>
      <c r="M134">
        <f t="shared" si="5"/>
        <v>2021</v>
      </c>
    </row>
    <row r="135" spans="1:13" x14ac:dyDescent="0.2">
      <c r="A135" s="1">
        <v>44249</v>
      </c>
      <c r="B135">
        <v>8</v>
      </c>
      <c r="C135">
        <v>2</v>
      </c>
      <c r="D135">
        <v>1</v>
      </c>
      <c r="E135" t="s">
        <v>50</v>
      </c>
      <c r="F135">
        <v>0</v>
      </c>
      <c r="G135">
        <f>INDEX(weekly!$E$2:$E$188,MATCH('Marketing Campaigns 22.11.22'!L135,weekly!$H$2:$H$188,0))</f>
        <v>0</v>
      </c>
      <c r="H135">
        <f>INDEX(weekly!$D$2:$D$188,MATCH('Marketing Campaigns 22.11.22'!L135,weekly!$H$2:$H$188,0))</f>
        <v>0</v>
      </c>
      <c r="I135">
        <f>INDEX(weekly!$F$2:$F$188,MATCH('Marketing Campaigns 22.11.22'!L135,weekly!$H$2:$H$188,0))</f>
        <v>0</v>
      </c>
      <c r="J135">
        <v>0</v>
      </c>
      <c r="K135">
        <v>0</v>
      </c>
      <c r="L135" t="str">
        <f t="shared" si="4"/>
        <v>8-2-2021</v>
      </c>
      <c r="M135">
        <f t="shared" si="5"/>
        <v>2021</v>
      </c>
    </row>
    <row r="136" spans="1:13" x14ac:dyDescent="0.2">
      <c r="A136" s="1">
        <v>44249</v>
      </c>
      <c r="B136">
        <v>8</v>
      </c>
      <c r="C136">
        <v>2</v>
      </c>
      <c r="D136">
        <v>1</v>
      </c>
      <c r="E136" t="s">
        <v>51</v>
      </c>
      <c r="F136">
        <v>0</v>
      </c>
      <c r="G136">
        <f>INDEX(weekly!$E$2:$E$188,MATCH('Marketing Campaigns 22.11.22'!L136,weekly!$H$2:$H$188,0))</f>
        <v>0</v>
      </c>
      <c r="H136">
        <f>INDEX(weekly!$D$2:$D$188,MATCH('Marketing Campaigns 22.11.22'!L136,weekly!$H$2:$H$188,0))</f>
        <v>0</v>
      </c>
      <c r="I136">
        <f>INDEX(weekly!$F$2:$F$188,MATCH('Marketing Campaigns 22.11.22'!L136,weekly!$H$2:$H$188,0))</f>
        <v>0</v>
      </c>
      <c r="J136">
        <v>0</v>
      </c>
      <c r="K136">
        <v>0</v>
      </c>
      <c r="L136" t="str">
        <f t="shared" si="4"/>
        <v>8-2-2021</v>
      </c>
      <c r="M136">
        <f t="shared" si="5"/>
        <v>2021</v>
      </c>
    </row>
    <row r="137" spans="1:13" x14ac:dyDescent="0.2">
      <c r="A137" s="1">
        <v>44249</v>
      </c>
      <c r="B137">
        <v>8</v>
      </c>
      <c r="C137">
        <v>2</v>
      </c>
      <c r="D137">
        <v>1</v>
      </c>
      <c r="E137" t="s">
        <v>52</v>
      </c>
      <c r="F137">
        <v>0</v>
      </c>
      <c r="G137">
        <f>INDEX(weekly!$E$2:$E$188,MATCH('Marketing Campaigns 22.11.22'!L137,weekly!$H$2:$H$188,0))</f>
        <v>0</v>
      </c>
      <c r="H137">
        <f>INDEX(weekly!$D$2:$D$188,MATCH('Marketing Campaigns 22.11.22'!L137,weekly!$H$2:$H$188,0))</f>
        <v>0</v>
      </c>
      <c r="I137">
        <f>INDEX(weekly!$F$2:$F$188,MATCH('Marketing Campaigns 22.11.22'!L137,weekly!$H$2:$H$188,0))</f>
        <v>0</v>
      </c>
      <c r="J137">
        <v>0</v>
      </c>
      <c r="K137">
        <v>0</v>
      </c>
      <c r="L137" t="str">
        <f t="shared" si="4"/>
        <v>8-2-2021</v>
      </c>
      <c r="M137">
        <f t="shared" si="5"/>
        <v>2021</v>
      </c>
    </row>
    <row r="138" spans="1:13" x14ac:dyDescent="0.2">
      <c r="A138" s="1">
        <v>44256</v>
      </c>
      <c r="B138">
        <v>9</v>
      </c>
      <c r="C138">
        <v>3</v>
      </c>
      <c r="D138">
        <v>1</v>
      </c>
      <c r="E138" t="s">
        <v>24</v>
      </c>
      <c r="F138">
        <v>0</v>
      </c>
      <c r="G138">
        <f>INDEX(weekly!$E$2:$E$188,MATCH('Marketing Campaigns 22.11.22'!L138,weekly!$H$2:$H$188,0))</f>
        <v>0</v>
      </c>
      <c r="H138">
        <f>INDEX(weekly!$D$2:$D$188,MATCH('Marketing Campaigns 22.11.22'!L138,weekly!$H$2:$H$188,0))</f>
        <v>0</v>
      </c>
      <c r="I138">
        <f>INDEX(weekly!$F$2:$F$188,MATCH('Marketing Campaigns 22.11.22'!L138,weekly!$H$2:$H$188,0))</f>
        <v>0</v>
      </c>
      <c r="J138">
        <v>0</v>
      </c>
      <c r="K138">
        <v>0</v>
      </c>
      <c r="L138" t="str">
        <f t="shared" si="4"/>
        <v>9-3-2021</v>
      </c>
      <c r="M138">
        <f t="shared" si="5"/>
        <v>2021</v>
      </c>
    </row>
    <row r="139" spans="1:13" x14ac:dyDescent="0.2">
      <c r="A139" s="1">
        <v>44256</v>
      </c>
      <c r="B139">
        <v>9</v>
      </c>
      <c r="C139">
        <v>3</v>
      </c>
      <c r="D139">
        <v>1</v>
      </c>
      <c r="E139" t="s">
        <v>39</v>
      </c>
      <c r="F139">
        <v>0</v>
      </c>
      <c r="G139">
        <f>INDEX(weekly!$E$2:$E$188,MATCH('Marketing Campaigns 22.11.22'!L139,weekly!$H$2:$H$188,0))</f>
        <v>0</v>
      </c>
      <c r="H139">
        <f>INDEX(weekly!$D$2:$D$188,MATCH('Marketing Campaigns 22.11.22'!L139,weekly!$H$2:$H$188,0))</f>
        <v>0</v>
      </c>
      <c r="I139">
        <f>INDEX(weekly!$F$2:$F$188,MATCH('Marketing Campaigns 22.11.22'!L139,weekly!$H$2:$H$188,0))</f>
        <v>0</v>
      </c>
      <c r="J139">
        <v>0</v>
      </c>
      <c r="K139">
        <v>0</v>
      </c>
      <c r="L139" t="str">
        <f t="shared" si="4"/>
        <v>9-3-2021</v>
      </c>
      <c r="M139">
        <f t="shared" si="5"/>
        <v>2021</v>
      </c>
    </row>
    <row r="140" spans="1:13" x14ac:dyDescent="0.2">
      <c r="A140" s="1">
        <v>44256</v>
      </c>
      <c r="B140">
        <v>9</v>
      </c>
      <c r="C140">
        <v>3</v>
      </c>
      <c r="D140">
        <v>1</v>
      </c>
      <c r="E140" t="s">
        <v>40</v>
      </c>
      <c r="F140">
        <v>0</v>
      </c>
      <c r="G140">
        <f>INDEX(weekly!$E$2:$E$188,MATCH('Marketing Campaigns 22.11.22'!L140,weekly!$H$2:$H$188,0))</f>
        <v>0</v>
      </c>
      <c r="H140">
        <f>INDEX(weekly!$D$2:$D$188,MATCH('Marketing Campaigns 22.11.22'!L140,weekly!$H$2:$H$188,0))</f>
        <v>0</v>
      </c>
      <c r="I140">
        <f>INDEX(weekly!$F$2:$F$188,MATCH('Marketing Campaigns 22.11.22'!L140,weekly!$H$2:$H$188,0))</f>
        <v>0</v>
      </c>
      <c r="J140">
        <v>0</v>
      </c>
      <c r="K140">
        <v>0</v>
      </c>
      <c r="L140" t="str">
        <f t="shared" si="4"/>
        <v>9-3-2021</v>
      </c>
      <c r="M140">
        <f t="shared" si="5"/>
        <v>2021</v>
      </c>
    </row>
    <row r="141" spans="1:13" x14ac:dyDescent="0.2">
      <c r="A141" s="1">
        <v>44256</v>
      </c>
      <c r="B141">
        <v>9</v>
      </c>
      <c r="C141">
        <v>3</v>
      </c>
      <c r="D141">
        <v>1</v>
      </c>
      <c r="E141" t="s">
        <v>41</v>
      </c>
      <c r="F141">
        <v>0</v>
      </c>
      <c r="G141">
        <f>INDEX(weekly!$E$2:$E$188,MATCH('Marketing Campaigns 22.11.22'!L141,weekly!$H$2:$H$188,0))</f>
        <v>0</v>
      </c>
      <c r="H141">
        <f>INDEX(weekly!$D$2:$D$188,MATCH('Marketing Campaigns 22.11.22'!L141,weekly!$H$2:$H$188,0))</f>
        <v>0</v>
      </c>
      <c r="I141">
        <f>INDEX(weekly!$F$2:$F$188,MATCH('Marketing Campaigns 22.11.22'!L141,weekly!$H$2:$H$188,0))</f>
        <v>0</v>
      </c>
      <c r="J141">
        <v>0</v>
      </c>
      <c r="K141">
        <v>0</v>
      </c>
      <c r="L141" t="str">
        <f t="shared" si="4"/>
        <v>9-3-2021</v>
      </c>
      <c r="M141">
        <f t="shared" si="5"/>
        <v>2021</v>
      </c>
    </row>
    <row r="142" spans="1:13" x14ac:dyDescent="0.2">
      <c r="A142" s="1">
        <v>44256</v>
      </c>
      <c r="B142">
        <v>9</v>
      </c>
      <c r="C142">
        <v>3</v>
      </c>
      <c r="D142">
        <v>1</v>
      </c>
      <c r="E142" t="s">
        <v>42</v>
      </c>
      <c r="F142">
        <v>0</v>
      </c>
      <c r="G142">
        <f>INDEX(weekly!$E$2:$E$188,MATCH('Marketing Campaigns 22.11.22'!L142,weekly!$H$2:$H$188,0))</f>
        <v>0</v>
      </c>
      <c r="H142">
        <f>INDEX(weekly!$D$2:$D$188,MATCH('Marketing Campaigns 22.11.22'!L142,weekly!$H$2:$H$188,0))</f>
        <v>0</v>
      </c>
      <c r="I142">
        <f>INDEX(weekly!$F$2:$F$188,MATCH('Marketing Campaigns 22.11.22'!L142,weekly!$H$2:$H$188,0))</f>
        <v>0</v>
      </c>
      <c r="J142">
        <v>0</v>
      </c>
      <c r="K142">
        <v>0</v>
      </c>
      <c r="L142" t="str">
        <f t="shared" si="4"/>
        <v>9-3-2021</v>
      </c>
      <c r="M142">
        <f t="shared" si="5"/>
        <v>2021</v>
      </c>
    </row>
    <row r="143" spans="1:13" x14ac:dyDescent="0.2">
      <c r="A143" s="1">
        <v>44256</v>
      </c>
      <c r="B143">
        <v>9</v>
      </c>
      <c r="C143">
        <v>3</v>
      </c>
      <c r="D143">
        <v>1</v>
      </c>
      <c r="E143" t="s">
        <v>43</v>
      </c>
      <c r="F143">
        <v>0</v>
      </c>
      <c r="G143">
        <f>INDEX(weekly!$E$2:$E$188,MATCH('Marketing Campaigns 22.11.22'!L143,weekly!$H$2:$H$188,0))</f>
        <v>0</v>
      </c>
      <c r="H143">
        <f>INDEX(weekly!$D$2:$D$188,MATCH('Marketing Campaigns 22.11.22'!L143,weekly!$H$2:$H$188,0))</f>
        <v>0</v>
      </c>
      <c r="I143">
        <f>INDEX(weekly!$F$2:$F$188,MATCH('Marketing Campaigns 22.11.22'!L143,weekly!$H$2:$H$188,0))</f>
        <v>0</v>
      </c>
      <c r="J143">
        <v>0</v>
      </c>
      <c r="K143">
        <v>0</v>
      </c>
      <c r="L143" t="str">
        <f t="shared" si="4"/>
        <v>9-3-2021</v>
      </c>
      <c r="M143">
        <f t="shared" si="5"/>
        <v>2021</v>
      </c>
    </row>
    <row r="144" spans="1:13" x14ac:dyDescent="0.2">
      <c r="A144" s="1">
        <v>44256</v>
      </c>
      <c r="B144">
        <v>9</v>
      </c>
      <c r="C144">
        <v>3</v>
      </c>
      <c r="D144">
        <v>1</v>
      </c>
      <c r="E144" t="s">
        <v>44</v>
      </c>
      <c r="F144">
        <v>0</v>
      </c>
      <c r="G144">
        <f>INDEX(weekly!$E$2:$E$188,MATCH('Marketing Campaigns 22.11.22'!L144,weekly!$H$2:$H$188,0))</f>
        <v>0</v>
      </c>
      <c r="H144">
        <f>INDEX(weekly!$D$2:$D$188,MATCH('Marketing Campaigns 22.11.22'!L144,weekly!$H$2:$H$188,0))</f>
        <v>0</v>
      </c>
      <c r="I144">
        <f>INDEX(weekly!$F$2:$F$188,MATCH('Marketing Campaigns 22.11.22'!L144,weekly!$H$2:$H$188,0))</f>
        <v>0</v>
      </c>
      <c r="J144">
        <v>0</v>
      </c>
      <c r="K144">
        <v>0</v>
      </c>
      <c r="L144" t="str">
        <f t="shared" si="4"/>
        <v>9-3-2021</v>
      </c>
      <c r="M144">
        <f t="shared" si="5"/>
        <v>2021</v>
      </c>
    </row>
    <row r="145" spans="1:13" x14ac:dyDescent="0.2">
      <c r="A145" s="1">
        <v>44256</v>
      </c>
      <c r="B145">
        <v>9</v>
      </c>
      <c r="C145">
        <v>3</v>
      </c>
      <c r="D145">
        <v>1</v>
      </c>
      <c r="E145" t="s">
        <v>45</v>
      </c>
      <c r="F145">
        <v>0</v>
      </c>
      <c r="G145">
        <f>INDEX(weekly!$E$2:$E$188,MATCH('Marketing Campaigns 22.11.22'!L145,weekly!$H$2:$H$188,0))</f>
        <v>0</v>
      </c>
      <c r="H145">
        <f>INDEX(weekly!$D$2:$D$188,MATCH('Marketing Campaigns 22.11.22'!L145,weekly!$H$2:$H$188,0))</f>
        <v>0</v>
      </c>
      <c r="I145">
        <f>INDEX(weekly!$F$2:$F$188,MATCH('Marketing Campaigns 22.11.22'!L145,weekly!$H$2:$H$188,0))</f>
        <v>0</v>
      </c>
      <c r="J145">
        <v>0</v>
      </c>
      <c r="K145">
        <v>0</v>
      </c>
      <c r="L145" t="str">
        <f t="shared" si="4"/>
        <v>9-3-2021</v>
      </c>
      <c r="M145">
        <f t="shared" si="5"/>
        <v>2021</v>
      </c>
    </row>
    <row r="146" spans="1:13" x14ac:dyDescent="0.2">
      <c r="A146" s="1">
        <v>44256</v>
      </c>
      <c r="B146">
        <v>9</v>
      </c>
      <c r="C146">
        <v>3</v>
      </c>
      <c r="D146">
        <v>1</v>
      </c>
      <c r="E146" t="s">
        <v>46</v>
      </c>
      <c r="F146">
        <v>0</v>
      </c>
      <c r="G146">
        <f>INDEX(weekly!$E$2:$E$188,MATCH('Marketing Campaigns 22.11.22'!L146,weekly!$H$2:$H$188,0))</f>
        <v>0</v>
      </c>
      <c r="H146">
        <f>INDEX(weekly!$D$2:$D$188,MATCH('Marketing Campaigns 22.11.22'!L146,weekly!$H$2:$H$188,0))</f>
        <v>0</v>
      </c>
      <c r="I146">
        <f>INDEX(weekly!$F$2:$F$188,MATCH('Marketing Campaigns 22.11.22'!L146,weekly!$H$2:$H$188,0))</f>
        <v>0</v>
      </c>
      <c r="J146">
        <v>0</v>
      </c>
      <c r="K146">
        <v>0</v>
      </c>
      <c r="L146" t="str">
        <f t="shared" si="4"/>
        <v>9-3-2021</v>
      </c>
      <c r="M146">
        <f t="shared" si="5"/>
        <v>2021</v>
      </c>
    </row>
    <row r="147" spans="1:13" x14ac:dyDescent="0.2">
      <c r="A147" s="1">
        <v>44256</v>
      </c>
      <c r="B147">
        <v>9</v>
      </c>
      <c r="C147">
        <v>3</v>
      </c>
      <c r="D147">
        <v>1</v>
      </c>
      <c r="E147" t="s">
        <v>47</v>
      </c>
      <c r="F147">
        <v>0</v>
      </c>
      <c r="G147">
        <f>INDEX(weekly!$E$2:$E$188,MATCH('Marketing Campaigns 22.11.22'!L147,weekly!$H$2:$H$188,0))</f>
        <v>0</v>
      </c>
      <c r="H147">
        <f>INDEX(weekly!$D$2:$D$188,MATCH('Marketing Campaigns 22.11.22'!L147,weekly!$H$2:$H$188,0))</f>
        <v>0</v>
      </c>
      <c r="I147">
        <f>INDEX(weekly!$F$2:$F$188,MATCH('Marketing Campaigns 22.11.22'!L147,weekly!$H$2:$H$188,0))</f>
        <v>0</v>
      </c>
      <c r="J147">
        <v>0</v>
      </c>
      <c r="K147">
        <v>0</v>
      </c>
      <c r="L147" t="str">
        <f t="shared" si="4"/>
        <v>9-3-2021</v>
      </c>
      <c r="M147">
        <f t="shared" si="5"/>
        <v>2021</v>
      </c>
    </row>
    <row r="148" spans="1:13" x14ac:dyDescent="0.2">
      <c r="A148" s="1">
        <v>44256</v>
      </c>
      <c r="B148">
        <v>9</v>
      </c>
      <c r="C148">
        <v>3</v>
      </c>
      <c r="D148">
        <v>1</v>
      </c>
      <c r="E148" t="s">
        <v>48</v>
      </c>
      <c r="F148">
        <v>0</v>
      </c>
      <c r="G148">
        <f>INDEX(weekly!$E$2:$E$188,MATCH('Marketing Campaigns 22.11.22'!L148,weekly!$H$2:$H$188,0))</f>
        <v>0</v>
      </c>
      <c r="H148">
        <f>INDEX(weekly!$D$2:$D$188,MATCH('Marketing Campaigns 22.11.22'!L148,weekly!$H$2:$H$188,0))</f>
        <v>0</v>
      </c>
      <c r="I148">
        <f>INDEX(weekly!$F$2:$F$188,MATCH('Marketing Campaigns 22.11.22'!L148,weekly!$H$2:$H$188,0))</f>
        <v>0</v>
      </c>
      <c r="J148">
        <v>0</v>
      </c>
      <c r="K148">
        <v>0</v>
      </c>
      <c r="L148" t="str">
        <f t="shared" si="4"/>
        <v>9-3-2021</v>
      </c>
      <c r="M148">
        <f t="shared" si="5"/>
        <v>2021</v>
      </c>
    </row>
    <row r="149" spans="1:13" x14ac:dyDescent="0.2">
      <c r="A149" s="1">
        <v>44256</v>
      </c>
      <c r="B149">
        <v>9</v>
      </c>
      <c r="C149">
        <v>3</v>
      </c>
      <c r="D149">
        <v>1</v>
      </c>
      <c r="E149" t="s">
        <v>49</v>
      </c>
      <c r="F149">
        <v>0</v>
      </c>
      <c r="G149">
        <f>INDEX(weekly!$E$2:$E$188,MATCH('Marketing Campaigns 22.11.22'!L149,weekly!$H$2:$H$188,0))</f>
        <v>0</v>
      </c>
      <c r="H149">
        <f>INDEX(weekly!$D$2:$D$188,MATCH('Marketing Campaigns 22.11.22'!L149,weekly!$H$2:$H$188,0))</f>
        <v>0</v>
      </c>
      <c r="I149">
        <f>INDEX(weekly!$F$2:$F$188,MATCH('Marketing Campaigns 22.11.22'!L149,weekly!$H$2:$H$188,0))</f>
        <v>0</v>
      </c>
      <c r="J149">
        <v>0</v>
      </c>
      <c r="K149">
        <v>0</v>
      </c>
      <c r="L149" t="str">
        <f t="shared" si="4"/>
        <v>9-3-2021</v>
      </c>
      <c r="M149">
        <f t="shared" si="5"/>
        <v>2021</v>
      </c>
    </row>
    <row r="150" spans="1:13" x14ac:dyDescent="0.2">
      <c r="A150" s="1">
        <v>44256</v>
      </c>
      <c r="B150">
        <v>9</v>
      </c>
      <c r="C150">
        <v>3</v>
      </c>
      <c r="D150">
        <v>1</v>
      </c>
      <c r="E150" t="s">
        <v>50</v>
      </c>
      <c r="F150">
        <v>0</v>
      </c>
      <c r="G150">
        <f>INDEX(weekly!$E$2:$E$188,MATCH('Marketing Campaigns 22.11.22'!L150,weekly!$H$2:$H$188,0))</f>
        <v>0</v>
      </c>
      <c r="H150">
        <f>INDEX(weekly!$D$2:$D$188,MATCH('Marketing Campaigns 22.11.22'!L150,weekly!$H$2:$H$188,0))</f>
        <v>0</v>
      </c>
      <c r="I150">
        <f>INDEX(weekly!$F$2:$F$188,MATCH('Marketing Campaigns 22.11.22'!L150,weekly!$H$2:$H$188,0))</f>
        <v>0</v>
      </c>
      <c r="J150">
        <v>0</v>
      </c>
      <c r="K150">
        <v>0</v>
      </c>
      <c r="L150" t="str">
        <f t="shared" si="4"/>
        <v>9-3-2021</v>
      </c>
      <c r="M150">
        <f t="shared" si="5"/>
        <v>2021</v>
      </c>
    </row>
    <row r="151" spans="1:13" x14ac:dyDescent="0.2">
      <c r="A151" s="1">
        <v>44256</v>
      </c>
      <c r="B151">
        <v>9</v>
      </c>
      <c r="C151">
        <v>3</v>
      </c>
      <c r="D151">
        <v>1</v>
      </c>
      <c r="E151" t="s">
        <v>51</v>
      </c>
      <c r="F151">
        <v>0</v>
      </c>
      <c r="G151">
        <f>INDEX(weekly!$E$2:$E$188,MATCH('Marketing Campaigns 22.11.22'!L151,weekly!$H$2:$H$188,0))</f>
        <v>0</v>
      </c>
      <c r="H151">
        <f>INDEX(weekly!$D$2:$D$188,MATCH('Marketing Campaigns 22.11.22'!L151,weekly!$H$2:$H$188,0))</f>
        <v>0</v>
      </c>
      <c r="I151">
        <f>INDEX(weekly!$F$2:$F$188,MATCH('Marketing Campaigns 22.11.22'!L151,weekly!$H$2:$H$188,0))</f>
        <v>0</v>
      </c>
      <c r="J151">
        <v>0</v>
      </c>
      <c r="K151">
        <v>0</v>
      </c>
      <c r="L151" t="str">
        <f t="shared" si="4"/>
        <v>9-3-2021</v>
      </c>
      <c r="M151">
        <f t="shared" si="5"/>
        <v>2021</v>
      </c>
    </row>
    <row r="152" spans="1:13" x14ac:dyDescent="0.2">
      <c r="A152" s="1">
        <v>44256</v>
      </c>
      <c r="B152">
        <v>9</v>
      </c>
      <c r="C152">
        <v>3</v>
      </c>
      <c r="D152">
        <v>1</v>
      </c>
      <c r="E152" t="s">
        <v>52</v>
      </c>
      <c r="F152">
        <v>0</v>
      </c>
      <c r="G152">
        <f>INDEX(weekly!$E$2:$E$188,MATCH('Marketing Campaigns 22.11.22'!L152,weekly!$H$2:$H$188,0))</f>
        <v>0</v>
      </c>
      <c r="H152">
        <f>INDEX(weekly!$D$2:$D$188,MATCH('Marketing Campaigns 22.11.22'!L152,weekly!$H$2:$H$188,0))</f>
        <v>0</v>
      </c>
      <c r="I152">
        <f>INDEX(weekly!$F$2:$F$188,MATCH('Marketing Campaigns 22.11.22'!L152,weekly!$H$2:$H$188,0))</f>
        <v>0</v>
      </c>
      <c r="J152">
        <v>0</v>
      </c>
      <c r="K152">
        <v>0</v>
      </c>
      <c r="L152" t="str">
        <f t="shared" si="4"/>
        <v>9-3-2021</v>
      </c>
      <c r="M152">
        <f t="shared" si="5"/>
        <v>2021</v>
      </c>
    </row>
    <row r="153" spans="1:13" x14ac:dyDescent="0.2">
      <c r="A153" s="1">
        <v>44263</v>
      </c>
      <c r="B153">
        <v>10</v>
      </c>
      <c r="C153">
        <v>3</v>
      </c>
      <c r="D153">
        <v>1</v>
      </c>
      <c r="E153" t="s">
        <v>24</v>
      </c>
      <c r="F153">
        <v>0</v>
      </c>
      <c r="G153">
        <f>INDEX(weekly!$E$2:$E$188,MATCH('Marketing Campaigns 22.11.22'!L153,weekly!$H$2:$H$188,0))</f>
        <v>0</v>
      </c>
      <c r="H153">
        <f>INDEX(weekly!$D$2:$D$188,MATCH('Marketing Campaigns 22.11.22'!L153,weekly!$H$2:$H$188,0))</f>
        <v>0</v>
      </c>
      <c r="I153">
        <f>INDEX(weekly!$F$2:$F$188,MATCH('Marketing Campaigns 22.11.22'!L153,weekly!$H$2:$H$188,0))</f>
        <v>0</v>
      </c>
      <c r="J153">
        <v>0</v>
      </c>
      <c r="K153">
        <v>0</v>
      </c>
      <c r="L153" t="str">
        <f t="shared" si="4"/>
        <v>10-3-2021</v>
      </c>
      <c r="M153">
        <f t="shared" si="5"/>
        <v>2021</v>
      </c>
    </row>
    <row r="154" spans="1:13" x14ac:dyDescent="0.2">
      <c r="A154" s="1">
        <v>44263</v>
      </c>
      <c r="B154">
        <v>10</v>
      </c>
      <c r="C154">
        <v>3</v>
      </c>
      <c r="D154">
        <v>1</v>
      </c>
      <c r="E154" t="s">
        <v>39</v>
      </c>
      <c r="F154">
        <v>0</v>
      </c>
      <c r="G154">
        <f>INDEX(weekly!$E$2:$E$188,MATCH('Marketing Campaigns 22.11.22'!L154,weekly!$H$2:$H$188,0))</f>
        <v>0</v>
      </c>
      <c r="H154">
        <f>INDEX(weekly!$D$2:$D$188,MATCH('Marketing Campaigns 22.11.22'!L154,weekly!$H$2:$H$188,0))</f>
        <v>0</v>
      </c>
      <c r="I154">
        <f>INDEX(weekly!$F$2:$F$188,MATCH('Marketing Campaigns 22.11.22'!L154,weekly!$H$2:$H$188,0))</f>
        <v>0</v>
      </c>
      <c r="J154">
        <v>0</v>
      </c>
      <c r="K154">
        <v>0</v>
      </c>
      <c r="L154" t="str">
        <f t="shared" si="4"/>
        <v>10-3-2021</v>
      </c>
      <c r="M154">
        <f t="shared" si="5"/>
        <v>2021</v>
      </c>
    </row>
    <row r="155" spans="1:13" x14ac:dyDescent="0.2">
      <c r="A155" s="1">
        <v>44263</v>
      </c>
      <c r="B155">
        <v>10</v>
      </c>
      <c r="C155">
        <v>3</v>
      </c>
      <c r="D155">
        <v>1</v>
      </c>
      <c r="E155" t="s">
        <v>40</v>
      </c>
      <c r="F155">
        <v>0</v>
      </c>
      <c r="G155">
        <f>INDEX(weekly!$E$2:$E$188,MATCH('Marketing Campaigns 22.11.22'!L155,weekly!$H$2:$H$188,0))</f>
        <v>0</v>
      </c>
      <c r="H155">
        <f>INDEX(weekly!$D$2:$D$188,MATCH('Marketing Campaigns 22.11.22'!L155,weekly!$H$2:$H$188,0))</f>
        <v>0</v>
      </c>
      <c r="I155">
        <f>INDEX(weekly!$F$2:$F$188,MATCH('Marketing Campaigns 22.11.22'!L155,weekly!$H$2:$H$188,0))</f>
        <v>0</v>
      </c>
      <c r="J155">
        <v>0</v>
      </c>
      <c r="K155">
        <v>0</v>
      </c>
      <c r="L155" t="str">
        <f t="shared" si="4"/>
        <v>10-3-2021</v>
      </c>
      <c r="M155">
        <f t="shared" si="5"/>
        <v>2021</v>
      </c>
    </row>
    <row r="156" spans="1:13" x14ac:dyDescent="0.2">
      <c r="A156" s="1">
        <v>44263</v>
      </c>
      <c r="B156">
        <v>10</v>
      </c>
      <c r="C156">
        <v>3</v>
      </c>
      <c r="D156">
        <v>1</v>
      </c>
      <c r="E156" t="s">
        <v>41</v>
      </c>
      <c r="F156">
        <v>0</v>
      </c>
      <c r="G156">
        <f>INDEX(weekly!$E$2:$E$188,MATCH('Marketing Campaigns 22.11.22'!L156,weekly!$H$2:$H$188,0))</f>
        <v>0</v>
      </c>
      <c r="H156">
        <f>INDEX(weekly!$D$2:$D$188,MATCH('Marketing Campaigns 22.11.22'!L156,weekly!$H$2:$H$188,0))</f>
        <v>0</v>
      </c>
      <c r="I156">
        <f>INDEX(weekly!$F$2:$F$188,MATCH('Marketing Campaigns 22.11.22'!L156,weekly!$H$2:$H$188,0))</f>
        <v>0</v>
      </c>
      <c r="J156">
        <v>0</v>
      </c>
      <c r="K156">
        <v>0</v>
      </c>
      <c r="L156" t="str">
        <f t="shared" si="4"/>
        <v>10-3-2021</v>
      </c>
      <c r="M156">
        <f t="shared" si="5"/>
        <v>2021</v>
      </c>
    </row>
    <row r="157" spans="1:13" x14ac:dyDescent="0.2">
      <c r="A157" s="1">
        <v>44263</v>
      </c>
      <c r="B157">
        <v>10</v>
      </c>
      <c r="C157">
        <v>3</v>
      </c>
      <c r="D157">
        <v>1</v>
      </c>
      <c r="E157" t="s">
        <v>42</v>
      </c>
      <c r="F157">
        <v>0</v>
      </c>
      <c r="G157">
        <f>INDEX(weekly!$E$2:$E$188,MATCH('Marketing Campaigns 22.11.22'!L157,weekly!$H$2:$H$188,0))</f>
        <v>0</v>
      </c>
      <c r="H157">
        <f>INDEX(weekly!$D$2:$D$188,MATCH('Marketing Campaigns 22.11.22'!L157,weekly!$H$2:$H$188,0))</f>
        <v>0</v>
      </c>
      <c r="I157">
        <f>INDEX(weekly!$F$2:$F$188,MATCH('Marketing Campaigns 22.11.22'!L157,weekly!$H$2:$H$188,0))</f>
        <v>0</v>
      </c>
      <c r="J157">
        <v>0</v>
      </c>
      <c r="K157">
        <v>0</v>
      </c>
      <c r="L157" t="str">
        <f t="shared" si="4"/>
        <v>10-3-2021</v>
      </c>
      <c r="M157">
        <f t="shared" si="5"/>
        <v>2021</v>
      </c>
    </row>
    <row r="158" spans="1:13" x14ac:dyDescent="0.2">
      <c r="A158" s="1">
        <v>44263</v>
      </c>
      <c r="B158">
        <v>10</v>
      </c>
      <c r="C158">
        <v>3</v>
      </c>
      <c r="D158">
        <v>1</v>
      </c>
      <c r="E158" t="s">
        <v>43</v>
      </c>
      <c r="F158">
        <v>0</v>
      </c>
      <c r="G158">
        <f>INDEX(weekly!$E$2:$E$188,MATCH('Marketing Campaigns 22.11.22'!L158,weekly!$H$2:$H$188,0))</f>
        <v>0</v>
      </c>
      <c r="H158">
        <f>INDEX(weekly!$D$2:$D$188,MATCH('Marketing Campaigns 22.11.22'!L158,weekly!$H$2:$H$188,0))</f>
        <v>0</v>
      </c>
      <c r="I158">
        <f>INDEX(weekly!$F$2:$F$188,MATCH('Marketing Campaigns 22.11.22'!L158,weekly!$H$2:$H$188,0))</f>
        <v>0</v>
      </c>
      <c r="J158">
        <v>0</v>
      </c>
      <c r="K158">
        <v>0</v>
      </c>
      <c r="L158" t="str">
        <f t="shared" si="4"/>
        <v>10-3-2021</v>
      </c>
      <c r="M158">
        <f t="shared" si="5"/>
        <v>2021</v>
      </c>
    </row>
    <row r="159" spans="1:13" x14ac:dyDescent="0.2">
      <c r="A159" s="1">
        <v>44263</v>
      </c>
      <c r="B159">
        <v>10</v>
      </c>
      <c r="C159">
        <v>3</v>
      </c>
      <c r="D159">
        <v>1</v>
      </c>
      <c r="E159" t="s">
        <v>44</v>
      </c>
      <c r="F159">
        <v>0</v>
      </c>
      <c r="G159">
        <f>INDEX(weekly!$E$2:$E$188,MATCH('Marketing Campaigns 22.11.22'!L159,weekly!$H$2:$H$188,0))</f>
        <v>0</v>
      </c>
      <c r="H159">
        <f>INDEX(weekly!$D$2:$D$188,MATCH('Marketing Campaigns 22.11.22'!L159,weekly!$H$2:$H$188,0))</f>
        <v>0</v>
      </c>
      <c r="I159">
        <f>INDEX(weekly!$F$2:$F$188,MATCH('Marketing Campaigns 22.11.22'!L159,weekly!$H$2:$H$188,0))</f>
        <v>0</v>
      </c>
      <c r="J159">
        <v>0</v>
      </c>
      <c r="K159">
        <v>0</v>
      </c>
      <c r="L159" t="str">
        <f t="shared" si="4"/>
        <v>10-3-2021</v>
      </c>
      <c r="M159">
        <f t="shared" si="5"/>
        <v>2021</v>
      </c>
    </row>
    <row r="160" spans="1:13" x14ac:dyDescent="0.2">
      <c r="A160" s="1">
        <v>44263</v>
      </c>
      <c r="B160">
        <v>10</v>
      </c>
      <c r="C160">
        <v>3</v>
      </c>
      <c r="D160">
        <v>1</v>
      </c>
      <c r="E160" t="s">
        <v>45</v>
      </c>
      <c r="F160">
        <v>0</v>
      </c>
      <c r="G160">
        <f>INDEX(weekly!$E$2:$E$188,MATCH('Marketing Campaigns 22.11.22'!L160,weekly!$H$2:$H$188,0))</f>
        <v>0</v>
      </c>
      <c r="H160">
        <f>INDEX(weekly!$D$2:$D$188,MATCH('Marketing Campaigns 22.11.22'!L160,weekly!$H$2:$H$188,0))</f>
        <v>0</v>
      </c>
      <c r="I160">
        <f>INDEX(weekly!$F$2:$F$188,MATCH('Marketing Campaigns 22.11.22'!L160,weekly!$H$2:$H$188,0))</f>
        <v>0</v>
      </c>
      <c r="J160">
        <v>0</v>
      </c>
      <c r="K160">
        <v>0</v>
      </c>
      <c r="L160" t="str">
        <f t="shared" si="4"/>
        <v>10-3-2021</v>
      </c>
      <c r="M160">
        <f t="shared" si="5"/>
        <v>2021</v>
      </c>
    </row>
    <row r="161" spans="1:13" x14ac:dyDescent="0.2">
      <c r="A161" s="1">
        <v>44263</v>
      </c>
      <c r="B161">
        <v>10</v>
      </c>
      <c r="C161">
        <v>3</v>
      </c>
      <c r="D161">
        <v>1</v>
      </c>
      <c r="E161" t="s">
        <v>46</v>
      </c>
      <c r="F161">
        <v>0</v>
      </c>
      <c r="G161">
        <f>INDEX(weekly!$E$2:$E$188,MATCH('Marketing Campaigns 22.11.22'!L161,weekly!$H$2:$H$188,0))</f>
        <v>0</v>
      </c>
      <c r="H161">
        <f>INDEX(weekly!$D$2:$D$188,MATCH('Marketing Campaigns 22.11.22'!L161,weekly!$H$2:$H$188,0))</f>
        <v>0</v>
      </c>
      <c r="I161">
        <f>INDEX(weekly!$F$2:$F$188,MATCH('Marketing Campaigns 22.11.22'!L161,weekly!$H$2:$H$188,0))</f>
        <v>0</v>
      </c>
      <c r="J161">
        <v>0</v>
      </c>
      <c r="K161">
        <v>0</v>
      </c>
      <c r="L161" t="str">
        <f t="shared" si="4"/>
        <v>10-3-2021</v>
      </c>
      <c r="M161">
        <f t="shared" si="5"/>
        <v>2021</v>
      </c>
    </row>
    <row r="162" spans="1:13" x14ac:dyDescent="0.2">
      <c r="A162" s="1">
        <v>44263</v>
      </c>
      <c r="B162">
        <v>10</v>
      </c>
      <c r="C162">
        <v>3</v>
      </c>
      <c r="D162">
        <v>1</v>
      </c>
      <c r="E162" t="s">
        <v>47</v>
      </c>
      <c r="F162">
        <v>0</v>
      </c>
      <c r="G162">
        <f>INDEX(weekly!$E$2:$E$188,MATCH('Marketing Campaigns 22.11.22'!L162,weekly!$H$2:$H$188,0))</f>
        <v>0</v>
      </c>
      <c r="H162">
        <f>INDEX(weekly!$D$2:$D$188,MATCH('Marketing Campaigns 22.11.22'!L162,weekly!$H$2:$H$188,0))</f>
        <v>0</v>
      </c>
      <c r="I162">
        <f>INDEX(weekly!$F$2:$F$188,MATCH('Marketing Campaigns 22.11.22'!L162,weekly!$H$2:$H$188,0))</f>
        <v>0</v>
      </c>
      <c r="J162">
        <v>0</v>
      </c>
      <c r="K162">
        <v>0</v>
      </c>
      <c r="L162" t="str">
        <f t="shared" si="4"/>
        <v>10-3-2021</v>
      </c>
      <c r="M162">
        <f t="shared" si="5"/>
        <v>2021</v>
      </c>
    </row>
    <row r="163" spans="1:13" x14ac:dyDescent="0.2">
      <c r="A163" s="1">
        <v>44263</v>
      </c>
      <c r="B163">
        <v>10</v>
      </c>
      <c r="C163">
        <v>3</v>
      </c>
      <c r="D163">
        <v>1</v>
      </c>
      <c r="E163" t="s">
        <v>48</v>
      </c>
      <c r="F163">
        <v>0</v>
      </c>
      <c r="G163">
        <f>INDEX(weekly!$E$2:$E$188,MATCH('Marketing Campaigns 22.11.22'!L163,weekly!$H$2:$H$188,0))</f>
        <v>0</v>
      </c>
      <c r="H163">
        <f>INDEX(weekly!$D$2:$D$188,MATCH('Marketing Campaigns 22.11.22'!L163,weekly!$H$2:$H$188,0))</f>
        <v>0</v>
      </c>
      <c r="I163">
        <f>INDEX(weekly!$F$2:$F$188,MATCH('Marketing Campaigns 22.11.22'!L163,weekly!$H$2:$H$188,0))</f>
        <v>0</v>
      </c>
      <c r="J163">
        <v>0</v>
      </c>
      <c r="K163">
        <v>0</v>
      </c>
      <c r="L163" t="str">
        <f t="shared" si="4"/>
        <v>10-3-2021</v>
      </c>
      <c r="M163">
        <f t="shared" si="5"/>
        <v>2021</v>
      </c>
    </row>
    <row r="164" spans="1:13" x14ac:dyDescent="0.2">
      <c r="A164" s="1">
        <v>44263</v>
      </c>
      <c r="B164">
        <v>10</v>
      </c>
      <c r="C164">
        <v>3</v>
      </c>
      <c r="D164">
        <v>1</v>
      </c>
      <c r="E164" t="s">
        <v>49</v>
      </c>
      <c r="F164">
        <v>0</v>
      </c>
      <c r="G164">
        <f>INDEX(weekly!$E$2:$E$188,MATCH('Marketing Campaigns 22.11.22'!L164,weekly!$H$2:$H$188,0))</f>
        <v>0</v>
      </c>
      <c r="H164">
        <f>INDEX(weekly!$D$2:$D$188,MATCH('Marketing Campaigns 22.11.22'!L164,weekly!$H$2:$H$188,0))</f>
        <v>0</v>
      </c>
      <c r="I164">
        <f>INDEX(weekly!$F$2:$F$188,MATCH('Marketing Campaigns 22.11.22'!L164,weekly!$H$2:$H$188,0))</f>
        <v>0</v>
      </c>
      <c r="J164">
        <v>0</v>
      </c>
      <c r="K164">
        <v>0</v>
      </c>
      <c r="L164" t="str">
        <f t="shared" si="4"/>
        <v>10-3-2021</v>
      </c>
      <c r="M164">
        <f t="shared" si="5"/>
        <v>2021</v>
      </c>
    </row>
    <row r="165" spans="1:13" x14ac:dyDescent="0.2">
      <c r="A165" s="1">
        <v>44263</v>
      </c>
      <c r="B165">
        <v>10</v>
      </c>
      <c r="C165">
        <v>3</v>
      </c>
      <c r="D165">
        <v>1</v>
      </c>
      <c r="E165" t="s">
        <v>50</v>
      </c>
      <c r="F165">
        <v>0</v>
      </c>
      <c r="G165">
        <f>INDEX(weekly!$E$2:$E$188,MATCH('Marketing Campaigns 22.11.22'!L165,weekly!$H$2:$H$188,0))</f>
        <v>0</v>
      </c>
      <c r="H165">
        <f>INDEX(weekly!$D$2:$D$188,MATCH('Marketing Campaigns 22.11.22'!L165,weekly!$H$2:$H$188,0))</f>
        <v>0</v>
      </c>
      <c r="I165">
        <f>INDEX(weekly!$F$2:$F$188,MATCH('Marketing Campaigns 22.11.22'!L165,weekly!$H$2:$H$188,0))</f>
        <v>0</v>
      </c>
      <c r="J165">
        <v>0</v>
      </c>
      <c r="K165">
        <v>0</v>
      </c>
      <c r="L165" t="str">
        <f t="shared" si="4"/>
        <v>10-3-2021</v>
      </c>
      <c r="M165">
        <f t="shared" si="5"/>
        <v>2021</v>
      </c>
    </row>
    <row r="166" spans="1:13" x14ac:dyDescent="0.2">
      <c r="A166" s="1">
        <v>44263</v>
      </c>
      <c r="B166">
        <v>10</v>
      </c>
      <c r="C166">
        <v>3</v>
      </c>
      <c r="D166">
        <v>1</v>
      </c>
      <c r="E166" t="s">
        <v>51</v>
      </c>
      <c r="F166">
        <v>0</v>
      </c>
      <c r="G166">
        <f>INDEX(weekly!$E$2:$E$188,MATCH('Marketing Campaigns 22.11.22'!L166,weekly!$H$2:$H$188,0))</f>
        <v>0</v>
      </c>
      <c r="H166">
        <f>INDEX(weekly!$D$2:$D$188,MATCH('Marketing Campaigns 22.11.22'!L166,weekly!$H$2:$H$188,0))</f>
        <v>0</v>
      </c>
      <c r="I166">
        <f>INDEX(weekly!$F$2:$F$188,MATCH('Marketing Campaigns 22.11.22'!L166,weekly!$H$2:$H$188,0))</f>
        <v>0</v>
      </c>
      <c r="J166">
        <v>0</v>
      </c>
      <c r="K166">
        <v>0</v>
      </c>
      <c r="L166" t="str">
        <f t="shared" si="4"/>
        <v>10-3-2021</v>
      </c>
      <c r="M166">
        <f t="shared" si="5"/>
        <v>2021</v>
      </c>
    </row>
    <row r="167" spans="1:13" x14ac:dyDescent="0.2">
      <c r="A167" s="1">
        <v>44263</v>
      </c>
      <c r="B167">
        <v>10</v>
      </c>
      <c r="C167">
        <v>3</v>
      </c>
      <c r="D167">
        <v>1</v>
      </c>
      <c r="E167" t="s">
        <v>52</v>
      </c>
      <c r="F167">
        <v>0</v>
      </c>
      <c r="G167">
        <f>INDEX(weekly!$E$2:$E$188,MATCH('Marketing Campaigns 22.11.22'!L167,weekly!$H$2:$H$188,0))</f>
        <v>0</v>
      </c>
      <c r="H167">
        <f>INDEX(weekly!$D$2:$D$188,MATCH('Marketing Campaigns 22.11.22'!L167,weekly!$H$2:$H$188,0))</f>
        <v>0</v>
      </c>
      <c r="I167">
        <f>INDEX(weekly!$F$2:$F$188,MATCH('Marketing Campaigns 22.11.22'!L167,weekly!$H$2:$H$188,0))</f>
        <v>0</v>
      </c>
      <c r="J167">
        <v>0</v>
      </c>
      <c r="K167">
        <v>0</v>
      </c>
      <c r="L167" t="str">
        <f t="shared" si="4"/>
        <v>10-3-2021</v>
      </c>
      <c r="M167">
        <f t="shared" si="5"/>
        <v>2021</v>
      </c>
    </row>
    <row r="168" spans="1:13" x14ac:dyDescent="0.2">
      <c r="A168" s="1">
        <v>44270</v>
      </c>
      <c r="B168">
        <v>11</v>
      </c>
      <c r="C168">
        <v>3</v>
      </c>
      <c r="D168">
        <v>1</v>
      </c>
      <c r="E168" t="s">
        <v>24</v>
      </c>
      <c r="F168">
        <v>0</v>
      </c>
      <c r="G168">
        <f>INDEX(weekly!$E$2:$E$188,MATCH('Marketing Campaigns 22.11.22'!L168,weekly!$H$2:$H$188,0))</f>
        <v>0</v>
      </c>
      <c r="H168">
        <f>INDEX(weekly!$D$2:$D$188,MATCH('Marketing Campaigns 22.11.22'!L168,weekly!$H$2:$H$188,0))</f>
        <v>0</v>
      </c>
      <c r="I168">
        <f>INDEX(weekly!$F$2:$F$188,MATCH('Marketing Campaigns 22.11.22'!L168,weekly!$H$2:$H$188,0))</f>
        <v>0</v>
      </c>
      <c r="J168">
        <v>0</v>
      </c>
      <c r="K168">
        <v>0</v>
      </c>
      <c r="L168" t="str">
        <f t="shared" si="4"/>
        <v>11-3-2021</v>
      </c>
      <c r="M168">
        <f t="shared" si="5"/>
        <v>2021</v>
      </c>
    </row>
    <row r="169" spans="1:13" x14ac:dyDescent="0.2">
      <c r="A169" s="1">
        <v>44270</v>
      </c>
      <c r="B169">
        <v>11</v>
      </c>
      <c r="C169">
        <v>3</v>
      </c>
      <c r="D169">
        <v>1</v>
      </c>
      <c r="E169" t="s">
        <v>39</v>
      </c>
      <c r="F169">
        <v>0</v>
      </c>
      <c r="G169">
        <f>INDEX(weekly!$E$2:$E$188,MATCH('Marketing Campaigns 22.11.22'!L169,weekly!$H$2:$H$188,0))</f>
        <v>0</v>
      </c>
      <c r="H169">
        <f>INDEX(weekly!$D$2:$D$188,MATCH('Marketing Campaigns 22.11.22'!L169,weekly!$H$2:$H$188,0))</f>
        <v>0</v>
      </c>
      <c r="I169">
        <f>INDEX(weekly!$F$2:$F$188,MATCH('Marketing Campaigns 22.11.22'!L169,weekly!$H$2:$H$188,0))</f>
        <v>0</v>
      </c>
      <c r="J169">
        <v>0</v>
      </c>
      <c r="K169">
        <v>0</v>
      </c>
      <c r="L169" t="str">
        <f t="shared" si="4"/>
        <v>11-3-2021</v>
      </c>
      <c r="M169">
        <f t="shared" si="5"/>
        <v>2021</v>
      </c>
    </row>
    <row r="170" spans="1:13" x14ac:dyDescent="0.2">
      <c r="A170" s="1">
        <v>44270</v>
      </c>
      <c r="B170">
        <v>11</v>
      </c>
      <c r="C170">
        <v>3</v>
      </c>
      <c r="D170">
        <v>1</v>
      </c>
      <c r="E170" t="s">
        <v>40</v>
      </c>
      <c r="F170">
        <v>0</v>
      </c>
      <c r="G170">
        <f>INDEX(weekly!$E$2:$E$188,MATCH('Marketing Campaigns 22.11.22'!L170,weekly!$H$2:$H$188,0))</f>
        <v>0</v>
      </c>
      <c r="H170">
        <f>INDEX(weekly!$D$2:$D$188,MATCH('Marketing Campaigns 22.11.22'!L170,weekly!$H$2:$H$188,0))</f>
        <v>0</v>
      </c>
      <c r="I170">
        <f>INDEX(weekly!$F$2:$F$188,MATCH('Marketing Campaigns 22.11.22'!L170,weekly!$H$2:$H$188,0))</f>
        <v>0</v>
      </c>
      <c r="J170">
        <v>0</v>
      </c>
      <c r="K170">
        <v>0</v>
      </c>
      <c r="L170" t="str">
        <f t="shared" si="4"/>
        <v>11-3-2021</v>
      </c>
      <c r="M170">
        <f t="shared" si="5"/>
        <v>2021</v>
      </c>
    </row>
    <row r="171" spans="1:13" x14ac:dyDescent="0.2">
      <c r="A171" s="1">
        <v>44270</v>
      </c>
      <c r="B171">
        <v>11</v>
      </c>
      <c r="C171">
        <v>3</v>
      </c>
      <c r="D171">
        <v>1</v>
      </c>
      <c r="E171" t="s">
        <v>41</v>
      </c>
      <c r="F171">
        <v>0</v>
      </c>
      <c r="G171">
        <f>INDEX(weekly!$E$2:$E$188,MATCH('Marketing Campaigns 22.11.22'!L171,weekly!$H$2:$H$188,0))</f>
        <v>0</v>
      </c>
      <c r="H171">
        <f>INDEX(weekly!$D$2:$D$188,MATCH('Marketing Campaigns 22.11.22'!L171,weekly!$H$2:$H$188,0))</f>
        <v>0</v>
      </c>
      <c r="I171">
        <f>INDEX(weekly!$F$2:$F$188,MATCH('Marketing Campaigns 22.11.22'!L171,weekly!$H$2:$H$188,0))</f>
        <v>0</v>
      </c>
      <c r="J171">
        <v>0</v>
      </c>
      <c r="K171">
        <v>0</v>
      </c>
      <c r="L171" t="str">
        <f t="shared" si="4"/>
        <v>11-3-2021</v>
      </c>
      <c r="M171">
        <f t="shared" si="5"/>
        <v>2021</v>
      </c>
    </row>
    <row r="172" spans="1:13" x14ac:dyDescent="0.2">
      <c r="A172" s="1">
        <v>44270</v>
      </c>
      <c r="B172">
        <v>11</v>
      </c>
      <c r="C172">
        <v>3</v>
      </c>
      <c r="D172">
        <v>1</v>
      </c>
      <c r="E172" t="s">
        <v>42</v>
      </c>
      <c r="F172">
        <v>0</v>
      </c>
      <c r="G172">
        <f>INDEX(weekly!$E$2:$E$188,MATCH('Marketing Campaigns 22.11.22'!L172,weekly!$H$2:$H$188,0))</f>
        <v>0</v>
      </c>
      <c r="H172">
        <f>INDEX(weekly!$D$2:$D$188,MATCH('Marketing Campaigns 22.11.22'!L172,weekly!$H$2:$H$188,0))</f>
        <v>0</v>
      </c>
      <c r="I172">
        <f>INDEX(weekly!$F$2:$F$188,MATCH('Marketing Campaigns 22.11.22'!L172,weekly!$H$2:$H$188,0))</f>
        <v>0</v>
      </c>
      <c r="J172">
        <v>0</v>
      </c>
      <c r="K172">
        <v>0</v>
      </c>
      <c r="L172" t="str">
        <f t="shared" si="4"/>
        <v>11-3-2021</v>
      </c>
      <c r="M172">
        <f t="shared" si="5"/>
        <v>2021</v>
      </c>
    </row>
    <row r="173" spans="1:13" x14ac:dyDescent="0.2">
      <c r="A173" s="1">
        <v>44270</v>
      </c>
      <c r="B173">
        <v>11</v>
      </c>
      <c r="C173">
        <v>3</v>
      </c>
      <c r="D173">
        <v>1</v>
      </c>
      <c r="E173" t="s">
        <v>43</v>
      </c>
      <c r="F173">
        <v>0</v>
      </c>
      <c r="G173">
        <f>INDEX(weekly!$E$2:$E$188,MATCH('Marketing Campaigns 22.11.22'!L173,weekly!$H$2:$H$188,0))</f>
        <v>0</v>
      </c>
      <c r="H173">
        <f>INDEX(weekly!$D$2:$D$188,MATCH('Marketing Campaigns 22.11.22'!L173,weekly!$H$2:$H$188,0))</f>
        <v>0</v>
      </c>
      <c r="I173">
        <f>INDEX(weekly!$F$2:$F$188,MATCH('Marketing Campaigns 22.11.22'!L173,weekly!$H$2:$H$188,0))</f>
        <v>0</v>
      </c>
      <c r="J173">
        <v>0</v>
      </c>
      <c r="K173">
        <v>0</v>
      </c>
      <c r="L173" t="str">
        <f t="shared" si="4"/>
        <v>11-3-2021</v>
      </c>
      <c r="M173">
        <f t="shared" si="5"/>
        <v>2021</v>
      </c>
    </row>
    <row r="174" spans="1:13" x14ac:dyDescent="0.2">
      <c r="A174" s="1">
        <v>44270</v>
      </c>
      <c r="B174">
        <v>11</v>
      </c>
      <c r="C174">
        <v>3</v>
      </c>
      <c r="D174">
        <v>1</v>
      </c>
      <c r="E174" t="s">
        <v>44</v>
      </c>
      <c r="F174">
        <v>0</v>
      </c>
      <c r="G174">
        <f>INDEX(weekly!$E$2:$E$188,MATCH('Marketing Campaigns 22.11.22'!L174,weekly!$H$2:$H$188,0))</f>
        <v>0</v>
      </c>
      <c r="H174">
        <f>INDEX(weekly!$D$2:$D$188,MATCH('Marketing Campaigns 22.11.22'!L174,weekly!$H$2:$H$188,0))</f>
        <v>0</v>
      </c>
      <c r="I174">
        <f>INDEX(weekly!$F$2:$F$188,MATCH('Marketing Campaigns 22.11.22'!L174,weekly!$H$2:$H$188,0))</f>
        <v>0</v>
      </c>
      <c r="J174">
        <v>0</v>
      </c>
      <c r="K174">
        <v>0</v>
      </c>
      <c r="L174" t="str">
        <f t="shared" si="4"/>
        <v>11-3-2021</v>
      </c>
      <c r="M174">
        <f t="shared" si="5"/>
        <v>2021</v>
      </c>
    </row>
    <row r="175" spans="1:13" x14ac:dyDescent="0.2">
      <c r="A175" s="1">
        <v>44270</v>
      </c>
      <c r="B175">
        <v>11</v>
      </c>
      <c r="C175">
        <v>3</v>
      </c>
      <c r="D175">
        <v>1</v>
      </c>
      <c r="E175" t="s">
        <v>45</v>
      </c>
      <c r="F175">
        <v>0</v>
      </c>
      <c r="G175">
        <f>INDEX(weekly!$E$2:$E$188,MATCH('Marketing Campaigns 22.11.22'!L175,weekly!$H$2:$H$188,0))</f>
        <v>0</v>
      </c>
      <c r="H175">
        <f>INDEX(weekly!$D$2:$D$188,MATCH('Marketing Campaigns 22.11.22'!L175,weekly!$H$2:$H$188,0))</f>
        <v>0</v>
      </c>
      <c r="I175">
        <f>INDEX(weekly!$F$2:$F$188,MATCH('Marketing Campaigns 22.11.22'!L175,weekly!$H$2:$H$188,0))</f>
        <v>0</v>
      </c>
      <c r="J175">
        <v>0</v>
      </c>
      <c r="K175">
        <v>0</v>
      </c>
      <c r="L175" t="str">
        <f t="shared" si="4"/>
        <v>11-3-2021</v>
      </c>
      <c r="M175">
        <f t="shared" si="5"/>
        <v>2021</v>
      </c>
    </row>
    <row r="176" spans="1:13" x14ac:dyDescent="0.2">
      <c r="A176" s="1">
        <v>44270</v>
      </c>
      <c r="B176">
        <v>11</v>
      </c>
      <c r="C176">
        <v>3</v>
      </c>
      <c r="D176">
        <v>1</v>
      </c>
      <c r="E176" t="s">
        <v>46</v>
      </c>
      <c r="F176">
        <v>0</v>
      </c>
      <c r="G176">
        <f>INDEX(weekly!$E$2:$E$188,MATCH('Marketing Campaigns 22.11.22'!L176,weekly!$H$2:$H$188,0))</f>
        <v>0</v>
      </c>
      <c r="H176">
        <f>INDEX(weekly!$D$2:$D$188,MATCH('Marketing Campaigns 22.11.22'!L176,weekly!$H$2:$H$188,0))</f>
        <v>0</v>
      </c>
      <c r="I176">
        <f>INDEX(weekly!$F$2:$F$188,MATCH('Marketing Campaigns 22.11.22'!L176,weekly!$H$2:$H$188,0))</f>
        <v>0</v>
      </c>
      <c r="J176">
        <v>0</v>
      </c>
      <c r="K176">
        <v>0</v>
      </c>
      <c r="L176" t="str">
        <f t="shared" si="4"/>
        <v>11-3-2021</v>
      </c>
      <c r="M176">
        <f t="shared" si="5"/>
        <v>2021</v>
      </c>
    </row>
    <row r="177" spans="1:13" x14ac:dyDescent="0.2">
      <c r="A177" s="1">
        <v>44270</v>
      </c>
      <c r="B177">
        <v>11</v>
      </c>
      <c r="C177">
        <v>3</v>
      </c>
      <c r="D177">
        <v>1</v>
      </c>
      <c r="E177" t="s">
        <v>47</v>
      </c>
      <c r="F177">
        <v>0</v>
      </c>
      <c r="G177">
        <f>INDEX(weekly!$E$2:$E$188,MATCH('Marketing Campaigns 22.11.22'!L177,weekly!$H$2:$H$188,0))</f>
        <v>0</v>
      </c>
      <c r="H177">
        <f>INDEX(weekly!$D$2:$D$188,MATCH('Marketing Campaigns 22.11.22'!L177,weekly!$H$2:$H$188,0))</f>
        <v>0</v>
      </c>
      <c r="I177">
        <f>INDEX(weekly!$F$2:$F$188,MATCH('Marketing Campaigns 22.11.22'!L177,weekly!$H$2:$H$188,0))</f>
        <v>0</v>
      </c>
      <c r="J177">
        <v>0</v>
      </c>
      <c r="K177">
        <v>0</v>
      </c>
      <c r="L177" t="str">
        <f t="shared" si="4"/>
        <v>11-3-2021</v>
      </c>
      <c r="M177">
        <f t="shared" si="5"/>
        <v>2021</v>
      </c>
    </row>
    <row r="178" spans="1:13" x14ac:dyDescent="0.2">
      <c r="A178" s="1">
        <v>44270</v>
      </c>
      <c r="B178">
        <v>11</v>
      </c>
      <c r="C178">
        <v>3</v>
      </c>
      <c r="D178">
        <v>1</v>
      </c>
      <c r="E178" t="s">
        <v>48</v>
      </c>
      <c r="F178">
        <v>0</v>
      </c>
      <c r="G178">
        <f>INDEX(weekly!$E$2:$E$188,MATCH('Marketing Campaigns 22.11.22'!L178,weekly!$H$2:$H$188,0))</f>
        <v>0</v>
      </c>
      <c r="H178">
        <f>INDEX(weekly!$D$2:$D$188,MATCH('Marketing Campaigns 22.11.22'!L178,weekly!$H$2:$H$188,0))</f>
        <v>0</v>
      </c>
      <c r="I178">
        <f>INDEX(weekly!$F$2:$F$188,MATCH('Marketing Campaigns 22.11.22'!L178,weekly!$H$2:$H$188,0))</f>
        <v>0</v>
      </c>
      <c r="J178">
        <v>0</v>
      </c>
      <c r="K178">
        <v>0</v>
      </c>
      <c r="L178" t="str">
        <f t="shared" si="4"/>
        <v>11-3-2021</v>
      </c>
      <c r="M178">
        <f t="shared" si="5"/>
        <v>2021</v>
      </c>
    </row>
    <row r="179" spans="1:13" x14ac:dyDescent="0.2">
      <c r="A179" s="1">
        <v>44270</v>
      </c>
      <c r="B179">
        <v>11</v>
      </c>
      <c r="C179">
        <v>3</v>
      </c>
      <c r="D179">
        <v>1</v>
      </c>
      <c r="E179" t="s">
        <v>49</v>
      </c>
      <c r="F179">
        <v>0</v>
      </c>
      <c r="G179">
        <f>INDEX(weekly!$E$2:$E$188,MATCH('Marketing Campaigns 22.11.22'!L179,weekly!$H$2:$H$188,0))</f>
        <v>0</v>
      </c>
      <c r="H179">
        <f>INDEX(weekly!$D$2:$D$188,MATCH('Marketing Campaigns 22.11.22'!L179,weekly!$H$2:$H$188,0))</f>
        <v>0</v>
      </c>
      <c r="I179">
        <f>INDEX(weekly!$F$2:$F$188,MATCH('Marketing Campaigns 22.11.22'!L179,weekly!$H$2:$H$188,0))</f>
        <v>0</v>
      </c>
      <c r="J179">
        <v>0</v>
      </c>
      <c r="K179">
        <v>0</v>
      </c>
      <c r="L179" t="str">
        <f t="shared" si="4"/>
        <v>11-3-2021</v>
      </c>
      <c r="M179">
        <f t="shared" si="5"/>
        <v>2021</v>
      </c>
    </row>
    <row r="180" spans="1:13" x14ac:dyDescent="0.2">
      <c r="A180" s="1">
        <v>44270</v>
      </c>
      <c r="B180">
        <v>11</v>
      </c>
      <c r="C180">
        <v>3</v>
      </c>
      <c r="D180">
        <v>1</v>
      </c>
      <c r="E180" t="s">
        <v>50</v>
      </c>
      <c r="F180">
        <v>0</v>
      </c>
      <c r="G180">
        <f>INDEX(weekly!$E$2:$E$188,MATCH('Marketing Campaigns 22.11.22'!L180,weekly!$H$2:$H$188,0))</f>
        <v>0</v>
      </c>
      <c r="H180">
        <f>INDEX(weekly!$D$2:$D$188,MATCH('Marketing Campaigns 22.11.22'!L180,weekly!$H$2:$H$188,0))</f>
        <v>0</v>
      </c>
      <c r="I180">
        <f>INDEX(weekly!$F$2:$F$188,MATCH('Marketing Campaigns 22.11.22'!L180,weekly!$H$2:$H$188,0))</f>
        <v>0</v>
      </c>
      <c r="J180">
        <v>0</v>
      </c>
      <c r="K180">
        <v>0</v>
      </c>
      <c r="L180" t="str">
        <f t="shared" si="4"/>
        <v>11-3-2021</v>
      </c>
      <c r="M180">
        <f t="shared" si="5"/>
        <v>2021</v>
      </c>
    </row>
    <row r="181" spans="1:13" x14ac:dyDescent="0.2">
      <c r="A181" s="1">
        <v>44270</v>
      </c>
      <c r="B181">
        <v>11</v>
      </c>
      <c r="C181">
        <v>3</v>
      </c>
      <c r="D181">
        <v>1</v>
      </c>
      <c r="E181" t="s">
        <v>51</v>
      </c>
      <c r="F181">
        <v>0</v>
      </c>
      <c r="G181">
        <f>INDEX(weekly!$E$2:$E$188,MATCH('Marketing Campaigns 22.11.22'!L181,weekly!$H$2:$H$188,0))</f>
        <v>0</v>
      </c>
      <c r="H181">
        <f>INDEX(weekly!$D$2:$D$188,MATCH('Marketing Campaigns 22.11.22'!L181,weekly!$H$2:$H$188,0))</f>
        <v>0</v>
      </c>
      <c r="I181">
        <f>INDEX(weekly!$F$2:$F$188,MATCH('Marketing Campaigns 22.11.22'!L181,weekly!$H$2:$H$188,0))</f>
        <v>0</v>
      </c>
      <c r="J181">
        <v>0</v>
      </c>
      <c r="K181">
        <v>0</v>
      </c>
      <c r="L181" t="str">
        <f t="shared" si="4"/>
        <v>11-3-2021</v>
      </c>
      <c r="M181">
        <f t="shared" si="5"/>
        <v>2021</v>
      </c>
    </row>
    <row r="182" spans="1:13" x14ac:dyDescent="0.2">
      <c r="A182" s="1">
        <v>44270</v>
      </c>
      <c r="B182">
        <v>11</v>
      </c>
      <c r="C182">
        <v>3</v>
      </c>
      <c r="D182">
        <v>1</v>
      </c>
      <c r="E182" t="s">
        <v>52</v>
      </c>
      <c r="F182">
        <v>0</v>
      </c>
      <c r="G182">
        <f>INDEX(weekly!$E$2:$E$188,MATCH('Marketing Campaigns 22.11.22'!L182,weekly!$H$2:$H$188,0))</f>
        <v>0</v>
      </c>
      <c r="H182">
        <f>INDEX(weekly!$D$2:$D$188,MATCH('Marketing Campaigns 22.11.22'!L182,weekly!$H$2:$H$188,0))</f>
        <v>0</v>
      </c>
      <c r="I182">
        <f>INDEX(weekly!$F$2:$F$188,MATCH('Marketing Campaigns 22.11.22'!L182,weekly!$H$2:$H$188,0))</f>
        <v>0</v>
      </c>
      <c r="J182">
        <v>0</v>
      </c>
      <c r="K182">
        <v>0</v>
      </c>
      <c r="L182" t="str">
        <f t="shared" si="4"/>
        <v>11-3-2021</v>
      </c>
      <c r="M182">
        <f t="shared" si="5"/>
        <v>2021</v>
      </c>
    </row>
    <row r="183" spans="1:13" x14ac:dyDescent="0.2">
      <c r="A183" s="1">
        <v>44277</v>
      </c>
      <c r="B183">
        <v>12</v>
      </c>
      <c r="C183">
        <v>3</v>
      </c>
      <c r="D183">
        <v>1</v>
      </c>
      <c r="E183" t="s">
        <v>24</v>
      </c>
      <c r="F183">
        <v>0</v>
      </c>
      <c r="G183">
        <f>INDEX(weekly!$E$2:$E$188,MATCH('Marketing Campaigns 22.11.22'!L183,weekly!$H$2:$H$188,0))</f>
        <v>0</v>
      </c>
      <c r="H183">
        <f>INDEX(weekly!$D$2:$D$188,MATCH('Marketing Campaigns 22.11.22'!L183,weekly!$H$2:$H$188,0))</f>
        <v>0</v>
      </c>
      <c r="I183">
        <f>INDEX(weekly!$F$2:$F$188,MATCH('Marketing Campaigns 22.11.22'!L183,weekly!$H$2:$H$188,0))</f>
        <v>0</v>
      </c>
      <c r="J183">
        <v>0</v>
      </c>
      <c r="K183">
        <v>0</v>
      </c>
      <c r="L183" t="str">
        <f t="shared" si="4"/>
        <v>12-3-2021</v>
      </c>
      <c r="M183">
        <f t="shared" si="5"/>
        <v>2021</v>
      </c>
    </row>
    <row r="184" spans="1:13" x14ac:dyDescent="0.2">
      <c r="A184" s="1">
        <v>44277</v>
      </c>
      <c r="B184">
        <v>12</v>
      </c>
      <c r="C184">
        <v>3</v>
      </c>
      <c r="D184">
        <v>1</v>
      </c>
      <c r="E184" t="s">
        <v>39</v>
      </c>
      <c r="F184">
        <v>0</v>
      </c>
      <c r="G184">
        <f>INDEX(weekly!$E$2:$E$188,MATCH('Marketing Campaigns 22.11.22'!L184,weekly!$H$2:$H$188,0))</f>
        <v>0</v>
      </c>
      <c r="H184">
        <f>INDEX(weekly!$D$2:$D$188,MATCH('Marketing Campaigns 22.11.22'!L184,weekly!$H$2:$H$188,0))</f>
        <v>0</v>
      </c>
      <c r="I184">
        <f>INDEX(weekly!$F$2:$F$188,MATCH('Marketing Campaigns 22.11.22'!L184,weekly!$H$2:$H$188,0))</f>
        <v>0</v>
      </c>
      <c r="J184">
        <v>0</v>
      </c>
      <c r="K184">
        <v>0</v>
      </c>
      <c r="L184" t="str">
        <f t="shared" si="4"/>
        <v>12-3-2021</v>
      </c>
      <c r="M184">
        <f t="shared" si="5"/>
        <v>2021</v>
      </c>
    </row>
    <row r="185" spans="1:13" x14ac:dyDescent="0.2">
      <c r="A185" s="1">
        <v>44277</v>
      </c>
      <c r="B185">
        <v>12</v>
      </c>
      <c r="C185">
        <v>3</v>
      </c>
      <c r="D185">
        <v>1</v>
      </c>
      <c r="E185" t="s">
        <v>40</v>
      </c>
      <c r="F185">
        <v>0</v>
      </c>
      <c r="G185">
        <f>INDEX(weekly!$E$2:$E$188,MATCH('Marketing Campaigns 22.11.22'!L185,weekly!$H$2:$H$188,0))</f>
        <v>0</v>
      </c>
      <c r="H185">
        <f>INDEX(weekly!$D$2:$D$188,MATCH('Marketing Campaigns 22.11.22'!L185,weekly!$H$2:$H$188,0))</f>
        <v>0</v>
      </c>
      <c r="I185">
        <f>INDEX(weekly!$F$2:$F$188,MATCH('Marketing Campaigns 22.11.22'!L185,weekly!$H$2:$H$188,0))</f>
        <v>0</v>
      </c>
      <c r="J185">
        <v>0</v>
      </c>
      <c r="K185">
        <v>0</v>
      </c>
      <c r="L185" t="str">
        <f t="shared" si="4"/>
        <v>12-3-2021</v>
      </c>
      <c r="M185">
        <f t="shared" si="5"/>
        <v>2021</v>
      </c>
    </row>
    <row r="186" spans="1:13" x14ac:dyDescent="0.2">
      <c r="A186" s="1">
        <v>44277</v>
      </c>
      <c r="B186">
        <v>12</v>
      </c>
      <c r="C186">
        <v>3</v>
      </c>
      <c r="D186">
        <v>1</v>
      </c>
      <c r="E186" t="s">
        <v>41</v>
      </c>
      <c r="F186">
        <v>0</v>
      </c>
      <c r="G186">
        <f>INDEX(weekly!$E$2:$E$188,MATCH('Marketing Campaigns 22.11.22'!L186,weekly!$H$2:$H$188,0))</f>
        <v>0</v>
      </c>
      <c r="H186">
        <f>INDEX(weekly!$D$2:$D$188,MATCH('Marketing Campaigns 22.11.22'!L186,weekly!$H$2:$H$188,0))</f>
        <v>0</v>
      </c>
      <c r="I186">
        <f>INDEX(weekly!$F$2:$F$188,MATCH('Marketing Campaigns 22.11.22'!L186,weekly!$H$2:$H$188,0))</f>
        <v>0</v>
      </c>
      <c r="J186">
        <v>0</v>
      </c>
      <c r="K186">
        <v>0</v>
      </c>
      <c r="L186" t="str">
        <f t="shared" si="4"/>
        <v>12-3-2021</v>
      </c>
      <c r="M186">
        <f t="shared" si="5"/>
        <v>2021</v>
      </c>
    </row>
    <row r="187" spans="1:13" x14ac:dyDescent="0.2">
      <c r="A187" s="1">
        <v>44277</v>
      </c>
      <c r="B187">
        <v>12</v>
      </c>
      <c r="C187">
        <v>3</v>
      </c>
      <c r="D187">
        <v>1</v>
      </c>
      <c r="E187" t="s">
        <v>42</v>
      </c>
      <c r="F187">
        <v>0</v>
      </c>
      <c r="G187">
        <f>INDEX(weekly!$E$2:$E$188,MATCH('Marketing Campaigns 22.11.22'!L187,weekly!$H$2:$H$188,0))</f>
        <v>0</v>
      </c>
      <c r="H187">
        <f>INDEX(weekly!$D$2:$D$188,MATCH('Marketing Campaigns 22.11.22'!L187,weekly!$H$2:$H$188,0))</f>
        <v>0</v>
      </c>
      <c r="I187">
        <f>INDEX(weekly!$F$2:$F$188,MATCH('Marketing Campaigns 22.11.22'!L187,weekly!$H$2:$H$188,0))</f>
        <v>0</v>
      </c>
      <c r="J187">
        <v>0</v>
      </c>
      <c r="K187">
        <v>0</v>
      </c>
      <c r="L187" t="str">
        <f t="shared" si="4"/>
        <v>12-3-2021</v>
      </c>
      <c r="M187">
        <f t="shared" si="5"/>
        <v>2021</v>
      </c>
    </row>
    <row r="188" spans="1:13" x14ac:dyDescent="0.2">
      <c r="A188" s="1">
        <v>44277</v>
      </c>
      <c r="B188">
        <v>12</v>
      </c>
      <c r="C188">
        <v>3</v>
      </c>
      <c r="D188">
        <v>1</v>
      </c>
      <c r="E188" t="s">
        <v>43</v>
      </c>
      <c r="F188">
        <v>0</v>
      </c>
      <c r="G188">
        <f>INDEX(weekly!$E$2:$E$188,MATCH('Marketing Campaigns 22.11.22'!L188,weekly!$H$2:$H$188,0))</f>
        <v>0</v>
      </c>
      <c r="H188">
        <f>INDEX(weekly!$D$2:$D$188,MATCH('Marketing Campaigns 22.11.22'!L188,weekly!$H$2:$H$188,0))</f>
        <v>0</v>
      </c>
      <c r="I188">
        <f>INDEX(weekly!$F$2:$F$188,MATCH('Marketing Campaigns 22.11.22'!L188,weekly!$H$2:$H$188,0))</f>
        <v>0</v>
      </c>
      <c r="J188">
        <v>0</v>
      </c>
      <c r="K188">
        <v>0</v>
      </c>
      <c r="L188" t="str">
        <f t="shared" si="4"/>
        <v>12-3-2021</v>
      </c>
      <c r="M188">
        <f t="shared" si="5"/>
        <v>2021</v>
      </c>
    </row>
    <row r="189" spans="1:13" x14ac:dyDescent="0.2">
      <c r="A189" s="1">
        <v>44277</v>
      </c>
      <c r="B189">
        <v>12</v>
      </c>
      <c r="C189">
        <v>3</v>
      </c>
      <c r="D189">
        <v>1</v>
      </c>
      <c r="E189" t="s">
        <v>44</v>
      </c>
      <c r="F189">
        <v>0</v>
      </c>
      <c r="G189">
        <f>INDEX(weekly!$E$2:$E$188,MATCH('Marketing Campaigns 22.11.22'!L189,weekly!$H$2:$H$188,0))</f>
        <v>0</v>
      </c>
      <c r="H189">
        <f>INDEX(weekly!$D$2:$D$188,MATCH('Marketing Campaigns 22.11.22'!L189,weekly!$H$2:$H$188,0))</f>
        <v>0</v>
      </c>
      <c r="I189">
        <f>INDEX(weekly!$F$2:$F$188,MATCH('Marketing Campaigns 22.11.22'!L189,weekly!$H$2:$H$188,0))</f>
        <v>0</v>
      </c>
      <c r="J189">
        <v>0</v>
      </c>
      <c r="K189">
        <v>0</v>
      </c>
      <c r="L189" t="str">
        <f t="shared" si="4"/>
        <v>12-3-2021</v>
      </c>
      <c r="M189">
        <f t="shared" si="5"/>
        <v>2021</v>
      </c>
    </row>
    <row r="190" spans="1:13" x14ac:dyDescent="0.2">
      <c r="A190" s="1">
        <v>44277</v>
      </c>
      <c r="B190">
        <v>12</v>
      </c>
      <c r="C190">
        <v>3</v>
      </c>
      <c r="D190">
        <v>1</v>
      </c>
      <c r="E190" t="s">
        <v>45</v>
      </c>
      <c r="F190">
        <v>0</v>
      </c>
      <c r="G190">
        <f>INDEX(weekly!$E$2:$E$188,MATCH('Marketing Campaigns 22.11.22'!L190,weekly!$H$2:$H$188,0))</f>
        <v>0</v>
      </c>
      <c r="H190">
        <f>INDEX(weekly!$D$2:$D$188,MATCH('Marketing Campaigns 22.11.22'!L190,weekly!$H$2:$H$188,0))</f>
        <v>0</v>
      </c>
      <c r="I190">
        <f>INDEX(weekly!$F$2:$F$188,MATCH('Marketing Campaigns 22.11.22'!L190,weekly!$H$2:$H$188,0))</f>
        <v>0</v>
      </c>
      <c r="J190">
        <v>0</v>
      </c>
      <c r="K190">
        <v>0</v>
      </c>
      <c r="L190" t="str">
        <f t="shared" si="4"/>
        <v>12-3-2021</v>
      </c>
      <c r="M190">
        <f t="shared" si="5"/>
        <v>2021</v>
      </c>
    </row>
    <row r="191" spans="1:13" x14ac:dyDescent="0.2">
      <c r="A191" s="1">
        <v>44277</v>
      </c>
      <c r="B191">
        <v>12</v>
      </c>
      <c r="C191">
        <v>3</v>
      </c>
      <c r="D191">
        <v>1</v>
      </c>
      <c r="E191" t="s">
        <v>46</v>
      </c>
      <c r="F191">
        <v>0</v>
      </c>
      <c r="G191">
        <f>INDEX(weekly!$E$2:$E$188,MATCH('Marketing Campaigns 22.11.22'!L191,weekly!$H$2:$H$188,0))</f>
        <v>0</v>
      </c>
      <c r="H191">
        <f>INDEX(weekly!$D$2:$D$188,MATCH('Marketing Campaigns 22.11.22'!L191,weekly!$H$2:$H$188,0))</f>
        <v>0</v>
      </c>
      <c r="I191">
        <f>INDEX(weekly!$F$2:$F$188,MATCH('Marketing Campaigns 22.11.22'!L191,weekly!$H$2:$H$188,0))</f>
        <v>0</v>
      </c>
      <c r="J191">
        <v>0</v>
      </c>
      <c r="K191">
        <v>0</v>
      </c>
      <c r="L191" t="str">
        <f t="shared" si="4"/>
        <v>12-3-2021</v>
      </c>
      <c r="M191">
        <f t="shared" si="5"/>
        <v>2021</v>
      </c>
    </row>
    <row r="192" spans="1:13" x14ac:dyDescent="0.2">
      <c r="A192" s="1">
        <v>44277</v>
      </c>
      <c r="B192">
        <v>12</v>
      </c>
      <c r="C192">
        <v>3</v>
      </c>
      <c r="D192">
        <v>1</v>
      </c>
      <c r="E192" t="s">
        <v>47</v>
      </c>
      <c r="F192">
        <v>0</v>
      </c>
      <c r="G192">
        <f>INDEX(weekly!$E$2:$E$188,MATCH('Marketing Campaigns 22.11.22'!L192,weekly!$H$2:$H$188,0))</f>
        <v>0</v>
      </c>
      <c r="H192">
        <f>INDEX(weekly!$D$2:$D$188,MATCH('Marketing Campaigns 22.11.22'!L192,weekly!$H$2:$H$188,0))</f>
        <v>0</v>
      </c>
      <c r="I192">
        <f>INDEX(weekly!$F$2:$F$188,MATCH('Marketing Campaigns 22.11.22'!L192,weekly!$H$2:$H$188,0))</f>
        <v>0</v>
      </c>
      <c r="J192">
        <v>0</v>
      </c>
      <c r="K192">
        <v>0</v>
      </c>
      <c r="L192" t="str">
        <f t="shared" si="4"/>
        <v>12-3-2021</v>
      </c>
      <c r="M192">
        <f t="shared" si="5"/>
        <v>2021</v>
      </c>
    </row>
    <row r="193" spans="1:13" x14ac:dyDescent="0.2">
      <c r="A193" s="1">
        <v>44277</v>
      </c>
      <c r="B193">
        <v>12</v>
      </c>
      <c r="C193">
        <v>3</v>
      </c>
      <c r="D193">
        <v>1</v>
      </c>
      <c r="E193" t="s">
        <v>48</v>
      </c>
      <c r="F193">
        <v>0</v>
      </c>
      <c r="G193">
        <f>INDEX(weekly!$E$2:$E$188,MATCH('Marketing Campaigns 22.11.22'!L193,weekly!$H$2:$H$188,0))</f>
        <v>0</v>
      </c>
      <c r="H193">
        <f>INDEX(weekly!$D$2:$D$188,MATCH('Marketing Campaigns 22.11.22'!L193,weekly!$H$2:$H$188,0))</f>
        <v>0</v>
      </c>
      <c r="I193">
        <f>INDEX(weekly!$F$2:$F$188,MATCH('Marketing Campaigns 22.11.22'!L193,weekly!$H$2:$H$188,0))</f>
        <v>0</v>
      </c>
      <c r="J193">
        <v>0</v>
      </c>
      <c r="K193">
        <v>0</v>
      </c>
      <c r="L193" t="str">
        <f t="shared" si="4"/>
        <v>12-3-2021</v>
      </c>
      <c r="M193">
        <f t="shared" si="5"/>
        <v>2021</v>
      </c>
    </row>
    <row r="194" spans="1:13" x14ac:dyDescent="0.2">
      <c r="A194" s="1">
        <v>44277</v>
      </c>
      <c r="B194">
        <v>12</v>
      </c>
      <c r="C194">
        <v>3</v>
      </c>
      <c r="D194">
        <v>1</v>
      </c>
      <c r="E194" t="s">
        <v>49</v>
      </c>
      <c r="F194">
        <v>0</v>
      </c>
      <c r="G194">
        <f>INDEX(weekly!$E$2:$E$188,MATCH('Marketing Campaigns 22.11.22'!L194,weekly!$H$2:$H$188,0))</f>
        <v>0</v>
      </c>
      <c r="H194">
        <f>INDEX(weekly!$D$2:$D$188,MATCH('Marketing Campaigns 22.11.22'!L194,weekly!$H$2:$H$188,0))</f>
        <v>0</v>
      </c>
      <c r="I194">
        <f>INDEX(weekly!$F$2:$F$188,MATCH('Marketing Campaigns 22.11.22'!L194,weekly!$H$2:$H$188,0))</f>
        <v>0</v>
      </c>
      <c r="J194">
        <v>0</v>
      </c>
      <c r="K194">
        <v>0</v>
      </c>
      <c r="L194" t="str">
        <f t="shared" si="4"/>
        <v>12-3-2021</v>
      </c>
      <c r="M194">
        <f t="shared" si="5"/>
        <v>2021</v>
      </c>
    </row>
    <row r="195" spans="1:13" x14ac:dyDescent="0.2">
      <c r="A195" s="1">
        <v>44277</v>
      </c>
      <c r="B195">
        <v>12</v>
      </c>
      <c r="C195">
        <v>3</v>
      </c>
      <c r="D195">
        <v>1</v>
      </c>
      <c r="E195" t="s">
        <v>50</v>
      </c>
      <c r="F195">
        <v>0</v>
      </c>
      <c r="G195">
        <f>INDEX(weekly!$E$2:$E$188,MATCH('Marketing Campaigns 22.11.22'!L195,weekly!$H$2:$H$188,0))</f>
        <v>0</v>
      </c>
      <c r="H195">
        <f>INDEX(weekly!$D$2:$D$188,MATCH('Marketing Campaigns 22.11.22'!L195,weekly!$H$2:$H$188,0))</f>
        <v>0</v>
      </c>
      <c r="I195">
        <f>INDEX(weekly!$F$2:$F$188,MATCH('Marketing Campaigns 22.11.22'!L195,weekly!$H$2:$H$188,0))</f>
        <v>0</v>
      </c>
      <c r="J195">
        <v>0</v>
      </c>
      <c r="K195">
        <v>0</v>
      </c>
      <c r="L195" t="str">
        <f t="shared" si="4"/>
        <v>12-3-2021</v>
      </c>
      <c r="M195">
        <f t="shared" si="5"/>
        <v>2021</v>
      </c>
    </row>
    <row r="196" spans="1:13" x14ac:dyDescent="0.2">
      <c r="A196" s="1">
        <v>44277</v>
      </c>
      <c r="B196">
        <v>12</v>
      </c>
      <c r="C196">
        <v>3</v>
      </c>
      <c r="D196">
        <v>1</v>
      </c>
      <c r="E196" t="s">
        <v>51</v>
      </c>
      <c r="F196">
        <v>0</v>
      </c>
      <c r="G196">
        <f>INDEX(weekly!$E$2:$E$188,MATCH('Marketing Campaigns 22.11.22'!L196,weekly!$H$2:$H$188,0))</f>
        <v>0</v>
      </c>
      <c r="H196">
        <f>INDEX(weekly!$D$2:$D$188,MATCH('Marketing Campaigns 22.11.22'!L196,weekly!$H$2:$H$188,0))</f>
        <v>0</v>
      </c>
      <c r="I196">
        <f>INDEX(weekly!$F$2:$F$188,MATCH('Marketing Campaigns 22.11.22'!L196,weekly!$H$2:$H$188,0))</f>
        <v>0</v>
      </c>
      <c r="J196">
        <v>0</v>
      </c>
      <c r="K196">
        <v>0</v>
      </c>
      <c r="L196" t="str">
        <f t="shared" ref="L196:L259" si="6">B196&amp;"-"&amp;C196&amp;"-"&amp;M196</f>
        <v>12-3-2021</v>
      </c>
      <c r="M196">
        <f t="shared" ref="M196:M259" si="7">YEAR(A196)</f>
        <v>2021</v>
      </c>
    </row>
    <row r="197" spans="1:13" x14ac:dyDescent="0.2">
      <c r="A197" s="1">
        <v>44277</v>
      </c>
      <c r="B197">
        <v>12</v>
      </c>
      <c r="C197">
        <v>3</v>
      </c>
      <c r="D197">
        <v>1</v>
      </c>
      <c r="E197" t="s">
        <v>52</v>
      </c>
      <c r="F197">
        <v>0</v>
      </c>
      <c r="G197">
        <f>INDEX(weekly!$E$2:$E$188,MATCH('Marketing Campaigns 22.11.22'!L197,weekly!$H$2:$H$188,0))</f>
        <v>0</v>
      </c>
      <c r="H197">
        <f>INDEX(weekly!$D$2:$D$188,MATCH('Marketing Campaigns 22.11.22'!L197,weekly!$H$2:$H$188,0))</f>
        <v>0</v>
      </c>
      <c r="I197">
        <f>INDEX(weekly!$F$2:$F$188,MATCH('Marketing Campaigns 22.11.22'!L197,weekly!$H$2:$H$188,0))</f>
        <v>0</v>
      </c>
      <c r="J197">
        <v>0</v>
      </c>
      <c r="K197">
        <v>0</v>
      </c>
      <c r="L197" t="str">
        <f t="shared" si="6"/>
        <v>12-3-2021</v>
      </c>
      <c r="M197">
        <f t="shared" si="7"/>
        <v>2021</v>
      </c>
    </row>
    <row r="198" spans="1:13" x14ac:dyDescent="0.2">
      <c r="A198" s="1">
        <v>44284</v>
      </c>
      <c r="B198">
        <v>13</v>
      </c>
      <c r="C198">
        <v>3</v>
      </c>
      <c r="D198">
        <v>1</v>
      </c>
      <c r="E198" t="s">
        <v>24</v>
      </c>
      <c r="F198">
        <v>0</v>
      </c>
      <c r="G198">
        <f>INDEX(weekly!$E$2:$E$188,MATCH('Marketing Campaigns 22.11.22'!L198,weekly!$H$2:$H$188,0))</f>
        <v>0</v>
      </c>
      <c r="H198">
        <f>INDEX(weekly!$D$2:$D$188,MATCH('Marketing Campaigns 22.11.22'!L198,weekly!$H$2:$H$188,0))</f>
        <v>0</v>
      </c>
      <c r="I198">
        <f>INDEX(weekly!$F$2:$F$188,MATCH('Marketing Campaigns 22.11.22'!L198,weekly!$H$2:$H$188,0))</f>
        <v>0</v>
      </c>
      <c r="J198">
        <v>0</v>
      </c>
      <c r="K198">
        <v>0</v>
      </c>
      <c r="L198" t="str">
        <f t="shared" si="6"/>
        <v>13-3-2021</v>
      </c>
      <c r="M198">
        <f t="shared" si="7"/>
        <v>2021</v>
      </c>
    </row>
    <row r="199" spans="1:13" x14ac:dyDescent="0.2">
      <c r="A199" s="1">
        <v>44284</v>
      </c>
      <c r="B199">
        <v>13</v>
      </c>
      <c r="C199">
        <v>3</v>
      </c>
      <c r="D199">
        <v>1</v>
      </c>
      <c r="E199" t="s">
        <v>39</v>
      </c>
      <c r="F199">
        <v>0</v>
      </c>
      <c r="G199">
        <f>INDEX(weekly!$E$2:$E$188,MATCH('Marketing Campaigns 22.11.22'!L199,weekly!$H$2:$H$188,0))</f>
        <v>0</v>
      </c>
      <c r="H199">
        <f>INDEX(weekly!$D$2:$D$188,MATCH('Marketing Campaigns 22.11.22'!L199,weekly!$H$2:$H$188,0))</f>
        <v>0</v>
      </c>
      <c r="I199">
        <f>INDEX(weekly!$F$2:$F$188,MATCH('Marketing Campaigns 22.11.22'!L199,weekly!$H$2:$H$188,0))</f>
        <v>0</v>
      </c>
      <c r="J199">
        <v>0</v>
      </c>
      <c r="K199">
        <v>0</v>
      </c>
      <c r="L199" t="str">
        <f t="shared" si="6"/>
        <v>13-3-2021</v>
      </c>
      <c r="M199">
        <f t="shared" si="7"/>
        <v>2021</v>
      </c>
    </row>
    <row r="200" spans="1:13" x14ac:dyDescent="0.2">
      <c r="A200" s="1">
        <v>44284</v>
      </c>
      <c r="B200">
        <v>13</v>
      </c>
      <c r="C200">
        <v>3</v>
      </c>
      <c r="D200">
        <v>1</v>
      </c>
      <c r="E200" t="s">
        <v>40</v>
      </c>
      <c r="F200">
        <v>0</v>
      </c>
      <c r="G200">
        <f>INDEX(weekly!$E$2:$E$188,MATCH('Marketing Campaigns 22.11.22'!L200,weekly!$H$2:$H$188,0))</f>
        <v>0</v>
      </c>
      <c r="H200">
        <f>INDEX(weekly!$D$2:$D$188,MATCH('Marketing Campaigns 22.11.22'!L200,weekly!$H$2:$H$188,0))</f>
        <v>0</v>
      </c>
      <c r="I200">
        <f>INDEX(weekly!$F$2:$F$188,MATCH('Marketing Campaigns 22.11.22'!L200,weekly!$H$2:$H$188,0))</f>
        <v>0</v>
      </c>
      <c r="J200">
        <v>0</v>
      </c>
      <c r="K200">
        <v>0</v>
      </c>
      <c r="L200" t="str">
        <f t="shared" si="6"/>
        <v>13-3-2021</v>
      </c>
      <c r="M200">
        <f t="shared" si="7"/>
        <v>2021</v>
      </c>
    </row>
    <row r="201" spans="1:13" x14ac:dyDescent="0.2">
      <c r="A201" s="1">
        <v>44284</v>
      </c>
      <c r="B201">
        <v>13</v>
      </c>
      <c r="C201">
        <v>3</v>
      </c>
      <c r="D201">
        <v>1</v>
      </c>
      <c r="E201" t="s">
        <v>41</v>
      </c>
      <c r="F201">
        <v>0</v>
      </c>
      <c r="G201">
        <f>INDEX(weekly!$E$2:$E$188,MATCH('Marketing Campaigns 22.11.22'!L201,weekly!$H$2:$H$188,0))</f>
        <v>0</v>
      </c>
      <c r="H201">
        <f>INDEX(weekly!$D$2:$D$188,MATCH('Marketing Campaigns 22.11.22'!L201,weekly!$H$2:$H$188,0))</f>
        <v>0</v>
      </c>
      <c r="I201">
        <f>INDEX(weekly!$F$2:$F$188,MATCH('Marketing Campaigns 22.11.22'!L201,weekly!$H$2:$H$188,0))</f>
        <v>0</v>
      </c>
      <c r="J201">
        <v>0</v>
      </c>
      <c r="K201">
        <v>0</v>
      </c>
      <c r="L201" t="str">
        <f t="shared" si="6"/>
        <v>13-3-2021</v>
      </c>
      <c r="M201">
        <f t="shared" si="7"/>
        <v>2021</v>
      </c>
    </row>
    <row r="202" spans="1:13" x14ac:dyDescent="0.2">
      <c r="A202" s="1">
        <v>44284</v>
      </c>
      <c r="B202">
        <v>13</v>
      </c>
      <c r="C202">
        <v>3</v>
      </c>
      <c r="D202">
        <v>1</v>
      </c>
      <c r="E202" t="s">
        <v>42</v>
      </c>
      <c r="F202">
        <v>0</v>
      </c>
      <c r="G202">
        <f>INDEX(weekly!$E$2:$E$188,MATCH('Marketing Campaigns 22.11.22'!L202,weekly!$H$2:$H$188,0))</f>
        <v>0</v>
      </c>
      <c r="H202">
        <f>INDEX(weekly!$D$2:$D$188,MATCH('Marketing Campaigns 22.11.22'!L202,weekly!$H$2:$H$188,0))</f>
        <v>0</v>
      </c>
      <c r="I202">
        <f>INDEX(weekly!$F$2:$F$188,MATCH('Marketing Campaigns 22.11.22'!L202,weekly!$H$2:$H$188,0))</f>
        <v>0</v>
      </c>
      <c r="J202">
        <v>0</v>
      </c>
      <c r="K202">
        <v>0</v>
      </c>
      <c r="L202" t="str">
        <f t="shared" si="6"/>
        <v>13-3-2021</v>
      </c>
      <c r="M202">
        <f t="shared" si="7"/>
        <v>2021</v>
      </c>
    </row>
    <row r="203" spans="1:13" x14ac:dyDescent="0.2">
      <c r="A203" s="1">
        <v>44284</v>
      </c>
      <c r="B203">
        <v>13</v>
      </c>
      <c r="C203">
        <v>3</v>
      </c>
      <c r="D203">
        <v>1</v>
      </c>
      <c r="E203" t="s">
        <v>43</v>
      </c>
      <c r="F203">
        <v>0</v>
      </c>
      <c r="G203">
        <f>INDEX(weekly!$E$2:$E$188,MATCH('Marketing Campaigns 22.11.22'!L203,weekly!$H$2:$H$188,0))</f>
        <v>0</v>
      </c>
      <c r="H203">
        <f>INDEX(weekly!$D$2:$D$188,MATCH('Marketing Campaigns 22.11.22'!L203,weekly!$H$2:$H$188,0))</f>
        <v>0</v>
      </c>
      <c r="I203">
        <f>INDEX(weekly!$F$2:$F$188,MATCH('Marketing Campaigns 22.11.22'!L203,weekly!$H$2:$H$188,0))</f>
        <v>0</v>
      </c>
      <c r="J203">
        <v>0</v>
      </c>
      <c r="K203">
        <v>0</v>
      </c>
      <c r="L203" t="str">
        <f t="shared" si="6"/>
        <v>13-3-2021</v>
      </c>
      <c r="M203">
        <f t="shared" si="7"/>
        <v>2021</v>
      </c>
    </row>
    <row r="204" spans="1:13" x14ac:dyDescent="0.2">
      <c r="A204" s="1">
        <v>44284</v>
      </c>
      <c r="B204">
        <v>13</v>
      </c>
      <c r="C204">
        <v>3</v>
      </c>
      <c r="D204">
        <v>1</v>
      </c>
      <c r="E204" t="s">
        <v>44</v>
      </c>
      <c r="F204">
        <v>0</v>
      </c>
      <c r="G204">
        <f>INDEX(weekly!$E$2:$E$188,MATCH('Marketing Campaigns 22.11.22'!L204,weekly!$H$2:$H$188,0))</f>
        <v>0</v>
      </c>
      <c r="H204">
        <f>INDEX(weekly!$D$2:$D$188,MATCH('Marketing Campaigns 22.11.22'!L204,weekly!$H$2:$H$188,0))</f>
        <v>0</v>
      </c>
      <c r="I204">
        <f>INDEX(weekly!$F$2:$F$188,MATCH('Marketing Campaigns 22.11.22'!L204,weekly!$H$2:$H$188,0))</f>
        <v>0</v>
      </c>
      <c r="J204">
        <v>0</v>
      </c>
      <c r="K204">
        <v>0</v>
      </c>
      <c r="L204" t="str">
        <f t="shared" si="6"/>
        <v>13-3-2021</v>
      </c>
      <c r="M204">
        <f t="shared" si="7"/>
        <v>2021</v>
      </c>
    </row>
    <row r="205" spans="1:13" x14ac:dyDescent="0.2">
      <c r="A205" s="1">
        <v>44284</v>
      </c>
      <c r="B205">
        <v>13</v>
      </c>
      <c r="C205">
        <v>3</v>
      </c>
      <c r="D205">
        <v>1</v>
      </c>
      <c r="E205" t="s">
        <v>45</v>
      </c>
      <c r="F205">
        <v>0</v>
      </c>
      <c r="G205">
        <f>INDEX(weekly!$E$2:$E$188,MATCH('Marketing Campaigns 22.11.22'!L205,weekly!$H$2:$H$188,0))</f>
        <v>0</v>
      </c>
      <c r="H205">
        <f>INDEX(weekly!$D$2:$D$188,MATCH('Marketing Campaigns 22.11.22'!L205,weekly!$H$2:$H$188,0))</f>
        <v>0</v>
      </c>
      <c r="I205">
        <f>INDEX(weekly!$F$2:$F$188,MATCH('Marketing Campaigns 22.11.22'!L205,weekly!$H$2:$H$188,0))</f>
        <v>0</v>
      </c>
      <c r="J205">
        <v>0</v>
      </c>
      <c r="K205">
        <v>0</v>
      </c>
      <c r="L205" t="str">
        <f t="shared" si="6"/>
        <v>13-3-2021</v>
      </c>
      <c r="M205">
        <f t="shared" si="7"/>
        <v>2021</v>
      </c>
    </row>
    <row r="206" spans="1:13" x14ac:dyDescent="0.2">
      <c r="A206" s="1">
        <v>44284</v>
      </c>
      <c r="B206">
        <v>13</v>
      </c>
      <c r="C206">
        <v>3</v>
      </c>
      <c r="D206">
        <v>1</v>
      </c>
      <c r="E206" t="s">
        <v>46</v>
      </c>
      <c r="F206">
        <v>0</v>
      </c>
      <c r="G206">
        <f>INDEX(weekly!$E$2:$E$188,MATCH('Marketing Campaigns 22.11.22'!L206,weekly!$H$2:$H$188,0))</f>
        <v>0</v>
      </c>
      <c r="H206">
        <f>INDEX(weekly!$D$2:$D$188,MATCH('Marketing Campaigns 22.11.22'!L206,weekly!$H$2:$H$188,0))</f>
        <v>0</v>
      </c>
      <c r="I206">
        <f>INDEX(weekly!$F$2:$F$188,MATCH('Marketing Campaigns 22.11.22'!L206,weekly!$H$2:$H$188,0))</f>
        <v>0</v>
      </c>
      <c r="J206">
        <v>0</v>
      </c>
      <c r="K206">
        <v>0</v>
      </c>
      <c r="L206" t="str">
        <f t="shared" si="6"/>
        <v>13-3-2021</v>
      </c>
      <c r="M206">
        <f t="shared" si="7"/>
        <v>2021</v>
      </c>
    </row>
    <row r="207" spans="1:13" x14ac:dyDescent="0.2">
      <c r="A207" s="1">
        <v>44284</v>
      </c>
      <c r="B207">
        <v>13</v>
      </c>
      <c r="C207">
        <v>3</v>
      </c>
      <c r="D207">
        <v>1</v>
      </c>
      <c r="E207" t="s">
        <v>47</v>
      </c>
      <c r="F207">
        <v>0</v>
      </c>
      <c r="G207">
        <f>INDEX(weekly!$E$2:$E$188,MATCH('Marketing Campaigns 22.11.22'!L207,weekly!$H$2:$H$188,0))</f>
        <v>0</v>
      </c>
      <c r="H207">
        <f>INDEX(weekly!$D$2:$D$188,MATCH('Marketing Campaigns 22.11.22'!L207,weekly!$H$2:$H$188,0))</f>
        <v>0</v>
      </c>
      <c r="I207">
        <f>INDEX(weekly!$F$2:$F$188,MATCH('Marketing Campaigns 22.11.22'!L207,weekly!$H$2:$H$188,0))</f>
        <v>0</v>
      </c>
      <c r="J207">
        <v>0</v>
      </c>
      <c r="K207">
        <v>0</v>
      </c>
      <c r="L207" t="str">
        <f t="shared" si="6"/>
        <v>13-3-2021</v>
      </c>
      <c r="M207">
        <f t="shared" si="7"/>
        <v>2021</v>
      </c>
    </row>
    <row r="208" spans="1:13" x14ac:dyDescent="0.2">
      <c r="A208" s="1">
        <v>44284</v>
      </c>
      <c r="B208">
        <v>13</v>
      </c>
      <c r="C208">
        <v>3</v>
      </c>
      <c r="D208">
        <v>1</v>
      </c>
      <c r="E208" t="s">
        <v>48</v>
      </c>
      <c r="F208">
        <v>0</v>
      </c>
      <c r="G208">
        <f>INDEX(weekly!$E$2:$E$188,MATCH('Marketing Campaigns 22.11.22'!L208,weekly!$H$2:$H$188,0))</f>
        <v>0</v>
      </c>
      <c r="H208">
        <f>INDEX(weekly!$D$2:$D$188,MATCH('Marketing Campaigns 22.11.22'!L208,weekly!$H$2:$H$188,0))</f>
        <v>0</v>
      </c>
      <c r="I208">
        <f>INDEX(weekly!$F$2:$F$188,MATCH('Marketing Campaigns 22.11.22'!L208,weekly!$H$2:$H$188,0))</f>
        <v>0</v>
      </c>
      <c r="J208">
        <v>0</v>
      </c>
      <c r="K208">
        <v>0</v>
      </c>
      <c r="L208" t="str">
        <f t="shared" si="6"/>
        <v>13-3-2021</v>
      </c>
      <c r="M208">
        <f t="shared" si="7"/>
        <v>2021</v>
      </c>
    </row>
    <row r="209" spans="1:13" x14ac:dyDescent="0.2">
      <c r="A209" s="1">
        <v>44284</v>
      </c>
      <c r="B209">
        <v>13</v>
      </c>
      <c r="C209">
        <v>3</v>
      </c>
      <c r="D209">
        <v>1</v>
      </c>
      <c r="E209" t="s">
        <v>49</v>
      </c>
      <c r="F209">
        <v>0</v>
      </c>
      <c r="G209">
        <f>INDEX(weekly!$E$2:$E$188,MATCH('Marketing Campaigns 22.11.22'!L209,weekly!$H$2:$H$188,0))</f>
        <v>0</v>
      </c>
      <c r="H209">
        <f>INDEX(weekly!$D$2:$D$188,MATCH('Marketing Campaigns 22.11.22'!L209,weekly!$H$2:$H$188,0))</f>
        <v>0</v>
      </c>
      <c r="I209">
        <f>INDEX(weekly!$F$2:$F$188,MATCH('Marketing Campaigns 22.11.22'!L209,weekly!$H$2:$H$188,0))</f>
        <v>0</v>
      </c>
      <c r="J209">
        <v>0</v>
      </c>
      <c r="K209">
        <v>0</v>
      </c>
      <c r="L209" t="str">
        <f t="shared" si="6"/>
        <v>13-3-2021</v>
      </c>
      <c r="M209">
        <f t="shared" si="7"/>
        <v>2021</v>
      </c>
    </row>
    <row r="210" spans="1:13" x14ac:dyDescent="0.2">
      <c r="A210" s="1">
        <v>44284</v>
      </c>
      <c r="B210">
        <v>13</v>
      </c>
      <c r="C210">
        <v>3</v>
      </c>
      <c r="D210">
        <v>1</v>
      </c>
      <c r="E210" t="s">
        <v>50</v>
      </c>
      <c r="F210">
        <v>0</v>
      </c>
      <c r="G210">
        <f>INDEX(weekly!$E$2:$E$188,MATCH('Marketing Campaigns 22.11.22'!L210,weekly!$H$2:$H$188,0))</f>
        <v>0</v>
      </c>
      <c r="H210">
        <f>INDEX(weekly!$D$2:$D$188,MATCH('Marketing Campaigns 22.11.22'!L210,weekly!$H$2:$H$188,0))</f>
        <v>0</v>
      </c>
      <c r="I210">
        <f>INDEX(weekly!$F$2:$F$188,MATCH('Marketing Campaigns 22.11.22'!L210,weekly!$H$2:$H$188,0))</f>
        <v>0</v>
      </c>
      <c r="J210">
        <v>0</v>
      </c>
      <c r="K210">
        <v>0</v>
      </c>
      <c r="L210" t="str">
        <f t="shared" si="6"/>
        <v>13-3-2021</v>
      </c>
      <c r="M210">
        <f t="shared" si="7"/>
        <v>2021</v>
      </c>
    </row>
    <row r="211" spans="1:13" x14ac:dyDescent="0.2">
      <c r="A211" s="1">
        <v>44284</v>
      </c>
      <c r="B211">
        <v>13</v>
      </c>
      <c r="C211">
        <v>3</v>
      </c>
      <c r="D211">
        <v>1</v>
      </c>
      <c r="E211" t="s">
        <v>51</v>
      </c>
      <c r="F211">
        <v>0</v>
      </c>
      <c r="G211">
        <f>INDEX(weekly!$E$2:$E$188,MATCH('Marketing Campaigns 22.11.22'!L211,weekly!$H$2:$H$188,0))</f>
        <v>0</v>
      </c>
      <c r="H211">
        <f>INDEX(weekly!$D$2:$D$188,MATCH('Marketing Campaigns 22.11.22'!L211,weekly!$H$2:$H$188,0))</f>
        <v>0</v>
      </c>
      <c r="I211">
        <f>INDEX(weekly!$F$2:$F$188,MATCH('Marketing Campaigns 22.11.22'!L211,weekly!$H$2:$H$188,0))</f>
        <v>0</v>
      </c>
      <c r="J211">
        <v>0</v>
      </c>
      <c r="K211">
        <v>0</v>
      </c>
      <c r="L211" t="str">
        <f t="shared" si="6"/>
        <v>13-3-2021</v>
      </c>
      <c r="M211">
        <f t="shared" si="7"/>
        <v>2021</v>
      </c>
    </row>
    <row r="212" spans="1:13" x14ac:dyDescent="0.2">
      <c r="A212" s="1">
        <v>44284</v>
      </c>
      <c r="B212">
        <v>13</v>
      </c>
      <c r="C212">
        <v>3</v>
      </c>
      <c r="D212">
        <v>1</v>
      </c>
      <c r="E212" t="s">
        <v>52</v>
      </c>
      <c r="F212">
        <v>0</v>
      </c>
      <c r="G212">
        <f>INDEX(weekly!$E$2:$E$188,MATCH('Marketing Campaigns 22.11.22'!L212,weekly!$H$2:$H$188,0))</f>
        <v>0</v>
      </c>
      <c r="H212">
        <f>INDEX(weekly!$D$2:$D$188,MATCH('Marketing Campaigns 22.11.22'!L212,weekly!$H$2:$H$188,0))</f>
        <v>0</v>
      </c>
      <c r="I212">
        <f>INDEX(weekly!$F$2:$F$188,MATCH('Marketing Campaigns 22.11.22'!L212,weekly!$H$2:$H$188,0))</f>
        <v>0</v>
      </c>
      <c r="J212">
        <v>0</v>
      </c>
      <c r="K212">
        <v>0</v>
      </c>
      <c r="L212" t="str">
        <f t="shared" si="6"/>
        <v>13-3-2021</v>
      </c>
      <c r="M212">
        <f t="shared" si="7"/>
        <v>2021</v>
      </c>
    </row>
    <row r="213" spans="1:13" x14ac:dyDescent="0.2">
      <c r="A213" s="1">
        <v>44291</v>
      </c>
      <c r="B213">
        <v>14</v>
      </c>
      <c r="C213">
        <v>4</v>
      </c>
      <c r="D213">
        <v>2</v>
      </c>
      <c r="E213" t="s">
        <v>24</v>
      </c>
      <c r="F213">
        <v>0</v>
      </c>
      <c r="G213">
        <f>INDEX(weekly!$E$2:$E$188,MATCH('Marketing Campaigns 22.11.22'!L213,weekly!$H$2:$H$188,0))</f>
        <v>0</v>
      </c>
      <c r="H213">
        <f>INDEX(weekly!$D$2:$D$188,MATCH('Marketing Campaigns 22.11.22'!L213,weekly!$H$2:$H$188,0))</f>
        <v>0</v>
      </c>
      <c r="I213">
        <f>INDEX(weekly!$F$2:$F$188,MATCH('Marketing Campaigns 22.11.22'!L213,weekly!$H$2:$H$188,0))</f>
        <v>0</v>
      </c>
      <c r="J213">
        <v>0</v>
      </c>
      <c r="K213">
        <v>0</v>
      </c>
      <c r="L213" t="str">
        <f t="shared" si="6"/>
        <v>14-4-2021</v>
      </c>
      <c r="M213">
        <f t="shared" si="7"/>
        <v>2021</v>
      </c>
    </row>
    <row r="214" spans="1:13" x14ac:dyDescent="0.2">
      <c r="A214" s="1">
        <v>44291</v>
      </c>
      <c r="B214">
        <v>14</v>
      </c>
      <c r="C214">
        <v>4</v>
      </c>
      <c r="D214">
        <v>2</v>
      </c>
      <c r="E214" t="s">
        <v>39</v>
      </c>
      <c r="F214">
        <v>0</v>
      </c>
      <c r="G214">
        <f>INDEX(weekly!$E$2:$E$188,MATCH('Marketing Campaigns 22.11.22'!L214,weekly!$H$2:$H$188,0))</f>
        <v>0</v>
      </c>
      <c r="H214">
        <f>INDEX(weekly!$D$2:$D$188,MATCH('Marketing Campaigns 22.11.22'!L214,weekly!$H$2:$H$188,0))</f>
        <v>0</v>
      </c>
      <c r="I214">
        <f>INDEX(weekly!$F$2:$F$188,MATCH('Marketing Campaigns 22.11.22'!L214,weekly!$H$2:$H$188,0))</f>
        <v>0</v>
      </c>
      <c r="J214">
        <v>0</v>
      </c>
      <c r="K214">
        <v>0</v>
      </c>
      <c r="L214" t="str">
        <f t="shared" si="6"/>
        <v>14-4-2021</v>
      </c>
      <c r="M214">
        <f t="shared" si="7"/>
        <v>2021</v>
      </c>
    </row>
    <row r="215" spans="1:13" x14ac:dyDescent="0.2">
      <c r="A215" s="1">
        <v>44291</v>
      </c>
      <c r="B215">
        <v>14</v>
      </c>
      <c r="C215">
        <v>4</v>
      </c>
      <c r="D215">
        <v>2</v>
      </c>
      <c r="E215" t="s">
        <v>40</v>
      </c>
      <c r="F215">
        <v>0</v>
      </c>
      <c r="G215">
        <f>INDEX(weekly!$E$2:$E$188,MATCH('Marketing Campaigns 22.11.22'!L215,weekly!$H$2:$H$188,0))</f>
        <v>0</v>
      </c>
      <c r="H215">
        <f>INDEX(weekly!$D$2:$D$188,MATCH('Marketing Campaigns 22.11.22'!L215,weekly!$H$2:$H$188,0))</f>
        <v>0</v>
      </c>
      <c r="I215">
        <f>INDEX(weekly!$F$2:$F$188,MATCH('Marketing Campaigns 22.11.22'!L215,weekly!$H$2:$H$188,0))</f>
        <v>0</v>
      </c>
      <c r="J215">
        <v>0</v>
      </c>
      <c r="K215">
        <v>0</v>
      </c>
      <c r="L215" t="str">
        <f t="shared" si="6"/>
        <v>14-4-2021</v>
      </c>
      <c r="M215">
        <f t="shared" si="7"/>
        <v>2021</v>
      </c>
    </row>
    <row r="216" spans="1:13" x14ac:dyDescent="0.2">
      <c r="A216" s="1">
        <v>44291</v>
      </c>
      <c r="B216">
        <v>14</v>
      </c>
      <c r="C216">
        <v>4</v>
      </c>
      <c r="D216">
        <v>2</v>
      </c>
      <c r="E216" t="s">
        <v>41</v>
      </c>
      <c r="F216">
        <v>0</v>
      </c>
      <c r="G216">
        <f>INDEX(weekly!$E$2:$E$188,MATCH('Marketing Campaigns 22.11.22'!L216,weekly!$H$2:$H$188,0))</f>
        <v>0</v>
      </c>
      <c r="H216">
        <f>INDEX(weekly!$D$2:$D$188,MATCH('Marketing Campaigns 22.11.22'!L216,weekly!$H$2:$H$188,0))</f>
        <v>0</v>
      </c>
      <c r="I216">
        <f>INDEX(weekly!$F$2:$F$188,MATCH('Marketing Campaigns 22.11.22'!L216,weekly!$H$2:$H$188,0))</f>
        <v>0</v>
      </c>
      <c r="J216">
        <v>0</v>
      </c>
      <c r="K216">
        <v>0</v>
      </c>
      <c r="L216" t="str">
        <f t="shared" si="6"/>
        <v>14-4-2021</v>
      </c>
      <c r="M216">
        <f t="shared" si="7"/>
        <v>2021</v>
      </c>
    </row>
    <row r="217" spans="1:13" x14ac:dyDescent="0.2">
      <c r="A217" s="1">
        <v>44291</v>
      </c>
      <c r="B217">
        <v>14</v>
      </c>
      <c r="C217">
        <v>4</v>
      </c>
      <c r="D217">
        <v>2</v>
      </c>
      <c r="E217" t="s">
        <v>42</v>
      </c>
      <c r="F217">
        <v>0</v>
      </c>
      <c r="G217">
        <f>INDEX(weekly!$E$2:$E$188,MATCH('Marketing Campaigns 22.11.22'!L217,weekly!$H$2:$H$188,0))</f>
        <v>0</v>
      </c>
      <c r="H217">
        <f>INDEX(weekly!$D$2:$D$188,MATCH('Marketing Campaigns 22.11.22'!L217,weekly!$H$2:$H$188,0))</f>
        <v>0</v>
      </c>
      <c r="I217">
        <f>INDEX(weekly!$F$2:$F$188,MATCH('Marketing Campaigns 22.11.22'!L217,weekly!$H$2:$H$188,0))</f>
        <v>0</v>
      </c>
      <c r="J217">
        <v>0</v>
      </c>
      <c r="K217">
        <v>0</v>
      </c>
      <c r="L217" t="str">
        <f t="shared" si="6"/>
        <v>14-4-2021</v>
      </c>
      <c r="M217">
        <f t="shared" si="7"/>
        <v>2021</v>
      </c>
    </row>
    <row r="218" spans="1:13" x14ac:dyDescent="0.2">
      <c r="A218" s="1">
        <v>44291</v>
      </c>
      <c r="B218">
        <v>14</v>
      </c>
      <c r="C218">
        <v>4</v>
      </c>
      <c r="D218">
        <v>2</v>
      </c>
      <c r="E218" t="s">
        <v>43</v>
      </c>
      <c r="F218">
        <v>0</v>
      </c>
      <c r="G218">
        <f>INDEX(weekly!$E$2:$E$188,MATCH('Marketing Campaigns 22.11.22'!L218,weekly!$H$2:$H$188,0))</f>
        <v>0</v>
      </c>
      <c r="H218">
        <f>INDEX(weekly!$D$2:$D$188,MATCH('Marketing Campaigns 22.11.22'!L218,weekly!$H$2:$H$188,0))</f>
        <v>0</v>
      </c>
      <c r="I218">
        <f>INDEX(weekly!$F$2:$F$188,MATCH('Marketing Campaigns 22.11.22'!L218,weekly!$H$2:$H$188,0))</f>
        <v>0</v>
      </c>
      <c r="J218">
        <v>0</v>
      </c>
      <c r="K218">
        <v>0</v>
      </c>
      <c r="L218" t="str">
        <f t="shared" si="6"/>
        <v>14-4-2021</v>
      </c>
      <c r="M218">
        <f t="shared" si="7"/>
        <v>2021</v>
      </c>
    </row>
    <row r="219" spans="1:13" x14ac:dyDescent="0.2">
      <c r="A219" s="1">
        <v>44291</v>
      </c>
      <c r="B219">
        <v>14</v>
      </c>
      <c r="C219">
        <v>4</v>
      </c>
      <c r="D219">
        <v>2</v>
      </c>
      <c r="E219" t="s">
        <v>44</v>
      </c>
      <c r="F219">
        <v>0</v>
      </c>
      <c r="G219">
        <f>INDEX(weekly!$E$2:$E$188,MATCH('Marketing Campaigns 22.11.22'!L219,weekly!$H$2:$H$188,0))</f>
        <v>0</v>
      </c>
      <c r="H219">
        <f>INDEX(weekly!$D$2:$D$188,MATCH('Marketing Campaigns 22.11.22'!L219,weekly!$H$2:$H$188,0))</f>
        <v>0</v>
      </c>
      <c r="I219">
        <f>INDEX(weekly!$F$2:$F$188,MATCH('Marketing Campaigns 22.11.22'!L219,weekly!$H$2:$H$188,0))</f>
        <v>0</v>
      </c>
      <c r="J219">
        <v>0</v>
      </c>
      <c r="K219">
        <v>0</v>
      </c>
      <c r="L219" t="str">
        <f t="shared" si="6"/>
        <v>14-4-2021</v>
      </c>
      <c r="M219">
        <f t="shared" si="7"/>
        <v>2021</v>
      </c>
    </row>
    <row r="220" spans="1:13" x14ac:dyDescent="0.2">
      <c r="A220" s="1">
        <v>44291</v>
      </c>
      <c r="B220">
        <v>14</v>
      </c>
      <c r="C220">
        <v>4</v>
      </c>
      <c r="D220">
        <v>2</v>
      </c>
      <c r="E220" t="s">
        <v>45</v>
      </c>
      <c r="F220">
        <v>0</v>
      </c>
      <c r="G220">
        <f>INDEX(weekly!$E$2:$E$188,MATCH('Marketing Campaigns 22.11.22'!L220,weekly!$H$2:$H$188,0))</f>
        <v>0</v>
      </c>
      <c r="H220">
        <f>INDEX(weekly!$D$2:$D$188,MATCH('Marketing Campaigns 22.11.22'!L220,weekly!$H$2:$H$188,0))</f>
        <v>0</v>
      </c>
      <c r="I220">
        <f>INDEX(weekly!$F$2:$F$188,MATCH('Marketing Campaigns 22.11.22'!L220,weekly!$H$2:$H$188,0))</f>
        <v>0</v>
      </c>
      <c r="J220">
        <v>0</v>
      </c>
      <c r="K220">
        <v>0</v>
      </c>
      <c r="L220" t="str">
        <f t="shared" si="6"/>
        <v>14-4-2021</v>
      </c>
      <c r="M220">
        <f t="shared" si="7"/>
        <v>2021</v>
      </c>
    </row>
    <row r="221" spans="1:13" x14ac:dyDescent="0.2">
      <c r="A221" s="1">
        <v>44291</v>
      </c>
      <c r="B221">
        <v>14</v>
      </c>
      <c r="C221">
        <v>4</v>
      </c>
      <c r="D221">
        <v>2</v>
      </c>
      <c r="E221" t="s">
        <v>46</v>
      </c>
      <c r="F221">
        <v>0</v>
      </c>
      <c r="G221">
        <f>INDEX(weekly!$E$2:$E$188,MATCH('Marketing Campaigns 22.11.22'!L221,weekly!$H$2:$H$188,0))</f>
        <v>0</v>
      </c>
      <c r="H221">
        <f>INDEX(weekly!$D$2:$D$188,MATCH('Marketing Campaigns 22.11.22'!L221,weekly!$H$2:$H$188,0))</f>
        <v>0</v>
      </c>
      <c r="I221">
        <f>INDEX(weekly!$F$2:$F$188,MATCH('Marketing Campaigns 22.11.22'!L221,weekly!$H$2:$H$188,0))</f>
        <v>0</v>
      </c>
      <c r="J221">
        <v>0</v>
      </c>
      <c r="K221">
        <v>0</v>
      </c>
      <c r="L221" t="str">
        <f t="shared" si="6"/>
        <v>14-4-2021</v>
      </c>
      <c r="M221">
        <f t="shared" si="7"/>
        <v>2021</v>
      </c>
    </row>
    <row r="222" spans="1:13" x14ac:dyDescent="0.2">
      <c r="A222" s="1">
        <v>44291</v>
      </c>
      <c r="B222">
        <v>14</v>
      </c>
      <c r="C222">
        <v>4</v>
      </c>
      <c r="D222">
        <v>2</v>
      </c>
      <c r="E222" t="s">
        <v>47</v>
      </c>
      <c r="F222">
        <v>0</v>
      </c>
      <c r="G222">
        <f>INDEX(weekly!$E$2:$E$188,MATCH('Marketing Campaigns 22.11.22'!L222,weekly!$H$2:$H$188,0))</f>
        <v>0</v>
      </c>
      <c r="H222">
        <f>INDEX(weekly!$D$2:$D$188,MATCH('Marketing Campaigns 22.11.22'!L222,weekly!$H$2:$H$188,0))</f>
        <v>0</v>
      </c>
      <c r="I222">
        <f>INDEX(weekly!$F$2:$F$188,MATCH('Marketing Campaigns 22.11.22'!L222,weekly!$H$2:$H$188,0))</f>
        <v>0</v>
      </c>
      <c r="J222">
        <v>0</v>
      </c>
      <c r="K222">
        <v>0</v>
      </c>
      <c r="L222" t="str">
        <f t="shared" si="6"/>
        <v>14-4-2021</v>
      </c>
      <c r="M222">
        <f t="shared" si="7"/>
        <v>2021</v>
      </c>
    </row>
    <row r="223" spans="1:13" x14ac:dyDescent="0.2">
      <c r="A223" s="1">
        <v>44291</v>
      </c>
      <c r="B223">
        <v>14</v>
      </c>
      <c r="C223">
        <v>4</v>
      </c>
      <c r="D223">
        <v>2</v>
      </c>
      <c r="E223" t="s">
        <v>48</v>
      </c>
      <c r="F223">
        <v>0</v>
      </c>
      <c r="G223">
        <f>INDEX(weekly!$E$2:$E$188,MATCH('Marketing Campaigns 22.11.22'!L223,weekly!$H$2:$H$188,0))</f>
        <v>0</v>
      </c>
      <c r="H223">
        <f>INDEX(weekly!$D$2:$D$188,MATCH('Marketing Campaigns 22.11.22'!L223,weekly!$H$2:$H$188,0))</f>
        <v>0</v>
      </c>
      <c r="I223">
        <f>INDEX(weekly!$F$2:$F$188,MATCH('Marketing Campaigns 22.11.22'!L223,weekly!$H$2:$H$188,0))</f>
        <v>0</v>
      </c>
      <c r="J223">
        <v>0</v>
      </c>
      <c r="K223">
        <v>0</v>
      </c>
      <c r="L223" t="str">
        <f t="shared" si="6"/>
        <v>14-4-2021</v>
      </c>
      <c r="M223">
        <f t="shared" si="7"/>
        <v>2021</v>
      </c>
    </row>
    <row r="224" spans="1:13" x14ac:dyDescent="0.2">
      <c r="A224" s="1">
        <v>44291</v>
      </c>
      <c r="B224">
        <v>14</v>
      </c>
      <c r="C224">
        <v>4</v>
      </c>
      <c r="D224">
        <v>2</v>
      </c>
      <c r="E224" t="s">
        <v>49</v>
      </c>
      <c r="F224">
        <v>0</v>
      </c>
      <c r="G224">
        <f>INDEX(weekly!$E$2:$E$188,MATCH('Marketing Campaigns 22.11.22'!L224,weekly!$H$2:$H$188,0))</f>
        <v>0</v>
      </c>
      <c r="H224">
        <f>INDEX(weekly!$D$2:$D$188,MATCH('Marketing Campaigns 22.11.22'!L224,weekly!$H$2:$H$188,0))</f>
        <v>0</v>
      </c>
      <c r="I224">
        <f>INDEX(weekly!$F$2:$F$188,MATCH('Marketing Campaigns 22.11.22'!L224,weekly!$H$2:$H$188,0))</f>
        <v>0</v>
      </c>
      <c r="J224">
        <v>0</v>
      </c>
      <c r="K224">
        <v>0</v>
      </c>
      <c r="L224" t="str">
        <f t="shared" si="6"/>
        <v>14-4-2021</v>
      </c>
      <c r="M224">
        <f t="shared" si="7"/>
        <v>2021</v>
      </c>
    </row>
    <row r="225" spans="1:13" x14ac:dyDescent="0.2">
      <c r="A225" s="1">
        <v>44291</v>
      </c>
      <c r="B225">
        <v>14</v>
      </c>
      <c r="C225">
        <v>4</v>
      </c>
      <c r="D225">
        <v>2</v>
      </c>
      <c r="E225" t="s">
        <v>50</v>
      </c>
      <c r="F225">
        <v>0</v>
      </c>
      <c r="G225">
        <f>INDEX(weekly!$E$2:$E$188,MATCH('Marketing Campaigns 22.11.22'!L225,weekly!$H$2:$H$188,0))</f>
        <v>0</v>
      </c>
      <c r="H225">
        <f>INDEX(weekly!$D$2:$D$188,MATCH('Marketing Campaigns 22.11.22'!L225,weekly!$H$2:$H$188,0))</f>
        <v>0</v>
      </c>
      <c r="I225">
        <f>INDEX(weekly!$F$2:$F$188,MATCH('Marketing Campaigns 22.11.22'!L225,weekly!$H$2:$H$188,0))</f>
        <v>0</v>
      </c>
      <c r="J225">
        <v>0</v>
      </c>
      <c r="K225">
        <v>0</v>
      </c>
      <c r="L225" t="str">
        <f t="shared" si="6"/>
        <v>14-4-2021</v>
      </c>
      <c r="M225">
        <f t="shared" si="7"/>
        <v>2021</v>
      </c>
    </row>
    <row r="226" spans="1:13" x14ac:dyDescent="0.2">
      <c r="A226" s="1">
        <v>44291</v>
      </c>
      <c r="B226">
        <v>14</v>
      </c>
      <c r="C226">
        <v>4</v>
      </c>
      <c r="D226">
        <v>2</v>
      </c>
      <c r="E226" t="s">
        <v>51</v>
      </c>
      <c r="F226">
        <v>0</v>
      </c>
      <c r="G226">
        <f>INDEX(weekly!$E$2:$E$188,MATCH('Marketing Campaigns 22.11.22'!L226,weekly!$H$2:$H$188,0))</f>
        <v>0</v>
      </c>
      <c r="H226">
        <f>INDEX(weekly!$D$2:$D$188,MATCH('Marketing Campaigns 22.11.22'!L226,weekly!$H$2:$H$188,0))</f>
        <v>0</v>
      </c>
      <c r="I226">
        <f>INDEX(weekly!$F$2:$F$188,MATCH('Marketing Campaigns 22.11.22'!L226,weekly!$H$2:$H$188,0))</f>
        <v>0</v>
      </c>
      <c r="J226">
        <v>0</v>
      </c>
      <c r="K226">
        <v>0</v>
      </c>
      <c r="L226" t="str">
        <f t="shared" si="6"/>
        <v>14-4-2021</v>
      </c>
      <c r="M226">
        <f t="shared" si="7"/>
        <v>2021</v>
      </c>
    </row>
    <row r="227" spans="1:13" x14ac:dyDescent="0.2">
      <c r="A227" s="1">
        <v>44291</v>
      </c>
      <c r="B227">
        <v>14</v>
      </c>
      <c r="C227">
        <v>4</v>
      </c>
      <c r="D227">
        <v>2</v>
      </c>
      <c r="E227" t="s">
        <v>52</v>
      </c>
      <c r="F227">
        <v>0</v>
      </c>
      <c r="G227">
        <f>INDEX(weekly!$E$2:$E$188,MATCH('Marketing Campaigns 22.11.22'!L227,weekly!$H$2:$H$188,0))</f>
        <v>0</v>
      </c>
      <c r="H227">
        <f>INDEX(weekly!$D$2:$D$188,MATCH('Marketing Campaigns 22.11.22'!L227,weekly!$H$2:$H$188,0))</f>
        <v>0</v>
      </c>
      <c r="I227">
        <f>INDEX(weekly!$F$2:$F$188,MATCH('Marketing Campaigns 22.11.22'!L227,weekly!$H$2:$H$188,0))</f>
        <v>0</v>
      </c>
      <c r="J227">
        <v>0</v>
      </c>
      <c r="K227">
        <v>0</v>
      </c>
      <c r="L227" t="str">
        <f t="shared" si="6"/>
        <v>14-4-2021</v>
      </c>
      <c r="M227">
        <f t="shared" si="7"/>
        <v>2021</v>
      </c>
    </row>
    <row r="228" spans="1:13" x14ac:dyDescent="0.2">
      <c r="A228" s="1">
        <v>44298</v>
      </c>
      <c r="B228">
        <v>15</v>
      </c>
      <c r="C228">
        <v>4</v>
      </c>
      <c r="D228">
        <v>2</v>
      </c>
      <c r="E228" t="s">
        <v>24</v>
      </c>
      <c r="F228">
        <v>0</v>
      </c>
      <c r="G228">
        <f>INDEX(weekly!$E$2:$E$188,MATCH('Marketing Campaigns 22.11.22'!L228,weekly!$H$2:$H$188,0))</f>
        <v>0</v>
      </c>
      <c r="H228">
        <f>INDEX(weekly!$D$2:$D$188,MATCH('Marketing Campaigns 22.11.22'!L228,weekly!$H$2:$H$188,0))</f>
        <v>0</v>
      </c>
      <c r="I228">
        <f>INDEX(weekly!$F$2:$F$188,MATCH('Marketing Campaigns 22.11.22'!L228,weekly!$H$2:$H$188,0))</f>
        <v>0</v>
      </c>
      <c r="J228">
        <v>0</v>
      </c>
      <c r="K228">
        <v>0</v>
      </c>
      <c r="L228" t="str">
        <f t="shared" si="6"/>
        <v>15-4-2021</v>
      </c>
      <c r="M228">
        <f t="shared" si="7"/>
        <v>2021</v>
      </c>
    </row>
    <row r="229" spans="1:13" x14ac:dyDescent="0.2">
      <c r="A229" s="1">
        <v>44298</v>
      </c>
      <c r="B229">
        <v>15</v>
      </c>
      <c r="C229">
        <v>4</v>
      </c>
      <c r="D229">
        <v>2</v>
      </c>
      <c r="E229" t="s">
        <v>39</v>
      </c>
      <c r="F229">
        <v>0</v>
      </c>
      <c r="G229">
        <f>INDEX(weekly!$E$2:$E$188,MATCH('Marketing Campaigns 22.11.22'!L229,weekly!$H$2:$H$188,0))</f>
        <v>0</v>
      </c>
      <c r="H229">
        <f>INDEX(weekly!$D$2:$D$188,MATCH('Marketing Campaigns 22.11.22'!L229,weekly!$H$2:$H$188,0))</f>
        <v>0</v>
      </c>
      <c r="I229">
        <f>INDEX(weekly!$F$2:$F$188,MATCH('Marketing Campaigns 22.11.22'!L229,weekly!$H$2:$H$188,0))</f>
        <v>0</v>
      </c>
      <c r="J229">
        <v>0</v>
      </c>
      <c r="K229">
        <v>0</v>
      </c>
      <c r="L229" t="str">
        <f t="shared" si="6"/>
        <v>15-4-2021</v>
      </c>
      <c r="M229">
        <f t="shared" si="7"/>
        <v>2021</v>
      </c>
    </row>
    <row r="230" spans="1:13" x14ac:dyDescent="0.2">
      <c r="A230" s="1">
        <v>44298</v>
      </c>
      <c r="B230">
        <v>15</v>
      </c>
      <c r="C230">
        <v>4</v>
      </c>
      <c r="D230">
        <v>2</v>
      </c>
      <c r="E230" t="s">
        <v>40</v>
      </c>
      <c r="F230">
        <v>0</v>
      </c>
      <c r="G230">
        <f>INDEX(weekly!$E$2:$E$188,MATCH('Marketing Campaigns 22.11.22'!L230,weekly!$H$2:$H$188,0))</f>
        <v>0</v>
      </c>
      <c r="H230">
        <f>INDEX(weekly!$D$2:$D$188,MATCH('Marketing Campaigns 22.11.22'!L230,weekly!$H$2:$H$188,0))</f>
        <v>0</v>
      </c>
      <c r="I230">
        <f>INDEX(weekly!$F$2:$F$188,MATCH('Marketing Campaigns 22.11.22'!L230,weekly!$H$2:$H$188,0))</f>
        <v>0</v>
      </c>
      <c r="J230">
        <v>0</v>
      </c>
      <c r="K230">
        <v>0</v>
      </c>
      <c r="L230" t="str">
        <f t="shared" si="6"/>
        <v>15-4-2021</v>
      </c>
      <c r="M230">
        <f t="shared" si="7"/>
        <v>2021</v>
      </c>
    </row>
    <row r="231" spans="1:13" x14ac:dyDescent="0.2">
      <c r="A231" s="1">
        <v>44298</v>
      </c>
      <c r="B231">
        <v>15</v>
      </c>
      <c r="C231">
        <v>4</v>
      </c>
      <c r="D231">
        <v>2</v>
      </c>
      <c r="E231" t="s">
        <v>41</v>
      </c>
      <c r="F231">
        <v>0</v>
      </c>
      <c r="G231">
        <f>INDEX(weekly!$E$2:$E$188,MATCH('Marketing Campaigns 22.11.22'!L231,weekly!$H$2:$H$188,0))</f>
        <v>0</v>
      </c>
      <c r="H231">
        <f>INDEX(weekly!$D$2:$D$188,MATCH('Marketing Campaigns 22.11.22'!L231,weekly!$H$2:$H$188,0))</f>
        <v>0</v>
      </c>
      <c r="I231">
        <f>INDEX(weekly!$F$2:$F$188,MATCH('Marketing Campaigns 22.11.22'!L231,weekly!$H$2:$H$188,0))</f>
        <v>0</v>
      </c>
      <c r="J231">
        <v>0</v>
      </c>
      <c r="K231">
        <v>0</v>
      </c>
      <c r="L231" t="str">
        <f t="shared" si="6"/>
        <v>15-4-2021</v>
      </c>
      <c r="M231">
        <f t="shared" si="7"/>
        <v>2021</v>
      </c>
    </row>
    <row r="232" spans="1:13" x14ac:dyDescent="0.2">
      <c r="A232" s="1">
        <v>44298</v>
      </c>
      <c r="B232">
        <v>15</v>
      </c>
      <c r="C232">
        <v>4</v>
      </c>
      <c r="D232">
        <v>2</v>
      </c>
      <c r="E232" t="s">
        <v>42</v>
      </c>
      <c r="F232">
        <v>0</v>
      </c>
      <c r="G232">
        <f>INDEX(weekly!$E$2:$E$188,MATCH('Marketing Campaigns 22.11.22'!L232,weekly!$H$2:$H$188,0))</f>
        <v>0</v>
      </c>
      <c r="H232">
        <f>INDEX(weekly!$D$2:$D$188,MATCH('Marketing Campaigns 22.11.22'!L232,weekly!$H$2:$H$188,0))</f>
        <v>0</v>
      </c>
      <c r="I232">
        <f>INDEX(weekly!$F$2:$F$188,MATCH('Marketing Campaigns 22.11.22'!L232,weekly!$H$2:$H$188,0))</f>
        <v>0</v>
      </c>
      <c r="J232">
        <v>0</v>
      </c>
      <c r="K232">
        <v>0</v>
      </c>
      <c r="L232" t="str">
        <f t="shared" si="6"/>
        <v>15-4-2021</v>
      </c>
      <c r="M232">
        <f t="shared" si="7"/>
        <v>2021</v>
      </c>
    </row>
    <row r="233" spans="1:13" x14ac:dyDescent="0.2">
      <c r="A233" s="1">
        <v>44298</v>
      </c>
      <c r="B233">
        <v>15</v>
      </c>
      <c r="C233">
        <v>4</v>
      </c>
      <c r="D233">
        <v>2</v>
      </c>
      <c r="E233" t="s">
        <v>43</v>
      </c>
      <c r="F233">
        <v>0</v>
      </c>
      <c r="G233">
        <f>INDEX(weekly!$E$2:$E$188,MATCH('Marketing Campaigns 22.11.22'!L233,weekly!$H$2:$H$188,0))</f>
        <v>0</v>
      </c>
      <c r="H233">
        <f>INDEX(weekly!$D$2:$D$188,MATCH('Marketing Campaigns 22.11.22'!L233,weekly!$H$2:$H$188,0))</f>
        <v>0</v>
      </c>
      <c r="I233">
        <f>INDEX(weekly!$F$2:$F$188,MATCH('Marketing Campaigns 22.11.22'!L233,weekly!$H$2:$H$188,0))</f>
        <v>0</v>
      </c>
      <c r="J233">
        <v>0</v>
      </c>
      <c r="K233">
        <v>0</v>
      </c>
      <c r="L233" t="str">
        <f t="shared" si="6"/>
        <v>15-4-2021</v>
      </c>
      <c r="M233">
        <f t="shared" si="7"/>
        <v>2021</v>
      </c>
    </row>
    <row r="234" spans="1:13" x14ac:dyDescent="0.2">
      <c r="A234" s="1">
        <v>44298</v>
      </c>
      <c r="B234">
        <v>15</v>
      </c>
      <c r="C234">
        <v>4</v>
      </c>
      <c r="D234">
        <v>2</v>
      </c>
      <c r="E234" t="s">
        <v>44</v>
      </c>
      <c r="F234">
        <v>0</v>
      </c>
      <c r="G234">
        <f>INDEX(weekly!$E$2:$E$188,MATCH('Marketing Campaigns 22.11.22'!L234,weekly!$H$2:$H$188,0))</f>
        <v>0</v>
      </c>
      <c r="H234">
        <f>INDEX(weekly!$D$2:$D$188,MATCH('Marketing Campaigns 22.11.22'!L234,weekly!$H$2:$H$188,0))</f>
        <v>0</v>
      </c>
      <c r="I234">
        <f>INDEX(weekly!$F$2:$F$188,MATCH('Marketing Campaigns 22.11.22'!L234,weekly!$H$2:$H$188,0))</f>
        <v>0</v>
      </c>
      <c r="J234">
        <v>0</v>
      </c>
      <c r="K234">
        <v>0</v>
      </c>
      <c r="L234" t="str">
        <f t="shared" si="6"/>
        <v>15-4-2021</v>
      </c>
      <c r="M234">
        <f t="shared" si="7"/>
        <v>2021</v>
      </c>
    </row>
    <row r="235" spans="1:13" x14ac:dyDescent="0.2">
      <c r="A235" s="1">
        <v>44298</v>
      </c>
      <c r="B235">
        <v>15</v>
      </c>
      <c r="C235">
        <v>4</v>
      </c>
      <c r="D235">
        <v>2</v>
      </c>
      <c r="E235" t="s">
        <v>45</v>
      </c>
      <c r="F235">
        <v>0</v>
      </c>
      <c r="G235">
        <f>INDEX(weekly!$E$2:$E$188,MATCH('Marketing Campaigns 22.11.22'!L235,weekly!$H$2:$H$188,0))</f>
        <v>0</v>
      </c>
      <c r="H235">
        <f>INDEX(weekly!$D$2:$D$188,MATCH('Marketing Campaigns 22.11.22'!L235,weekly!$H$2:$H$188,0))</f>
        <v>0</v>
      </c>
      <c r="I235">
        <f>INDEX(weekly!$F$2:$F$188,MATCH('Marketing Campaigns 22.11.22'!L235,weekly!$H$2:$H$188,0))</f>
        <v>0</v>
      </c>
      <c r="J235">
        <v>0</v>
      </c>
      <c r="K235">
        <v>0</v>
      </c>
      <c r="L235" t="str">
        <f t="shared" si="6"/>
        <v>15-4-2021</v>
      </c>
      <c r="M235">
        <f t="shared" si="7"/>
        <v>2021</v>
      </c>
    </row>
    <row r="236" spans="1:13" x14ac:dyDescent="0.2">
      <c r="A236" s="1">
        <v>44298</v>
      </c>
      <c r="B236">
        <v>15</v>
      </c>
      <c r="C236">
        <v>4</v>
      </c>
      <c r="D236">
        <v>2</v>
      </c>
      <c r="E236" t="s">
        <v>46</v>
      </c>
      <c r="F236">
        <v>0</v>
      </c>
      <c r="G236">
        <f>INDEX(weekly!$E$2:$E$188,MATCH('Marketing Campaigns 22.11.22'!L236,weekly!$H$2:$H$188,0))</f>
        <v>0</v>
      </c>
      <c r="H236">
        <f>INDEX(weekly!$D$2:$D$188,MATCH('Marketing Campaigns 22.11.22'!L236,weekly!$H$2:$H$188,0))</f>
        <v>0</v>
      </c>
      <c r="I236">
        <f>INDEX(weekly!$F$2:$F$188,MATCH('Marketing Campaigns 22.11.22'!L236,weekly!$H$2:$H$188,0))</f>
        <v>0</v>
      </c>
      <c r="J236">
        <v>0</v>
      </c>
      <c r="K236">
        <v>0</v>
      </c>
      <c r="L236" t="str">
        <f t="shared" si="6"/>
        <v>15-4-2021</v>
      </c>
      <c r="M236">
        <f t="shared" si="7"/>
        <v>2021</v>
      </c>
    </row>
    <row r="237" spans="1:13" x14ac:dyDescent="0.2">
      <c r="A237" s="1">
        <v>44298</v>
      </c>
      <c r="B237">
        <v>15</v>
      </c>
      <c r="C237">
        <v>4</v>
      </c>
      <c r="D237">
        <v>2</v>
      </c>
      <c r="E237" t="s">
        <v>47</v>
      </c>
      <c r="F237">
        <v>0</v>
      </c>
      <c r="G237">
        <f>INDEX(weekly!$E$2:$E$188,MATCH('Marketing Campaigns 22.11.22'!L237,weekly!$H$2:$H$188,0))</f>
        <v>0</v>
      </c>
      <c r="H237">
        <f>INDEX(weekly!$D$2:$D$188,MATCH('Marketing Campaigns 22.11.22'!L237,weekly!$H$2:$H$188,0))</f>
        <v>0</v>
      </c>
      <c r="I237">
        <f>INDEX(weekly!$F$2:$F$188,MATCH('Marketing Campaigns 22.11.22'!L237,weekly!$H$2:$H$188,0))</f>
        <v>0</v>
      </c>
      <c r="J237">
        <v>0</v>
      </c>
      <c r="K237">
        <v>0</v>
      </c>
      <c r="L237" t="str">
        <f t="shared" si="6"/>
        <v>15-4-2021</v>
      </c>
      <c r="M237">
        <f t="shared" si="7"/>
        <v>2021</v>
      </c>
    </row>
    <row r="238" spans="1:13" x14ac:dyDescent="0.2">
      <c r="A238" s="1">
        <v>44298</v>
      </c>
      <c r="B238">
        <v>15</v>
      </c>
      <c r="C238">
        <v>4</v>
      </c>
      <c r="D238">
        <v>2</v>
      </c>
      <c r="E238" t="s">
        <v>48</v>
      </c>
      <c r="F238">
        <v>0</v>
      </c>
      <c r="G238">
        <f>INDEX(weekly!$E$2:$E$188,MATCH('Marketing Campaigns 22.11.22'!L238,weekly!$H$2:$H$188,0))</f>
        <v>0</v>
      </c>
      <c r="H238">
        <f>INDEX(weekly!$D$2:$D$188,MATCH('Marketing Campaigns 22.11.22'!L238,weekly!$H$2:$H$188,0))</f>
        <v>0</v>
      </c>
      <c r="I238">
        <f>INDEX(weekly!$F$2:$F$188,MATCH('Marketing Campaigns 22.11.22'!L238,weekly!$H$2:$H$188,0))</f>
        <v>0</v>
      </c>
      <c r="J238">
        <v>0</v>
      </c>
      <c r="K238">
        <v>0</v>
      </c>
      <c r="L238" t="str">
        <f t="shared" si="6"/>
        <v>15-4-2021</v>
      </c>
      <c r="M238">
        <f t="shared" si="7"/>
        <v>2021</v>
      </c>
    </row>
    <row r="239" spans="1:13" x14ac:dyDescent="0.2">
      <c r="A239" s="1">
        <v>44298</v>
      </c>
      <c r="B239">
        <v>15</v>
      </c>
      <c r="C239">
        <v>4</v>
      </c>
      <c r="D239">
        <v>2</v>
      </c>
      <c r="E239" t="s">
        <v>49</v>
      </c>
      <c r="F239">
        <v>0</v>
      </c>
      <c r="G239">
        <f>INDEX(weekly!$E$2:$E$188,MATCH('Marketing Campaigns 22.11.22'!L239,weekly!$H$2:$H$188,0))</f>
        <v>0</v>
      </c>
      <c r="H239">
        <f>INDEX(weekly!$D$2:$D$188,MATCH('Marketing Campaigns 22.11.22'!L239,weekly!$H$2:$H$188,0))</f>
        <v>0</v>
      </c>
      <c r="I239">
        <f>INDEX(weekly!$F$2:$F$188,MATCH('Marketing Campaigns 22.11.22'!L239,weekly!$H$2:$H$188,0))</f>
        <v>0</v>
      </c>
      <c r="J239">
        <v>0</v>
      </c>
      <c r="K239">
        <v>0</v>
      </c>
      <c r="L239" t="str">
        <f t="shared" si="6"/>
        <v>15-4-2021</v>
      </c>
      <c r="M239">
        <f t="shared" si="7"/>
        <v>2021</v>
      </c>
    </row>
    <row r="240" spans="1:13" x14ac:dyDescent="0.2">
      <c r="A240" s="1">
        <v>44298</v>
      </c>
      <c r="B240">
        <v>15</v>
      </c>
      <c r="C240">
        <v>4</v>
      </c>
      <c r="D240">
        <v>2</v>
      </c>
      <c r="E240" t="s">
        <v>50</v>
      </c>
      <c r="F240">
        <v>0</v>
      </c>
      <c r="G240">
        <f>INDEX(weekly!$E$2:$E$188,MATCH('Marketing Campaigns 22.11.22'!L240,weekly!$H$2:$H$188,0))</f>
        <v>0</v>
      </c>
      <c r="H240">
        <f>INDEX(weekly!$D$2:$D$188,MATCH('Marketing Campaigns 22.11.22'!L240,weekly!$H$2:$H$188,0))</f>
        <v>0</v>
      </c>
      <c r="I240">
        <f>INDEX(weekly!$F$2:$F$188,MATCH('Marketing Campaigns 22.11.22'!L240,weekly!$H$2:$H$188,0))</f>
        <v>0</v>
      </c>
      <c r="J240">
        <v>0</v>
      </c>
      <c r="K240">
        <v>0</v>
      </c>
      <c r="L240" t="str">
        <f t="shared" si="6"/>
        <v>15-4-2021</v>
      </c>
      <c r="M240">
        <f t="shared" si="7"/>
        <v>2021</v>
      </c>
    </row>
    <row r="241" spans="1:13" x14ac:dyDescent="0.2">
      <c r="A241" s="1">
        <v>44298</v>
      </c>
      <c r="B241">
        <v>15</v>
      </c>
      <c r="C241">
        <v>4</v>
      </c>
      <c r="D241">
        <v>2</v>
      </c>
      <c r="E241" t="s">
        <v>51</v>
      </c>
      <c r="F241">
        <v>0</v>
      </c>
      <c r="G241">
        <f>INDEX(weekly!$E$2:$E$188,MATCH('Marketing Campaigns 22.11.22'!L241,weekly!$H$2:$H$188,0))</f>
        <v>0</v>
      </c>
      <c r="H241">
        <f>INDEX(weekly!$D$2:$D$188,MATCH('Marketing Campaigns 22.11.22'!L241,weekly!$H$2:$H$188,0))</f>
        <v>0</v>
      </c>
      <c r="I241">
        <f>INDEX(weekly!$F$2:$F$188,MATCH('Marketing Campaigns 22.11.22'!L241,weekly!$H$2:$H$188,0))</f>
        <v>0</v>
      </c>
      <c r="J241">
        <v>0</v>
      </c>
      <c r="K241">
        <v>0</v>
      </c>
      <c r="L241" t="str">
        <f t="shared" si="6"/>
        <v>15-4-2021</v>
      </c>
      <c r="M241">
        <f t="shared" si="7"/>
        <v>2021</v>
      </c>
    </row>
    <row r="242" spans="1:13" x14ac:dyDescent="0.2">
      <c r="A242" s="1">
        <v>44298</v>
      </c>
      <c r="B242">
        <v>15</v>
      </c>
      <c r="C242">
        <v>4</v>
      </c>
      <c r="D242">
        <v>2</v>
      </c>
      <c r="E242" t="s">
        <v>52</v>
      </c>
      <c r="F242">
        <v>0</v>
      </c>
      <c r="G242">
        <f>INDEX(weekly!$E$2:$E$188,MATCH('Marketing Campaigns 22.11.22'!L242,weekly!$H$2:$H$188,0))</f>
        <v>0</v>
      </c>
      <c r="H242">
        <f>INDEX(weekly!$D$2:$D$188,MATCH('Marketing Campaigns 22.11.22'!L242,weekly!$H$2:$H$188,0))</f>
        <v>0</v>
      </c>
      <c r="I242">
        <f>INDEX(weekly!$F$2:$F$188,MATCH('Marketing Campaigns 22.11.22'!L242,weekly!$H$2:$H$188,0))</f>
        <v>0</v>
      </c>
      <c r="J242">
        <v>0</v>
      </c>
      <c r="K242">
        <v>0</v>
      </c>
      <c r="L242" t="str">
        <f t="shared" si="6"/>
        <v>15-4-2021</v>
      </c>
      <c r="M242">
        <f t="shared" si="7"/>
        <v>2021</v>
      </c>
    </row>
    <row r="243" spans="1:13" x14ac:dyDescent="0.2">
      <c r="A243" s="1">
        <v>44305</v>
      </c>
      <c r="B243">
        <v>16</v>
      </c>
      <c r="C243">
        <v>4</v>
      </c>
      <c r="D243">
        <v>2</v>
      </c>
      <c r="E243" t="s">
        <v>24</v>
      </c>
      <c r="F243">
        <v>0</v>
      </c>
      <c r="G243">
        <f>INDEX(weekly!$E$2:$E$188,MATCH('Marketing Campaigns 22.11.22'!L243,weekly!$H$2:$H$188,0))</f>
        <v>0</v>
      </c>
      <c r="H243">
        <f>INDEX(weekly!$D$2:$D$188,MATCH('Marketing Campaigns 22.11.22'!L243,weekly!$H$2:$H$188,0))</f>
        <v>0</v>
      </c>
      <c r="I243">
        <f>INDEX(weekly!$F$2:$F$188,MATCH('Marketing Campaigns 22.11.22'!L243,weekly!$H$2:$H$188,0))</f>
        <v>0</v>
      </c>
      <c r="J243">
        <v>0</v>
      </c>
      <c r="K243">
        <v>0</v>
      </c>
      <c r="L243" t="str">
        <f t="shared" si="6"/>
        <v>16-4-2021</v>
      </c>
      <c r="M243">
        <f t="shared" si="7"/>
        <v>2021</v>
      </c>
    </row>
    <row r="244" spans="1:13" x14ac:dyDescent="0.2">
      <c r="A244" s="1">
        <v>44305</v>
      </c>
      <c r="B244">
        <v>16</v>
      </c>
      <c r="C244">
        <v>4</v>
      </c>
      <c r="D244">
        <v>2</v>
      </c>
      <c r="E244" t="s">
        <v>39</v>
      </c>
      <c r="F244">
        <v>0</v>
      </c>
      <c r="G244">
        <f>INDEX(weekly!$E$2:$E$188,MATCH('Marketing Campaigns 22.11.22'!L244,weekly!$H$2:$H$188,0))</f>
        <v>0</v>
      </c>
      <c r="H244">
        <f>INDEX(weekly!$D$2:$D$188,MATCH('Marketing Campaigns 22.11.22'!L244,weekly!$H$2:$H$188,0))</f>
        <v>0</v>
      </c>
      <c r="I244">
        <f>INDEX(weekly!$F$2:$F$188,MATCH('Marketing Campaigns 22.11.22'!L244,weekly!$H$2:$H$188,0))</f>
        <v>0</v>
      </c>
      <c r="J244">
        <v>0</v>
      </c>
      <c r="K244">
        <v>0</v>
      </c>
      <c r="L244" t="str">
        <f t="shared" si="6"/>
        <v>16-4-2021</v>
      </c>
      <c r="M244">
        <f t="shared" si="7"/>
        <v>2021</v>
      </c>
    </row>
    <row r="245" spans="1:13" x14ac:dyDescent="0.2">
      <c r="A245" s="1">
        <v>44305</v>
      </c>
      <c r="B245">
        <v>16</v>
      </c>
      <c r="C245">
        <v>4</v>
      </c>
      <c r="D245">
        <v>2</v>
      </c>
      <c r="E245" t="s">
        <v>40</v>
      </c>
      <c r="F245">
        <v>0</v>
      </c>
      <c r="G245">
        <f>INDEX(weekly!$E$2:$E$188,MATCH('Marketing Campaigns 22.11.22'!L245,weekly!$H$2:$H$188,0))</f>
        <v>0</v>
      </c>
      <c r="H245">
        <f>INDEX(weekly!$D$2:$D$188,MATCH('Marketing Campaigns 22.11.22'!L245,weekly!$H$2:$H$188,0))</f>
        <v>0</v>
      </c>
      <c r="I245">
        <f>INDEX(weekly!$F$2:$F$188,MATCH('Marketing Campaigns 22.11.22'!L245,weekly!$H$2:$H$188,0))</f>
        <v>0</v>
      </c>
      <c r="J245">
        <v>0</v>
      </c>
      <c r="K245">
        <v>0</v>
      </c>
      <c r="L245" t="str">
        <f t="shared" si="6"/>
        <v>16-4-2021</v>
      </c>
      <c r="M245">
        <f t="shared" si="7"/>
        <v>2021</v>
      </c>
    </row>
    <row r="246" spans="1:13" x14ac:dyDescent="0.2">
      <c r="A246" s="1">
        <v>44305</v>
      </c>
      <c r="B246">
        <v>16</v>
      </c>
      <c r="C246">
        <v>4</v>
      </c>
      <c r="D246">
        <v>2</v>
      </c>
      <c r="E246" t="s">
        <v>41</v>
      </c>
      <c r="F246">
        <v>0</v>
      </c>
      <c r="G246">
        <f>INDEX(weekly!$E$2:$E$188,MATCH('Marketing Campaigns 22.11.22'!L246,weekly!$H$2:$H$188,0))</f>
        <v>0</v>
      </c>
      <c r="H246">
        <f>INDEX(weekly!$D$2:$D$188,MATCH('Marketing Campaigns 22.11.22'!L246,weekly!$H$2:$H$188,0))</f>
        <v>0</v>
      </c>
      <c r="I246">
        <f>INDEX(weekly!$F$2:$F$188,MATCH('Marketing Campaigns 22.11.22'!L246,weekly!$H$2:$H$188,0))</f>
        <v>0</v>
      </c>
      <c r="J246">
        <v>0</v>
      </c>
      <c r="K246">
        <v>0</v>
      </c>
      <c r="L246" t="str">
        <f t="shared" si="6"/>
        <v>16-4-2021</v>
      </c>
      <c r="M246">
        <f t="shared" si="7"/>
        <v>2021</v>
      </c>
    </row>
    <row r="247" spans="1:13" x14ac:dyDescent="0.2">
      <c r="A247" s="1">
        <v>44305</v>
      </c>
      <c r="B247">
        <v>16</v>
      </c>
      <c r="C247">
        <v>4</v>
      </c>
      <c r="D247">
        <v>2</v>
      </c>
      <c r="E247" t="s">
        <v>42</v>
      </c>
      <c r="F247">
        <v>0</v>
      </c>
      <c r="G247">
        <f>INDEX(weekly!$E$2:$E$188,MATCH('Marketing Campaigns 22.11.22'!L247,weekly!$H$2:$H$188,0))</f>
        <v>0</v>
      </c>
      <c r="H247">
        <f>INDEX(weekly!$D$2:$D$188,MATCH('Marketing Campaigns 22.11.22'!L247,weekly!$H$2:$H$188,0))</f>
        <v>0</v>
      </c>
      <c r="I247">
        <f>INDEX(weekly!$F$2:$F$188,MATCH('Marketing Campaigns 22.11.22'!L247,weekly!$H$2:$H$188,0))</f>
        <v>0</v>
      </c>
      <c r="J247">
        <v>0</v>
      </c>
      <c r="K247">
        <v>0</v>
      </c>
      <c r="L247" t="str">
        <f t="shared" si="6"/>
        <v>16-4-2021</v>
      </c>
      <c r="M247">
        <f t="shared" si="7"/>
        <v>2021</v>
      </c>
    </row>
    <row r="248" spans="1:13" x14ac:dyDescent="0.2">
      <c r="A248" s="1">
        <v>44305</v>
      </c>
      <c r="B248">
        <v>16</v>
      </c>
      <c r="C248">
        <v>4</v>
      </c>
      <c r="D248">
        <v>2</v>
      </c>
      <c r="E248" t="s">
        <v>43</v>
      </c>
      <c r="F248">
        <v>0</v>
      </c>
      <c r="G248">
        <f>INDEX(weekly!$E$2:$E$188,MATCH('Marketing Campaigns 22.11.22'!L248,weekly!$H$2:$H$188,0))</f>
        <v>0</v>
      </c>
      <c r="H248">
        <f>INDEX(weekly!$D$2:$D$188,MATCH('Marketing Campaigns 22.11.22'!L248,weekly!$H$2:$H$188,0))</f>
        <v>0</v>
      </c>
      <c r="I248">
        <f>INDEX(weekly!$F$2:$F$188,MATCH('Marketing Campaigns 22.11.22'!L248,weekly!$H$2:$H$188,0))</f>
        <v>0</v>
      </c>
      <c r="J248">
        <v>0</v>
      </c>
      <c r="K248">
        <v>0</v>
      </c>
      <c r="L248" t="str">
        <f t="shared" si="6"/>
        <v>16-4-2021</v>
      </c>
      <c r="M248">
        <f t="shared" si="7"/>
        <v>2021</v>
      </c>
    </row>
    <row r="249" spans="1:13" x14ac:dyDescent="0.2">
      <c r="A249" s="1">
        <v>44305</v>
      </c>
      <c r="B249">
        <v>16</v>
      </c>
      <c r="C249">
        <v>4</v>
      </c>
      <c r="D249">
        <v>2</v>
      </c>
      <c r="E249" t="s">
        <v>44</v>
      </c>
      <c r="F249">
        <v>0</v>
      </c>
      <c r="G249">
        <f>INDEX(weekly!$E$2:$E$188,MATCH('Marketing Campaigns 22.11.22'!L249,weekly!$H$2:$H$188,0))</f>
        <v>0</v>
      </c>
      <c r="H249">
        <f>INDEX(weekly!$D$2:$D$188,MATCH('Marketing Campaigns 22.11.22'!L249,weekly!$H$2:$H$188,0))</f>
        <v>0</v>
      </c>
      <c r="I249">
        <f>INDEX(weekly!$F$2:$F$188,MATCH('Marketing Campaigns 22.11.22'!L249,weekly!$H$2:$H$188,0))</f>
        <v>0</v>
      </c>
      <c r="J249">
        <v>0</v>
      </c>
      <c r="K249">
        <v>0</v>
      </c>
      <c r="L249" t="str">
        <f t="shared" si="6"/>
        <v>16-4-2021</v>
      </c>
      <c r="M249">
        <f t="shared" si="7"/>
        <v>2021</v>
      </c>
    </row>
    <row r="250" spans="1:13" x14ac:dyDescent="0.2">
      <c r="A250" s="1">
        <v>44305</v>
      </c>
      <c r="B250">
        <v>16</v>
      </c>
      <c r="C250">
        <v>4</v>
      </c>
      <c r="D250">
        <v>2</v>
      </c>
      <c r="E250" t="s">
        <v>45</v>
      </c>
      <c r="F250">
        <v>0</v>
      </c>
      <c r="G250">
        <f>INDEX(weekly!$E$2:$E$188,MATCH('Marketing Campaigns 22.11.22'!L250,weekly!$H$2:$H$188,0))</f>
        <v>0</v>
      </c>
      <c r="H250">
        <f>INDEX(weekly!$D$2:$D$188,MATCH('Marketing Campaigns 22.11.22'!L250,weekly!$H$2:$H$188,0))</f>
        <v>0</v>
      </c>
      <c r="I250">
        <f>INDEX(weekly!$F$2:$F$188,MATCH('Marketing Campaigns 22.11.22'!L250,weekly!$H$2:$H$188,0))</f>
        <v>0</v>
      </c>
      <c r="J250">
        <v>0</v>
      </c>
      <c r="K250">
        <v>0</v>
      </c>
      <c r="L250" t="str">
        <f t="shared" si="6"/>
        <v>16-4-2021</v>
      </c>
      <c r="M250">
        <f t="shared" si="7"/>
        <v>2021</v>
      </c>
    </row>
    <row r="251" spans="1:13" x14ac:dyDescent="0.2">
      <c r="A251" s="1">
        <v>44305</v>
      </c>
      <c r="B251">
        <v>16</v>
      </c>
      <c r="C251">
        <v>4</v>
      </c>
      <c r="D251">
        <v>2</v>
      </c>
      <c r="E251" t="s">
        <v>46</v>
      </c>
      <c r="F251">
        <v>0</v>
      </c>
      <c r="G251">
        <f>INDEX(weekly!$E$2:$E$188,MATCH('Marketing Campaigns 22.11.22'!L251,weekly!$H$2:$H$188,0))</f>
        <v>0</v>
      </c>
      <c r="H251">
        <f>INDEX(weekly!$D$2:$D$188,MATCH('Marketing Campaigns 22.11.22'!L251,weekly!$H$2:$H$188,0))</f>
        <v>0</v>
      </c>
      <c r="I251">
        <f>INDEX(weekly!$F$2:$F$188,MATCH('Marketing Campaigns 22.11.22'!L251,weekly!$H$2:$H$188,0))</f>
        <v>0</v>
      </c>
      <c r="J251">
        <v>0</v>
      </c>
      <c r="K251">
        <v>0</v>
      </c>
      <c r="L251" t="str">
        <f t="shared" si="6"/>
        <v>16-4-2021</v>
      </c>
      <c r="M251">
        <f t="shared" si="7"/>
        <v>2021</v>
      </c>
    </row>
    <row r="252" spans="1:13" x14ac:dyDescent="0.2">
      <c r="A252" s="1">
        <v>44305</v>
      </c>
      <c r="B252">
        <v>16</v>
      </c>
      <c r="C252">
        <v>4</v>
      </c>
      <c r="D252">
        <v>2</v>
      </c>
      <c r="E252" t="s">
        <v>47</v>
      </c>
      <c r="F252">
        <v>0</v>
      </c>
      <c r="G252">
        <f>INDEX(weekly!$E$2:$E$188,MATCH('Marketing Campaigns 22.11.22'!L252,weekly!$H$2:$H$188,0))</f>
        <v>0</v>
      </c>
      <c r="H252">
        <f>INDEX(weekly!$D$2:$D$188,MATCH('Marketing Campaigns 22.11.22'!L252,weekly!$H$2:$H$188,0))</f>
        <v>0</v>
      </c>
      <c r="I252">
        <f>INDEX(weekly!$F$2:$F$188,MATCH('Marketing Campaigns 22.11.22'!L252,weekly!$H$2:$H$188,0))</f>
        <v>0</v>
      </c>
      <c r="J252">
        <v>0</v>
      </c>
      <c r="K252">
        <v>0</v>
      </c>
      <c r="L252" t="str">
        <f t="shared" si="6"/>
        <v>16-4-2021</v>
      </c>
      <c r="M252">
        <f t="shared" si="7"/>
        <v>2021</v>
      </c>
    </row>
    <row r="253" spans="1:13" x14ac:dyDescent="0.2">
      <c r="A253" s="1">
        <v>44305</v>
      </c>
      <c r="B253">
        <v>16</v>
      </c>
      <c r="C253">
        <v>4</v>
      </c>
      <c r="D253">
        <v>2</v>
      </c>
      <c r="E253" t="s">
        <v>48</v>
      </c>
      <c r="F253">
        <v>0</v>
      </c>
      <c r="G253">
        <f>INDEX(weekly!$E$2:$E$188,MATCH('Marketing Campaigns 22.11.22'!L253,weekly!$H$2:$H$188,0))</f>
        <v>0</v>
      </c>
      <c r="H253">
        <f>INDEX(weekly!$D$2:$D$188,MATCH('Marketing Campaigns 22.11.22'!L253,weekly!$H$2:$H$188,0))</f>
        <v>0</v>
      </c>
      <c r="I253">
        <f>INDEX(weekly!$F$2:$F$188,MATCH('Marketing Campaigns 22.11.22'!L253,weekly!$H$2:$H$188,0))</f>
        <v>0</v>
      </c>
      <c r="J253">
        <v>0</v>
      </c>
      <c r="K253">
        <v>0</v>
      </c>
      <c r="L253" t="str">
        <f t="shared" si="6"/>
        <v>16-4-2021</v>
      </c>
      <c r="M253">
        <f t="shared" si="7"/>
        <v>2021</v>
      </c>
    </row>
    <row r="254" spans="1:13" x14ac:dyDescent="0.2">
      <c r="A254" s="1">
        <v>44305</v>
      </c>
      <c r="B254">
        <v>16</v>
      </c>
      <c r="C254">
        <v>4</v>
      </c>
      <c r="D254">
        <v>2</v>
      </c>
      <c r="E254" t="s">
        <v>49</v>
      </c>
      <c r="F254">
        <v>0</v>
      </c>
      <c r="G254">
        <f>INDEX(weekly!$E$2:$E$188,MATCH('Marketing Campaigns 22.11.22'!L254,weekly!$H$2:$H$188,0))</f>
        <v>0</v>
      </c>
      <c r="H254">
        <f>INDEX(weekly!$D$2:$D$188,MATCH('Marketing Campaigns 22.11.22'!L254,weekly!$H$2:$H$188,0))</f>
        <v>0</v>
      </c>
      <c r="I254">
        <f>INDEX(weekly!$F$2:$F$188,MATCH('Marketing Campaigns 22.11.22'!L254,weekly!$H$2:$H$188,0))</f>
        <v>0</v>
      </c>
      <c r="J254">
        <v>0</v>
      </c>
      <c r="K254">
        <v>0</v>
      </c>
      <c r="L254" t="str">
        <f t="shared" si="6"/>
        <v>16-4-2021</v>
      </c>
      <c r="M254">
        <f t="shared" si="7"/>
        <v>2021</v>
      </c>
    </row>
    <row r="255" spans="1:13" x14ac:dyDescent="0.2">
      <c r="A255" s="1">
        <v>44305</v>
      </c>
      <c r="B255">
        <v>16</v>
      </c>
      <c r="C255">
        <v>4</v>
      </c>
      <c r="D255">
        <v>2</v>
      </c>
      <c r="E255" t="s">
        <v>50</v>
      </c>
      <c r="F255">
        <v>0</v>
      </c>
      <c r="G255">
        <f>INDEX(weekly!$E$2:$E$188,MATCH('Marketing Campaigns 22.11.22'!L255,weekly!$H$2:$H$188,0))</f>
        <v>0</v>
      </c>
      <c r="H255">
        <f>INDEX(weekly!$D$2:$D$188,MATCH('Marketing Campaigns 22.11.22'!L255,weekly!$H$2:$H$188,0))</f>
        <v>0</v>
      </c>
      <c r="I255">
        <f>INDEX(weekly!$F$2:$F$188,MATCH('Marketing Campaigns 22.11.22'!L255,weekly!$H$2:$H$188,0))</f>
        <v>0</v>
      </c>
      <c r="J255">
        <v>0</v>
      </c>
      <c r="K255">
        <v>0</v>
      </c>
      <c r="L255" t="str">
        <f t="shared" si="6"/>
        <v>16-4-2021</v>
      </c>
      <c r="M255">
        <f t="shared" si="7"/>
        <v>2021</v>
      </c>
    </row>
    <row r="256" spans="1:13" x14ac:dyDescent="0.2">
      <c r="A256" s="1">
        <v>44305</v>
      </c>
      <c r="B256">
        <v>16</v>
      </c>
      <c r="C256">
        <v>4</v>
      </c>
      <c r="D256">
        <v>2</v>
      </c>
      <c r="E256" t="s">
        <v>51</v>
      </c>
      <c r="F256">
        <v>0</v>
      </c>
      <c r="G256">
        <f>INDEX(weekly!$E$2:$E$188,MATCH('Marketing Campaigns 22.11.22'!L256,weekly!$H$2:$H$188,0))</f>
        <v>0</v>
      </c>
      <c r="H256">
        <f>INDEX(weekly!$D$2:$D$188,MATCH('Marketing Campaigns 22.11.22'!L256,weekly!$H$2:$H$188,0))</f>
        <v>0</v>
      </c>
      <c r="I256">
        <f>INDEX(weekly!$F$2:$F$188,MATCH('Marketing Campaigns 22.11.22'!L256,weekly!$H$2:$H$188,0))</f>
        <v>0</v>
      </c>
      <c r="J256">
        <v>0</v>
      </c>
      <c r="K256">
        <v>0</v>
      </c>
      <c r="L256" t="str">
        <f t="shared" si="6"/>
        <v>16-4-2021</v>
      </c>
      <c r="M256">
        <f t="shared" si="7"/>
        <v>2021</v>
      </c>
    </row>
    <row r="257" spans="1:13" x14ac:dyDescent="0.2">
      <c r="A257" s="1">
        <v>44305</v>
      </c>
      <c r="B257">
        <v>16</v>
      </c>
      <c r="C257">
        <v>4</v>
      </c>
      <c r="D257">
        <v>2</v>
      </c>
      <c r="E257" t="s">
        <v>52</v>
      </c>
      <c r="F257">
        <v>0</v>
      </c>
      <c r="G257">
        <f>INDEX(weekly!$E$2:$E$188,MATCH('Marketing Campaigns 22.11.22'!L257,weekly!$H$2:$H$188,0))</f>
        <v>0</v>
      </c>
      <c r="H257">
        <f>INDEX(weekly!$D$2:$D$188,MATCH('Marketing Campaigns 22.11.22'!L257,weekly!$H$2:$H$188,0))</f>
        <v>0</v>
      </c>
      <c r="I257">
        <f>INDEX(weekly!$F$2:$F$188,MATCH('Marketing Campaigns 22.11.22'!L257,weekly!$H$2:$H$188,0))</f>
        <v>0</v>
      </c>
      <c r="J257">
        <v>0</v>
      </c>
      <c r="K257">
        <v>0</v>
      </c>
      <c r="L257" t="str">
        <f t="shared" si="6"/>
        <v>16-4-2021</v>
      </c>
      <c r="M257">
        <f t="shared" si="7"/>
        <v>2021</v>
      </c>
    </row>
    <row r="258" spans="1:13" x14ac:dyDescent="0.2">
      <c r="A258" s="1">
        <v>44312</v>
      </c>
      <c r="B258">
        <v>17</v>
      </c>
      <c r="C258">
        <v>4</v>
      </c>
      <c r="D258">
        <v>2</v>
      </c>
      <c r="E258" t="s">
        <v>24</v>
      </c>
      <c r="F258">
        <v>0</v>
      </c>
      <c r="G258">
        <f>INDEX(weekly!$E$2:$E$188,MATCH('Marketing Campaigns 22.11.22'!L258,weekly!$H$2:$H$188,0))</f>
        <v>0</v>
      </c>
      <c r="H258">
        <f>INDEX(weekly!$D$2:$D$188,MATCH('Marketing Campaigns 22.11.22'!L258,weekly!$H$2:$H$188,0))</f>
        <v>0</v>
      </c>
      <c r="I258">
        <f>INDEX(weekly!$F$2:$F$188,MATCH('Marketing Campaigns 22.11.22'!L258,weekly!$H$2:$H$188,0))</f>
        <v>0</v>
      </c>
      <c r="J258">
        <v>0</v>
      </c>
      <c r="K258">
        <v>0</v>
      </c>
      <c r="L258" t="str">
        <f t="shared" si="6"/>
        <v>17-4-2021</v>
      </c>
      <c r="M258">
        <f t="shared" si="7"/>
        <v>2021</v>
      </c>
    </row>
    <row r="259" spans="1:13" x14ac:dyDescent="0.2">
      <c r="A259" s="1">
        <v>44312</v>
      </c>
      <c r="B259">
        <v>17</v>
      </c>
      <c r="C259">
        <v>4</v>
      </c>
      <c r="D259">
        <v>2</v>
      </c>
      <c r="E259" t="s">
        <v>39</v>
      </c>
      <c r="F259">
        <v>0</v>
      </c>
      <c r="G259">
        <f>INDEX(weekly!$E$2:$E$188,MATCH('Marketing Campaigns 22.11.22'!L259,weekly!$H$2:$H$188,0))</f>
        <v>0</v>
      </c>
      <c r="H259">
        <f>INDEX(weekly!$D$2:$D$188,MATCH('Marketing Campaigns 22.11.22'!L259,weekly!$H$2:$H$188,0))</f>
        <v>0</v>
      </c>
      <c r="I259">
        <f>INDEX(weekly!$F$2:$F$188,MATCH('Marketing Campaigns 22.11.22'!L259,weekly!$H$2:$H$188,0))</f>
        <v>0</v>
      </c>
      <c r="J259">
        <v>0</v>
      </c>
      <c r="K259">
        <v>0</v>
      </c>
      <c r="L259" t="str">
        <f t="shared" si="6"/>
        <v>17-4-2021</v>
      </c>
      <c r="M259">
        <f t="shared" si="7"/>
        <v>2021</v>
      </c>
    </row>
    <row r="260" spans="1:13" x14ac:dyDescent="0.2">
      <c r="A260" s="1">
        <v>44312</v>
      </c>
      <c r="B260">
        <v>17</v>
      </c>
      <c r="C260">
        <v>4</v>
      </c>
      <c r="D260">
        <v>2</v>
      </c>
      <c r="E260" t="s">
        <v>40</v>
      </c>
      <c r="F260">
        <v>0</v>
      </c>
      <c r="G260">
        <f>INDEX(weekly!$E$2:$E$188,MATCH('Marketing Campaigns 22.11.22'!L260,weekly!$H$2:$H$188,0))</f>
        <v>0</v>
      </c>
      <c r="H260">
        <f>INDEX(weekly!$D$2:$D$188,MATCH('Marketing Campaigns 22.11.22'!L260,weekly!$H$2:$H$188,0))</f>
        <v>0</v>
      </c>
      <c r="I260">
        <f>INDEX(weekly!$F$2:$F$188,MATCH('Marketing Campaigns 22.11.22'!L260,weekly!$H$2:$H$188,0))</f>
        <v>0</v>
      </c>
      <c r="J260">
        <v>0</v>
      </c>
      <c r="K260">
        <v>0</v>
      </c>
      <c r="L260" t="str">
        <f t="shared" ref="L260:L323" si="8">B260&amp;"-"&amp;C260&amp;"-"&amp;M260</f>
        <v>17-4-2021</v>
      </c>
      <c r="M260">
        <f t="shared" ref="M260:M323" si="9">YEAR(A260)</f>
        <v>2021</v>
      </c>
    </row>
    <row r="261" spans="1:13" x14ac:dyDescent="0.2">
      <c r="A261" s="1">
        <v>44312</v>
      </c>
      <c r="B261">
        <v>17</v>
      </c>
      <c r="C261">
        <v>4</v>
      </c>
      <c r="D261">
        <v>2</v>
      </c>
      <c r="E261" t="s">
        <v>41</v>
      </c>
      <c r="F261">
        <v>0</v>
      </c>
      <c r="G261">
        <f>INDEX(weekly!$E$2:$E$188,MATCH('Marketing Campaigns 22.11.22'!L261,weekly!$H$2:$H$188,0))</f>
        <v>0</v>
      </c>
      <c r="H261">
        <f>INDEX(weekly!$D$2:$D$188,MATCH('Marketing Campaigns 22.11.22'!L261,weekly!$H$2:$H$188,0))</f>
        <v>0</v>
      </c>
      <c r="I261">
        <f>INDEX(weekly!$F$2:$F$188,MATCH('Marketing Campaigns 22.11.22'!L261,weekly!$H$2:$H$188,0))</f>
        <v>0</v>
      </c>
      <c r="J261">
        <v>0</v>
      </c>
      <c r="K261">
        <v>0</v>
      </c>
      <c r="L261" t="str">
        <f t="shared" si="8"/>
        <v>17-4-2021</v>
      </c>
      <c r="M261">
        <f t="shared" si="9"/>
        <v>2021</v>
      </c>
    </row>
    <row r="262" spans="1:13" x14ac:dyDescent="0.2">
      <c r="A262" s="1">
        <v>44312</v>
      </c>
      <c r="B262">
        <v>17</v>
      </c>
      <c r="C262">
        <v>4</v>
      </c>
      <c r="D262">
        <v>2</v>
      </c>
      <c r="E262" t="s">
        <v>42</v>
      </c>
      <c r="F262">
        <v>0</v>
      </c>
      <c r="G262">
        <f>INDEX(weekly!$E$2:$E$188,MATCH('Marketing Campaigns 22.11.22'!L262,weekly!$H$2:$H$188,0))</f>
        <v>0</v>
      </c>
      <c r="H262">
        <f>INDEX(weekly!$D$2:$D$188,MATCH('Marketing Campaigns 22.11.22'!L262,weekly!$H$2:$H$188,0))</f>
        <v>0</v>
      </c>
      <c r="I262">
        <f>INDEX(weekly!$F$2:$F$188,MATCH('Marketing Campaigns 22.11.22'!L262,weekly!$H$2:$H$188,0))</f>
        <v>0</v>
      </c>
      <c r="J262">
        <v>0</v>
      </c>
      <c r="K262">
        <v>0</v>
      </c>
      <c r="L262" t="str">
        <f t="shared" si="8"/>
        <v>17-4-2021</v>
      </c>
      <c r="M262">
        <f t="shared" si="9"/>
        <v>2021</v>
      </c>
    </row>
    <row r="263" spans="1:13" x14ac:dyDescent="0.2">
      <c r="A263" s="1">
        <v>44312</v>
      </c>
      <c r="B263">
        <v>17</v>
      </c>
      <c r="C263">
        <v>4</v>
      </c>
      <c r="D263">
        <v>2</v>
      </c>
      <c r="E263" t="s">
        <v>43</v>
      </c>
      <c r="F263">
        <v>0</v>
      </c>
      <c r="G263">
        <f>INDEX(weekly!$E$2:$E$188,MATCH('Marketing Campaigns 22.11.22'!L263,weekly!$H$2:$H$188,0))</f>
        <v>0</v>
      </c>
      <c r="H263">
        <f>INDEX(weekly!$D$2:$D$188,MATCH('Marketing Campaigns 22.11.22'!L263,weekly!$H$2:$H$188,0))</f>
        <v>0</v>
      </c>
      <c r="I263">
        <f>INDEX(weekly!$F$2:$F$188,MATCH('Marketing Campaigns 22.11.22'!L263,weekly!$H$2:$H$188,0))</f>
        <v>0</v>
      </c>
      <c r="J263">
        <v>0</v>
      </c>
      <c r="K263">
        <v>0</v>
      </c>
      <c r="L263" t="str">
        <f t="shared" si="8"/>
        <v>17-4-2021</v>
      </c>
      <c r="M263">
        <f t="shared" si="9"/>
        <v>2021</v>
      </c>
    </row>
    <row r="264" spans="1:13" x14ac:dyDescent="0.2">
      <c r="A264" s="1">
        <v>44312</v>
      </c>
      <c r="B264">
        <v>17</v>
      </c>
      <c r="C264">
        <v>4</v>
      </c>
      <c r="D264">
        <v>2</v>
      </c>
      <c r="E264" t="s">
        <v>44</v>
      </c>
      <c r="F264">
        <v>0</v>
      </c>
      <c r="G264">
        <f>INDEX(weekly!$E$2:$E$188,MATCH('Marketing Campaigns 22.11.22'!L264,weekly!$H$2:$H$188,0))</f>
        <v>0</v>
      </c>
      <c r="H264">
        <f>INDEX(weekly!$D$2:$D$188,MATCH('Marketing Campaigns 22.11.22'!L264,weekly!$H$2:$H$188,0))</f>
        <v>0</v>
      </c>
      <c r="I264">
        <f>INDEX(weekly!$F$2:$F$188,MATCH('Marketing Campaigns 22.11.22'!L264,weekly!$H$2:$H$188,0))</f>
        <v>0</v>
      </c>
      <c r="J264">
        <v>0</v>
      </c>
      <c r="K264">
        <v>0</v>
      </c>
      <c r="L264" t="str">
        <f t="shared" si="8"/>
        <v>17-4-2021</v>
      </c>
      <c r="M264">
        <f t="shared" si="9"/>
        <v>2021</v>
      </c>
    </row>
    <row r="265" spans="1:13" x14ac:dyDescent="0.2">
      <c r="A265" s="1">
        <v>44312</v>
      </c>
      <c r="B265">
        <v>17</v>
      </c>
      <c r="C265">
        <v>4</v>
      </c>
      <c r="D265">
        <v>2</v>
      </c>
      <c r="E265" t="s">
        <v>45</v>
      </c>
      <c r="F265">
        <v>0</v>
      </c>
      <c r="G265">
        <f>INDEX(weekly!$E$2:$E$188,MATCH('Marketing Campaigns 22.11.22'!L265,weekly!$H$2:$H$188,0))</f>
        <v>0</v>
      </c>
      <c r="H265">
        <f>INDEX(weekly!$D$2:$D$188,MATCH('Marketing Campaigns 22.11.22'!L265,weekly!$H$2:$H$188,0))</f>
        <v>0</v>
      </c>
      <c r="I265">
        <f>INDEX(weekly!$F$2:$F$188,MATCH('Marketing Campaigns 22.11.22'!L265,weekly!$H$2:$H$188,0))</f>
        <v>0</v>
      </c>
      <c r="J265">
        <v>0</v>
      </c>
      <c r="K265">
        <v>0</v>
      </c>
      <c r="L265" t="str">
        <f t="shared" si="8"/>
        <v>17-4-2021</v>
      </c>
      <c r="M265">
        <f t="shared" si="9"/>
        <v>2021</v>
      </c>
    </row>
    <row r="266" spans="1:13" x14ac:dyDescent="0.2">
      <c r="A266" s="1">
        <v>44312</v>
      </c>
      <c r="B266">
        <v>17</v>
      </c>
      <c r="C266">
        <v>4</v>
      </c>
      <c r="D266">
        <v>2</v>
      </c>
      <c r="E266" t="s">
        <v>46</v>
      </c>
      <c r="F266">
        <v>0</v>
      </c>
      <c r="G266">
        <f>INDEX(weekly!$E$2:$E$188,MATCH('Marketing Campaigns 22.11.22'!L266,weekly!$H$2:$H$188,0))</f>
        <v>0</v>
      </c>
      <c r="H266">
        <f>INDEX(weekly!$D$2:$D$188,MATCH('Marketing Campaigns 22.11.22'!L266,weekly!$H$2:$H$188,0))</f>
        <v>0</v>
      </c>
      <c r="I266">
        <f>INDEX(weekly!$F$2:$F$188,MATCH('Marketing Campaigns 22.11.22'!L266,weekly!$H$2:$H$188,0))</f>
        <v>0</v>
      </c>
      <c r="J266">
        <v>0</v>
      </c>
      <c r="K266">
        <v>0</v>
      </c>
      <c r="L266" t="str">
        <f t="shared" si="8"/>
        <v>17-4-2021</v>
      </c>
      <c r="M266">
        <f t="shared" si="9"/>
        <v>2021</v>
      </c>
    </row>
    <row r="267" spans="1:13" x14ac:dyDescent="0.2">
      <c r="A267" s="1">
        <v>44312</v>
      </c>
      <c r="B267">
        <v>17</v>
      </c>
      <c r="C267">
        <v>4</v>
      </c>
      <c r="D267">
        <v>2</v>
      </c>
      <c r="E267" t="s">
        <v>47</v>
      </c>
      <c r="F267">
        <v>0</v>
      </c>
      <c r="G267">
        <f>INDEX(weekly!$E$2:$E$188,MATCH('Marketing Campaigns 22.11.22'!L267,weekly!$H$2:$H$188,0))</f>
        <v>0</v>
      </c>
      <c r="H267">
        <f>INDEX(weekly!$D$2:$D$188,MATCH('Marketing Campaigns 22.11.22'!L267,weekly!$H$2:$H$188,0))</f>
        <v>0</v>
      </c>
      <c r="I267">
        <f>INDEX(weekly!$F$2:$F$188,MATCH('Marketing Campaigns 22.11.22'!L267,weekly!$H$2:$H$188,0))</f>
        <v>0</v>
      </c>
      <c r="J267">
        <v>0</v>
      </c>
      <c r="K267">
        <v>0</v>
      </c>
      <c r="L267" t="str">
        <f t="shared" si="8"/>
        <v>17-4-2021</v>
      </c>
      <c r="M267">
        <f t="shared" si="9"/>
        <v>2021</v>
      </c>
    </row>
    <row r="268" spans="1:13" x14ac:dyDescent="0.2">
      <c r="A268" s="1">
        <v>44312</v>
      </c>
      <c r="B268">
        <v>17</v>
      </c>
      <c r="C268">
        <v>4</v>
      </c>
      <c r="D268">
        <v>2</v>
      </c>
      <c r="E268" t="s">
        <v>48</v>
      </c>
      <c r="F268">
        <v>0</v>
      </c>
      <c r="G268">
        <f>INDEX(weekly!$E$2:$E$188,MATCH('Marketing Campaigns 22.11.22'!L268,weekly!$H$2:$H$188,0))</f>
        <v>0</v>
      </c>
      <c r="H268">
        <f>INDEX(weekly!$D$2:$D$188,MATCH('Marketing Campaigns 22.11.22'!L268,weekly!$H$2:$H$188,0))</f>
        <v>0</v>
      </c>
      <c r="I268">
        <f>INDEX(weekly!$F$2:$F$188,MATCH('Marketing Campaigns 22.11.22'!L268,weekly!$H$2:$H$188,0))</f>
        <v>0</v>
      </c>
      <c r="J268">
        <v>0</v>
      </c>
      <c r="K268">
        <v>0</v>
      </c>
      <c r="L268" t="str">
        <f t="shared" si="8"/>
        <v>17-4-2021</v>
      </c>
      <c r="M268">
        <f t="shared" si="9"/>
        <v>2021</v>
      </c>
    </row>
    <row r="269" spans="1:13" x14ac:dyDescent="0.2">
      <c r="A269" s="1">
        <v>44312</v>
      </c>
      <c r="B269">
        <v>17</v>
      </c>
      <c r="C269">
        <v>4</v>
      </c>
      <c r="D269">
        <v>2</v>
      </c>
      <c r="E269" t="s">
        <v>49</v>
      </c>
      <c r="F269">
        <v>0</v>
      </c>
      <c r="G269">
        <f>INDEX(weekly!$E$2:$E$188,MATCH('Marketing Campaigns 22.11.22'!L269,weekly!$H$2:$H$188,0))</f>
        <v>0</v>
      </c>
      <c r="H269">
        <f>INDEX(weekly!$D$2:$D$188,MATCH('Marketing Campaigns 22.11.22'!L269,weekly!$H$2:$H$188,0))</f>
        <v>0</v>
      </c>
      <c r="I269">
        <f>INDEX(weekly!$F$2:$F$188,MATCH('Marketing Campaigns 22.11.22'!L269,weekly!$H$2:$H$188,0))</f>
        <v>0</v>
      </c>
      <c r="J269">
        <v>0</v>
      </c>
      <c r="K269">
        <v>0</v>
      </c>
      <c r="L269" t="str">
        <f t="shared" si="8"/>
        <v>17-4-2021</v>
      </c>
      <c r="M269">
        <f t="shared" si="9"/>
        <v>2021</v>
      </c>
    </row>
    <row r="270" spans="1:13" x14ac:dyDescent="0.2">
      <c r="A270" s="1">
        <v>44312</v>
      </c>
      <c r="B270">
        <v>17</v>
      </c>
      <c r="C270">
        <v>4</v>
      </c>
      <c r="D270">
        <v>2</v>
      </c>
      <c r="E270" t="s">
        <v>50</v>
      </c>
      <c r="F270">
        <v>0</v>
      </c>
      <c r="G270">
        <f>INDEX(weekly!$E$2:$E$188,MATCH('Marketing Campaigns 22.11.22'!L270,weekly!$H$2:$H$188,0))</f>
        <v>0</v>
      </c>
      <c r="H270">
        <f>INDEX(weekly!$D$2:$D$188,MATCH('Marketing Campaigns 22.11.22'!L270,weekly!$H$2:$H$188,0))</f>
        <v>0</v>
      </c>
      <c r="I270">
        <f>INDEX(weekly!$F$2:$F$188,MATCH('Marketing Campaigns 22.11.22'!L270,weekly!$H$2:$H$188,0))</f>
        <v>0</v>
      </c>
      <c r="J270">
        <v>0</v>
      </c>
      <c r="K270">
        <v>0</v>
      </c>
      <c r="L270" t="str">
        <f t="shared" si="8"/>
        <v>17-4-2021</v>
      </c>
      <c r="M270">
        <f t="shared" si="9"/>
        <v>2021</v>
      </c>
    </row>
    <row r="271" spans="1:13" x14ac:dyDescent="0.2">
      <c r="A271" s="1">
        <v>44312</v>
      </c>
      <c r="B271">
        <v>17</v>
      </c>
      <c r="C271">
        <v>4</v>
      </c>
      <c r="D271">
        <v>2</v>
      </c>
      <c r="E271" t="s">
        <v>51</v>
      </c>
      <c r="F271">
        <v>0</v>
      </c>
      <c r="G271">
        <f>INDEX(weekly!$E$2:$E$188,MATCH('Marketing Campaigns 22.11.22'!L271,weekly!$H$2:$H$188,0))</f>
        <v>0</v>
      </c>
      <c r="H271">
        <f>INDEX(weekly!$D$2:$D$188,MATCH('Marketing Campaigns 22.11.22'!L271,weekly!$H$2:$H$188,0))</f>
        <v>0</v>
      </c>
      <c r="I271">
        <f>INDEX(weekly!$F$2:$F$188,MATCH('Marketing Campaigns 22.11.22'!L271,weekly!$H$2:$H$188,0))</f>
        <v>0</v>
      </c>
      <c r="J271">
        <v>0</v>
      </c>
      <c r="K271">
        <v>0</v>
      </c>
      <c r="L271" t="str">
        <f t="shared" si="8"/>
        <v>17-4-2021</v>
      </c>
      <c r="M271">
        <f t="shared" si="9"/>
        <v>2021</v>
      </c>
    </row>
    <row r="272" spans="1:13" x14ac:dyDescent="0.2">
      <c r="A272" s="1">
        <v>44312</v>
      </c>
      <c r="B272">
        <v>17</v>
      </c>
      <c r="C272">
        <v>4</v>
      </c>
      <c r="D272">
        <v>2</v>
      </c>
      <c r="E272" t="s">
        <v>52</v>
      </c>
      <c r="F272">
        <v>0</v>
      </c>
      <c r="G272">
        <f>INDEX(weekly!$E$2:$E$188,MATCH('Marketing Campaigns 22.11.22'!L272,weekly!$H$2:$H$188,0))</f>
        <v>0</v>
      </c>
      <c r="H272">
        <f>INDEX(weekly!$D$2:$D$188,MATCH('Marketing Campaigns 22.11.22'!L272,weekly!$H$2:$H$188,0))</f>
        <v>0</v>
      </c>
      <c r="I272">
        <f>INDEX(weekly!$F$2:$F$188,MATCH('Marketing Campaigns 22.11.22'!L272,weekly!$H$2:$H$188,0))</f>
        <v>0</v>
      </c>
      <c r="J272">
        <v>0</v>
      </c>
      <c r="K272">
        <v>0</v>
      </c>
      <c r="L272" t="str">
        <f t="shared" si="8"/>
        <v>17-4-2021</v>
      </c>
      <c r="M272">
        <f t="shared" si="9"/>
        <v>2021</v>
      </c>
    </row>
    <row r="273" spans="1:13" x14ac:dyDescent="0.2">
      <c r="A273" s="1">
        <v>44319</v>
      </c>
      <c r="B273">
        <v>18</v>
      </c>
      <c r="C273">
        <v>5</v>
      </c>
      <c r="D273">
        <v>2</v>
      </c>
      <c r="E273" t="s">
        <v>24</v>
      </c>
      <c r="F273">
        <v>0</v>
      </c>
      <c r="G273">
        <f>INDEX(weekly!$E$2:$E$188,MATCH('Marketing Campaigns 22.11.22'!L273,weekly!$H$2:$H$188,0))</f>
        <v>0</v>
      </c>
      <c r="H273">
        <f>INDEX(weekly!$D$2:$D$188,MATCH('Marketing Campaigns 22.11.22'!L273,weekly!$H$2:$H$188,0))</f>
        <v>0</v>
      </c>
      <c r="I273">
        <f>INDEX(weekly!$F$2:$F$188,MATCH('Marketing Campaigns 22.11.22'!L273,weekly!$H$2:$H$188,0))</f>
        <v>0</v>
      </c>
      <c r="J273">
        <v>0</v>
      </c>
      <c r="K273">
        <v>0</v>
      </c>
      <c r="L273" t="str">
        <f t="shared" si="8"/>
        <v>18-5-2021</v>
      </c>
      <c r="M273">
        <f t="shared" si="9"/>
        <v>2021</v>
      </c>
    </row>
    <row r="274" spans="1:13" x14ac:dyDescent="0.2">
      <c r="A274" s="1">
        <v>44319</v>
      </c>
      <c r="B274">
        <v>18</v>
      </c>
      <c r="C274">
        <v>5</v>
      </c>
      <c r="D274">
        <v>2</v>
      </c>
      <c r="E274" t="s">
        <v>39</v>
      </c>
      <c r="F274">
        <v>0</v>
      </c>
      <c r="G274">
        <f>INDEX(weekly!$E$2:$E$188,MATCH('Marketing Campaigns 22.11.22'!L274,weekly!$H$2:$H$188,0))</f>
        <v>0</v>
      </c>
      <c r="H274">
        <f>INDEX(weekly!$D$2:$D$188,MATCH('Marketing Campaigns 22.11.22'!L274,weekly!$H$2:$H$188,0))</f>
        <v>0</v>
      </c>
      <c r="I274">
        <f>INDEX(weekly!$F$2:$F$188,MATCH('Marketing Campaigns 22.11.22'!L274,weekly!$H$2:$H$188,0))</f>
        <v>0</v>
      </c>
      <c r="J274">
        <v>0</v>
      </c>
      <c r="K274">
        <v>0</v>
      </c>
      <c r="L274" t="str">
        <f t="shared" si="8"/>
        <v>18-5-2021</v>
      </c>
      <c r="M274">
        <f t="shared" si="9"/>
        <v>2021</v>
      </c>
    </row>
    <row r="275" spans="1:13" x14ac:dyDescent="0.2">
      <c r="A275" s="1">
        <v>44319</v>
      </c>
      <c r="B275">
        <v>18</v>
      </c>
      <c r="C275">
        <v>5</v>
      </c>
      <c r="D275">
        <v>2</v>
      </c>
      <c r="E275" t="s">
        <v>40</v>
      </c>
      <c r="F275">
        <v>0</v>
      </c>
      <c r="G275">
        <f>INDEX(weekly!$E$2:$E$188,MATCH('Marketing Campaigns 22.11.22'!L275,weekly!$H$2:$H$188,0))</f>
        <v>0</v>
      </c>
      <c r="H275">
        <f>INDEX(weekly!$D$2:$D$188,MATCH('Marketing Campaigns 22.11.22'!L275,weekly!$H$2:$H$188,0))</f>
        <v>0</v>
      </c>
      <c r="I275">
        <f>INDEX(weekly!$F$2:$F$188,MATCH('Marketing Campaigns 22.11.22'!L275,weekly!$H$2:$H$188,0))</f>
        <v>0</v>
      </c>
      <c r="J275">
        <v>0</v>
      </c>
      <c r="K275">
        <v>0</v>
      </c>
      <c r="L275" t="str">
        <f t="shared" si="8"/>
        <v>18-5-2021</v>
      </c>
      <c r="M275">
        <f t="shared" si="9"/>
        <v>2021</v>
      </c>
    </row>
    <row r="276" spans="1:13" x14ac:dyDescent="0.2">
      <c r="A276" s="1">
        <v>44319</v>
      </c>
      <c r="B276">
        <v>18</v>
      </c>
      <c r="C276">
        <v>5</v>
      </c>
      <c r="D276">
        <v>2</v>
      </c>
      <c r="E276" t="s">
        <v>41</v>
      </c>
      <c r="F276">
        <v>0</v>
      </c>
      <c r="G276">
        <f>INDEX(weekly!$E$2:$E$188,MATCH('Marketing Campaigns 22.11.22'!L276,weekly!$H$2:$H$188,0))</f>
        <v>0</v>
      </c>
      <c r="H276">
        <f>INDEX(weekly!$D$2:$D$188,MATCH('Marketing Campaigns 22.11.22'!L276,weekly!$H$2:$H$188,0))</f>
        <v>0</v>
      </c>
      <c r="I276">
        <f>INDEX(weekly!$F$2:$F$188,MATCH('Marketing Campaigns 22.11.22'!L276,weekly!$H$2:$H$188,0))</f>
        <v>0</v>
      </c>
      <c r="J276">
        <v>0</v>
      </c>
      <c r="K276">
        <v>0</v>
      </c>
      <c r="L276" t="str">
        <f t="shared" si="8"/>
        <v>18-5-2021</v>
      </c>
      <c r="M276">
        <f t="shared" si="9"/>
        <v>2021</v>
      </c>
    </row>
    <row r="277" spans="1:13" x14ac:dyDescent="0.2">
      <c r="A277" s="1">
        <v>44319</v>
      </c>
      <c r="B277">
        <v>18</v>
      </c>
      <c r="C277">
        <v>5</v>
      </c>
      <c r="D277">
        <v>2</v>
      </c>
      <c r="E277" t="s">
        <v>42</v>
      </c>
      <c r="F277">
        <v>0</v>
      </c>
      <c r="G277">
        <f>INDEX(weekly!$E$2:$E$188,MATCH('Marketing Campaigns 22.11.22'!L277,weekly!$H$2:$H$188,0))</f>
        <v>0</v>
      </c>
      <c r="H277">
        <f>INDEX(weekly!$D$2:$D$188,MATCH('Marketing Campaigns 22.11.22'!L277,weekly!$H$2:$H$188,0))</f>
        <v>0</v>
      </c>
      <c r="I277">
        <f>INDEX(weekly!$F$2:$F$188,MATCH('Marketing Campaigns 22.11.22'!L277,weekly!$H$2:$H$188,0))</f>
        <v>0</v>
      </c>
      <c r="J277">
        <v>0</v>
      </c>
      <c r="K277">
        <v>0</v>
      </c>
      <c r="L277" t="str">
        <f t="shared" si="8"/>
        <v>18-5-2021</v>
      </c>
      <c r="M277">
        <f t="shared" si="9"/>
        <v>2021</v>
      </c>
    </row>
    <row r="278" spans="1:13" x14ac:dyDescent="0.2">
      <c r="A278" s="1">
        <v>44319</v>
      </c>
      <c r="B278">
        <v>18</v>
      </c>
      <c r="C278">
        <v>5</v>
      </c>
      <c r="D278">
        <v>2</v>
      </c>
      <c r="E278" t="s">
        <v>43</v>
      </c>
      <c r="F278">
        <v>0</v>
      </c>
      <c r="G278">
        <f>INDEX(weekly!$E$2:$E$188,MATCH('Marketing Campaigns 22.11.22'!L278,weekly!$H$2:$H$188,0))</f>
        <v>0</v>
      </c>
      <c r="H278">
        <f>INDEX(weekly!$D$2:$D$188,MATCH('Marketing Campaigns 22.11.22'!L278,weekly!$H$2:$H$188,0))</f>
        <v>0</v>
      </c>
      <c r="I278">
        <f>INDEX(weekly!$F$2:$F$188,MATCH('Marketing Campaigns 22.11.22'!L278,weekly!$H$2:$H$188,0))</f>
        <v>0</v>
      </c>
      <c r="J278">
        <v>0</v>
      </c>
      <c r="K278">
        <v>0</v>
      </c>
      <c r="L278" t="str">
        <f t="shared" si="8"/>
        <v>18-5-2021</v>
      </c>
      <c r="M278">
        <f t="shared" si="9"/>
        <v>2021</v>
      </c>
    </row>
    <row r="279" spans="1:13" x14ac:dyDescent="0.2">
      <c r="A279" s="1">
        <v>44319</v>
      </c>
      <c r="B279">
        <v>18</v>
      </c>
      <c r="C279">
        <v>5</v>
      </c>
      <c r="D279">
        <v>2</v>
      </c>
      <c r="E279" t="s">
        <v>44</v>
      </c>
      <c r="F279">
        <v>0</v>
      </c>
      <c r="G279">
        <f>INDEX(weekly!$E$2:$E$188,MATCH('Marketing Campaigns 22.11.22'!L279,weekly!$H$2:$H$188,0))</f>
        <v>0</v>
      </c>
      <c r="H279">
        <f>INDEX(weekly!$D$2:$D$188,MATCH('Marketing Campaigns 22.11.22'!L279,weekly!$H$2:$H$188,0))</f>
        <v>0</v>
      </c>
      <c r="I279">
        <f>INDEX(weekly!$F$2:$F$188,MATCH('Marketing Campaigns 22.11.22'!L279,weekly!$H$2:$H$188,0))</f>
        <v>0</v>
      </c>
      <c r="J279">
        <v>0</v>
      </c>
      <c r="K279">
        <v>0</v>
      </c>
      <c r="L279" t="str">
        <f t="shared" si="8"/>
        <v>18-5-2021</v>
      </c>
      <c r="M279">
        <f t="shared" si="9"/>
        <v>2021</v>
      </c>
    </row>
    <row r="280" spans="1:13" x14ac:dyDescent="0.2">
      <c r="A280" s="1">
        <v>44319</v>
      </c>
      <c r="B280">
        <v>18</v>
      </c>
      <c r="C280">
        <v>5</v>
      </c>
      <c r="D280">
        <v>2</v>
      </c>
      <c r="E280" t="s">
        <v>45</v>
      </c>
      <c r="F280">
        <v>0</v>
      </c>
      <c r="G280">
        <f>INDEX(weekly!$E$2:$E$188,MATCH('Marketing Campaigns 22.11.22'!L280,weekly!$H$2:$H$188,0))</f>
        <v>0</v>
      </c>
      <c r="H280">
        <f>INDEX(weekly!$D$2:$D$188,MATCH('Marketing Campaigns 22.11.22'!L280,weekly!$H$2:$H$188,0))</f>
        <v>0</v>
      </c>
      <c r="I280">
        <f>INDEX(weekly!$F$2:$F$188,MATCH('Marketing Campaigns 22.11.22'!L280,weekly!$H$2:$H$188,0))</f>
        <v>0</v>
      </c>
      <c r="J280">
        <v>0</v>
      </c>
      <c r="K280">
        <v>0</v>
      </c>
      <c r="L280" t="str">
        <f t="shared" si="8"/>
        <v>18-5-2021</v>
      </c>
      <c r="M280">
        <f t="shared" si="9"/>
        <v>2021</v>
      </c>
    </row>
    <row r="281" spans="1:13" x14ac:dyDescent="0.2">
      <c r="A281" s="1">
        <v>44319</v>
      </c>
      <c r="B281">
        <v>18</v>
      </c>
      <c r="C281">
        <v>5</v>
      </c>
      <c r="D281">
        <v>2</v>
      </c>
      <c r="E281" t="s">
        <v>46</v>
      </c>
      <c r="F281">
        <v>0</v>
      </c>
      <c r="G281">
        <f>INDEX(weekly!$E$2:$E$188,MATCH('Marketing Campaigns 22.11.22'!L281,weekly!$H$2:$H$188,0))</f>
        <v>0</v>
      </c>
      <c r="H281">
        <f>INDEX(weekly!$D$2:$D$188,MATCH('Marketing Campaigns 22.11.22'!L281,weekly!$H$2:$H$188,0))</f>
        <v>0</v>
      </c>
      <c r="I281">
        <f>INDEX(weekly!$F$2:$F$188,MATCH('Marketing Campaigns 22.11.22'!L281,weekly!$H$2:$H$188,0))</f>
        <v>0</v>
      </c>
      <c r="J281">
        <v>0</v>
      </c>
      <c r="K281">
        <v>0</v>
      </c>
      <c r="L281" t="str">
        <f t="shared" si="8"/>
        <v>18-5-2021</v>
      </c>
      <c r="M281">
        <f t="shared" si="9"/>
        <v>2021</v>
      </c>
    </row>
    <row r="282" spans="1:13" x14ac:dyDescent="0.2">
      <c r="A282" s="1">
        <v>44319</v>
      </c>
      <c r="B282">
        <v>18</v>
      </c>
      <c r="C282">
        <v>5</v>
      </c>
      <c r="D282">
        <v>2</v>
      </c>
      <c r="E282" t="s">
        <v>47</v>
      </c>
      <c r="F282">
        <v>0</v>
      </c>
      <c r="G282">
        <f>INDEX(weekly!$E$2:$E$188,MATCH('Marketing Campaigns 22.11.22'!L282,weekly!$H$2:$H$188,0))</f>
        <v>0</v>
      </c>
      <c r="H282">
        <f>INDEX(weekly!$D$2:$D$188,MATCH('Marketing Campaigns 22.11.22'!L282,weekly!$H$2:$H$188,0))</f>
        <v>0</v>
      </c>
      <c r="I282">
        <f>INDEX(weekly!$F$2:$F$188,MATCH('Marketing Campaigns 22.11.22'!L282,weekly!$H$2:$H$188,0))</f>
        <v>0</v>
      </c>
      <c r="J282">
        <v>0</v>
      </c>
      <c r="K282">
        <v>0</v>
      </c>
      <c r="L282" t="str">
        <f t="shared" si="8"/>
        <v>18-5-2021</v>
      </c>
      <c r="M282">
        <f t="shared" si="9"/>
        <v>2021</v>
      </c>
    </row>
    <row r="283" spans="1:13" x14ac:dyDescent="0.2">
      <c r="A283" s="1">
        <v>44319</v>
      </c>
      <c r="B283">
        <v>18</v>
      </c>
      <c r="C283">
        <v>5</v>
      </c>
      <c r="D283">
        <v>2</v>
      </c>
      <c r="E283" t="s">
        <v>48</v>
      </c>
      <c r="F283">
        <v>0</v>
      </c>
      <c r="G283">
        <f>INDEX(weekly!$E$2:$E$188,MATCH('Marketing Campaigns 22.11.22'!L283,weekly!$H$2:$H$188,0))</f>
        <v>0</v>
      </c>
      <c r="H283">
        <f>INDEX(weekly!$D$2:$D$188,MATCH('Marketing Campaigns 22.11.22'!L283,weekly!$H$2:$H$188,0))</f>
        <v>0</v>
      </c>
      <c r="I283">
        <f>INDEX(weekly!$F$2:$F$188,MATCH('Marketing Campaigns 22.11.22'!L283,weekly!$H$2:$H$188,0))</f>
        <v>0</v>
      </c>
      <c r="J283">
        <v>0</v>
      </c>
      <c r="K283">
        <v>0</v>
      </c>
      <c r="L283" t="str">
        <f t="shared" si="8"/>
        <v>18-5-2021</v>
      </c>
      <c r="M283">
        <f t="shared" si="9"/>
        <v>2021</v>
      </c>
    </row>
    <row r="284" spans="1:13" x14ac:dyDescent="0.2">
      <c r="A284" s="1">
        <v>44319</v>
      </c>
      <c r="B284">
        <v>18</v>
      </c>
      <c r="C284">
        <v>5</v>
      </c>
      <c r="D284">
        <v>2</v>
      </c>
      <c r="E284" t="s">
        <v>49</v>
      </c>
      <c r="F284">
        <v>0</v>
      </c>
      <c r="G284">
        <f>INDEX(weekly!$E$2:$E$188,MATCH('Marketing Campaigns 22.11.22'!L284,weekly!$H$2:$H$188,0))</f>
        <v>0</v>
      </c>
      <c r="H284">
        <f>INDEX(weekly!$D$2:$D$188,MATCH('Marketing Campaigns 22.11.22'!L284,weekly!$H$2:$H$188,0))</f>
        <v>0</v>
      </c>
      <c r="I284">
        <f>INDEX(weekly!$F$2:$F$188,MATCH('Marketing Campaigns 22.11.22'!L284,weekly!$H$2:$H$188,0))</f>
        <v>0</v>
      </c>
      <c r="J284">
        <v>0</v>
      </c>
      <c r="K284">
        <v>0</v>
      </c>
      <c r="L284" t="str">
        <f t="shared" si="8"/>
        <v>18-5-2021</v>
      </c>
      <c r="M284">
        <f t="shared" si="9"/>
        <v>2021</v>
      </c>
    </row>
    <row r="285" spans="1:13" x14ac:dyDescent="0.2">
      <c r="A285" s="1">
        <v>44319</v>
      </c>
      <c r="B285">
        <v>18</v>
      </c>
      <c r="C285">
        <v>5</v>
      </c>
      <c r="D285">
        <v>2</v>
      </c>
      <c r="E285" t="s">
        <v>50</v>
      </c>
      <c r="F285">
        <v>0</v>
      </c>
      <c r="G285">
        <f>INDEX(weekly!$E$2:$E$188,MATCH('Marketing Campaigns 22.11.22'!L285,weekly!$H$2:$H$188,0))</f>
        <v>0</v>
      </c>
      <c r="H285">
        <f>INDEX(weekly!$D$2:$D$188,MATCH('Marketing Campaigns 22.11.22'!L285,weekly!$H$2:$H$188,0))</f>
        <v>0</v>
      </c>
      <c r="I285">
        <f>INDEX(weekly!$F$2:$F$188,MATCH('Marketing Campaigns 22.11.22'!L285,weekly!$H$2:$H$188,0))</f>
        <v>0</v>
      </c>
      <c r="J285">
        <v>0</v>
      </c>
      <c r="K285">
        <v>0</v>
      </c>
      <c r="L285" t="str">
        <f t="shared" si="8"/>
        <v>18-5-2021</v>
      </c>
      <c r="M285">
        <f t="shared" si="9"/>
        <v>2021</v>
      </c>
    </row>
    <row r="286" spans="1:13" x14ac:dyDescent="0.2">
      <c r="A286" s="1">
        <v>44319</v>
      </c>
      <c r="B286">
        <v>18</v>
      </c>
      <c r="C286">
        <v>5</v>
      </c>
      <c r="D286">
        <v>2</v>
      </c>
      <c r="E286" t="s">
        <v>51</v>
      </c>
      <c r="F286">
        <v>0</v>
      </c>
      <c r="G286">
        <f>INDEX(weekly!$E$2:$E$188,MATCH('Marketing Campaigns 22.11.22'!L286,weekly!$H$2:$H$188,0))</f>
        <v>0</v>
      </c>
      <c r="H286">
        <f>INDEX(weekly!$D$2:$D$188,MATCH('Marketing Campaigns 22.11.22'!L286,weekly!$H$2:$H$188,0))</f>
        <v>0</v>
      </c>
      <c r="I286">
        <f>INDEX(weekly!$F$2:$F$188,MATCH('Marketing Campaigns 22.11.22'!L286,weekly!$H$2:$H$188,0))</f>
        <v>0</v>
      </c>
      <c r="J286">
        <v>0</v>
      </c>
      <c r="K286">
        <v>0</v>
      </c>
      <c r="L286" t="str">
        <f t="shared" si="8"/>
        <v>18-5-2021</v>
      </c>
      <c r="M286">
        <f t="shared" si="9"/>
        <v>2021</v>
      </c>
    </row>
    <row r="287" spans="1:13" x14ac:dyDescent="0.2">
      <c r="A287" s="1">
        <v>44319</v>
      </c>
      <c r="B287">
        <v>18</v>
      </c>
      <c r="C287">
        <v>5</v>
      </c>
      <c r="D287">
        <v>2</v>
      </c>
      <c r="E287" t="s">
        <v>52</v>
      </c>
      <c r="F287">
        <v>0</v>
      </c>
      <c r="G287">
        <f>INDEX(weekly!$E$2:$E$188,MATCH('Marketing Campaigns 22.11.22'!L287,weekly!$H$2:$H$188,0))</f>
        <v>0</v>
      </c>
      <c r="H287">
        <f>INDEX(weekly!$D$2:$D$188,MATCH('Marketing Campaigns 22.11.22'!L287,weekly!$H$2:$H$188,0))</f>
        <v>0</v>
      </c>
      <c r="I287">
        <f>INDEX(weekly!$F$2:$F$188,MATCH('Marketing Campaigns 22.11.22'!L287,weekly!$H$2:$H$188,0))</f>
        <v>0</v>
      </c>
      <c r="J287">
        <v>0</v>
      </c>
      <c r="K287">
        <v>0</v>
      </c>
      <c r="L287" t="str">
        <f t="shared" si="8"/>
        <v>18-5-2021</v>
      </c>
      <c r="M287">
        <f t="shared" si="9"/>
        <v>2021</v>
      </c>
    </row>
    <row r="288" spans="1:13" x14ac:dyDescent="0.2">
      <c r="A288" s="1">
        <v>44326</v>
      </c>
      <c r="B288">
        <v>19</v>
      </c>
      <c r="C288">
        <v>5</v>
      </c>
      <c r="D288">
        <v>2</v>
      </c>
      <c r="E288" t="s">
        <v>24</v>
      </c>
      <c r="F288">
        <v>0</v>
      </c>
      <c r="G288">
        <f>INDEX(weekly!$E$2:$E$188,MATCH('Marketing Campaigns 22.11.22'!L288,weekly!$H$2:$H$188,0))</f>
        <v>0</v>
      </c>
      <c r="H288">
        <f>INDEX(weekly!$D$2:$D$188,MATCH('Marketing Campaigns 22.11.22'!L288,weekly!$H$2:$H$188,0))</f>
        <v>0</v>
      </c>
      <c r="I288">
        <f>INDEX(weekly!$F$2:$F$188,MATCH('Marketing Campaigns 22.11.22'!L288,weekly!$H$2:$H$188,0))</f>
        <v>0</v>
      </c>
      <c r="J288">
        <v>0</v>
      </c>
      <c r="K288">
        <v>0</v>
      </c>
      <c r="L288" t="str">
        <f t="shared" si="8"/>
        <v>19-5-2021</v>
      </c>
      <c r="M288">
        <f t="shared" si="9"/>
        <v>2021</v>
      </c>
    </row>
    <row r="289" spans="1:13" x14ac:dyDescent="0.2">
      <c r="A289" s="1">
        <v>44326</v>
      </c>
      <c r="B289">
        <v>19</v>
      </c>
      <c r="C289">
        <v>5</v>
      </c>
      <c r="D289">
        <v>2</v>
      </c>
      <c r="E289" t="s">
        <v>39</v>
      </c>
      <c r="F289">
        <v>0</v>
      </c>
      <c r="G289">
        <f>INDEX(weekly!$E$2:$E$188,MATCH('Marketing Campaigns 22.11.22'!L289,weekly!$H$2:$H$188,0))</f>
        <v>0</v>
      </c>
      <c r="H289">
        <f>INDEX(weekly!$D$2:$D$188,MATCH('Marketing Campaigns 22.11.22'!L289,weekly!$H$2:$H$188,0))</f>
        <v>0</v>
      </c>
      <c r="I289">
        <f>INDEX(weekly!$F$2:$F$188,MATCH('Marketing Campaigns 22.11.22'!L289,weekly!$H$2:$H$188,0))</f>
        <v>0</v>
      </c>
      <c r="J289">
        <v>0</v>
      </c>
      <c r="K289">
        <v>0</v>
      </c>
      <c r="L289" t="str">
        <f t="shared" si="8"/>
        <v>19-5-2021</v>
      </c>
      <c r="M289">
        <f t="shared" si="9"/>
        <v>2021</v>
      </c>
    </row>
    <row r="290" spans="1:13" x14ac:dyDescent="0.2">
      <c r="A290" s="1">
        <v>44326</v>
      </c>
      <c r="B290">
        <v>19</v>
      </c>
      <c r="C290">
        <v>5</v>
      </c>
      <c r="D290">
        <v>2</v>
      </c>
      <c r="E290" t="s">
        <v>40</v>
      </c>
      <c r="F290">
        <v>0</v>
      </c>
      <c r="G290">
        <f>INDEX(weekly!$E$2:$E$188,MATCH('Marketing Campaigns 22.11.22'!L290,weekly!$H$2:$H$188,0))</f>
        <v>0</v>
      </c>
      <c r="H290">
        <f>INDEX(weekly!$D$2:$D$188,MATCH('Marketing Campaigns 22.11.22'!L290,weekly!$H$2:$H$188,0))</f>
        <v>0</v>
      </c>
      <c r="I290">
        <f>INDEX(weekly!$F$2:$F$188,MATCH('Marketing Campaigns 22.11.22'!L290,weekly!$H$2:$H$188,0))</f>
        <v>0</v>
      </c>
      <c r="J290">
        <v>0</v>
      </c>
      <c r="K290">
        <v>0</v>
      </c>
      <c r="L290" t="str">
        <f t="shared" si="8"/>
        <v>19-5-2021</v>
      </c>
      <c r="M290">
        <f t="shared" si="9"/>
        <v>2021</v>
      </c>
    </row>
    <row r="291" spans="1:13" x14ac:dyDescent="0.2">
      <c r="A291" s="1">
        <v>44326</v>
      </c>
      <c r="B291">
        <v>19</v>
      </c>
      <c r="C291">
        <v>5</v>
      </c>
      <c r="D291">
        <v>2</v>
      </c>
      <c r="E291" t="s">
        <v>41</v>
      </c>
      <c r="F291">
        <v>0</v>
      </c>
      <c r="G291">
        <f>INDEX(weekly!$E$2:$E$188,MATCH('Marketing Campaigns 22.11.22'!L291,weekly!$H$2:$H$188,0))</f>
        <v>0</v>
      </c>
      <c r="H291">
        <f>INDEX(weekly!$D$2:$D$188,MATCH('Marketing Campaigns 22.11.22'!L291,weekly!$H$2:$H$188,0))</f>
        <v>0</v>
      </c>
      <c r="I291">
        <f>INDEX(weekly!$F$2:$F$188,MATCH('Marketing Campaigns 22.11.22'!L291,weekly!$H$2:$H$188,0))</f>
        <v>0</v>
      </c>
      <c r="J291">
        <v>0</v>
      </c>
      <c r="K291">
        <v>0</v>
      </c>
      <c r="L291" t="str">
        <f t="shared" si="8"/>
        <v>19-5-2021</v>
      </c>
      <c r="M291">
        <f t="shared" si="9"/>
        <v>2021</v>
      </c>
    </row>
    <row r="292" spans="1:13" x14ac:dyDescent="0.2">
      <c r="A292" s="1">
        <v>44326</v>
      </c>
      <c r="B292">
        <v>19</v>
      </c>
      <c r="C292">
        <v>5</v>
      </c>
      <c r="D292">
        <v>2</v>
      </c>
      <c r="E292" t="s">
        <v>42</v>
      </c>
      <c r="F292">
        <v>0</v>
      </c>
      <c r="G292">
        <f>INDEX(weekly!$E$2:$E$188,MATCH('Marketing Campaigns 22.11.22'!L292,weekly!$H$2:$H$188,0))</f>
        <v>0</v>
      </c>
      <c r="H292">
        <f>INDEX(weekly!$D$2:$D$188,MATCH('Marketing Campaigns 22.11.22'!L292,weekly!$H$2:$H$188,0))</f>
        <v>0</v>
      </c>
      <c r="I292">
        <f>INDEX(weekly!$F$2:$F$188,MATCH('Marketing Campaigns 22.11.22'!L292,weekly!$H$2:$H$188,0))</f>
        <v>0</v>
      </c>
      <c r="J292">
        <v>0</v>
      </c>
      <c r="K292">
        <v>0</v>
      </c>
      <c r="L292" t="str">
        <f t="shared" si="8"/>
        <v>19-5-2021</v>
      </c>
      <c r="M292">
        <f t="shared" si="9"/>
        <v>2021</v>
      </c>
    </row>
    <row r="293" spans="1:13" x14ac:dyDescent="0.2">
      <c r="A293" s="1">
        <v>44326</v>
      </c>
      <c r="B293">
        <v>19</v>
      </c>
      <c r="C293">
        <v>5</v>
      </c>
      <c r="D293">
        <v>2</v>
      </c>
      <c r="E293" t="s">
        <v>43</v>
      </c>
      <c r="F293">
        <v>0</v>
      </c>
      <c r="G293">
        <f>INDEX(weekly!$E$2:$E$188,MATCH('Marketing Campaigns 22.11.22'!L293,weekly!$H$2:$H$188,0))</f>
        <v>0</v>
      </c>
      <c r="H293">
        <f>INDEX(weekly!$D$2:$D$188,MATCH('Marketing Campaigns 22.11.22'!L293,weekly!$H$2:$H$188,0))</f>
        <v>0</v>
      </c>
      <c r="I293">
        <f>INDEX(weekly!$F$2:$F$188,MATCH('Marketing Campaigns 22.11.22'!L293,weekly!$H$2:$H$188,0))</f>
        <v>0</v>
      </c>
      <c r="J293">
        <v>0</v>
      </c>
      <c r="K293">
        <v>0</v>
      </c>
      <c r="L293" t="str">
        <f t="shared" si="8"/>
        <v>19-5-2021</v>
      </c>
      <c r="M293">
        <f t="shared" si="9"/>
        <v>2021</v>
      </c>
    </row>
    <row r="294" spans="1:13" x14ac:dyDescent="0.2">
      <c r="A294" s="1">
        <v>44326</v>
      </c>
      <c r="B294">
        <v>19</v>
      </c>
      <c r="C294">
        <v>5</v>
      </c>
      <c r="D294">
        <v>2</v>
      </c>
      <c r="E294" t="s">
        <v>44</v>
      </c>
      <c r="F294">
        <v>0</v>
      </c>
      <c r="G294">
        <f>INDEX(weekly!$E$2:$E$188,MATCH('Marketing Campaigns 22.11.22'!L294,weekly!$H$2:$H$188,0))</f>
        <v>0</v>
      </c>
      <c r="H294">
        <f>INDEX(weekly!$D$2:$D$188,MATCH('Marketing Campaigns 22.11.22'!L294,weekly!$H$2:$H$188,0))</f>
        <v>0</v>
      </c>
      <c r="I294">
        <f>INDEX(weekly!$F$2:$F$188,MATCH('Marketing Campaigns 22.11.22'!L294,weekly!$H$2:$H$188,0))</f>
        <v>0</v>
      </c>
      <c r="J294">
        <v>0</v>
      </c>
      <c r="K294">
        <v>0</v>
      </c>
      <c r="L294" t="str">
        <f t="shared" si="8"/>
        <v>19-5-2021</v>
      </c>
      <c r="M294">
        <f t="shared" si="9"/>
        <v>2021</v>
      </c>
    </row>
    <row r="295" spans="1:13" x14ac:dyDescent="0.2">
      <c r="A295" s="1">
        <v>44326</v>
      </c>
      <c r="B295">
        <v>19</v>
      </c>
      <c r="C295">
        <v>5</v>
      </c>
      <c r="D295">
        <v>2</v>
      </c>
      <c r="E295" t="s">
        <v>45</v>
      </c>
      <c r="F295">
        <v>0</v>
      </c>
      <c r="G295">
        <f>INDEX(weekly!$E$2:$E$188,MATCH('Marketing Campaigns 22.11.22'!L295,weekly!$H$2:$H$188,0))</f>
        <v>0</v>
      </c>
      <c r="H295">
        <f>INDEX(weekly!$D$2:$D$188,MATCH('Marketing Campaigns 22.11.22'!L295,weekly!$H$2:$H$188,0))</f>
        <v>0</v>
      </c>
      <c r="I295">
        <f>INDEX(weekly!$F$2:$F$188,MATCH('Marketing Campaigns 22.11.22'!L295,weekly!$H$2:$H$188,0))</f>
        <v>0</v>
      </c>
      <c r="J295">
        <v>0</v>
      </c>
      <c r="K295">
        <v>0</v>
      </c>
      <c r="L295" t="str">
        <f t="shared" si="8"/>
        <v>19-5-2021</v>
      </c>
      <c r="M295">
        <f t="shared" si="9"/>
        <v>2021</v>
      </c>
    </row>
    <row r="296" spans="1:13" x14ac:dyDescent="0.2">
      <c r="A296" s="1">
        <v>44326</v>
      </c>
      <c r="B296">
        <v>19</v>
      </c>
      <c r="C296">
        <v>5</v>
      </c>
      <c r="D296">
        <v>2</v>
      </c>
      <c r="E296" t="s">
        <v>46</v>
      </c>
      <c r="F296">
        <v>0</v>
      </c>
      <c r="G296">
        <f>INDEX(weekly!$E$2:$E$188,MATCH('Marketing Campaigns 22.11.22'!L296,weekly!$H$2:$H$188,0))</f>
        <v>0</v>
      </c>
      <c r="H296">
        <f>INDEX(weekly!$D$2:$D$188,MATCH('Marketing Campaigns 22.11.22'!L296,weekly!$H$2:$H$188,0))</f>
        <v>0</v>
      </c>
      <c r="I296">
        <f>INDEX(weekly!$F$2:$F$188,MATCH('Marketing Campaigns 22.11.22'!L296,weekly!$H$2:$H$188,0))</f>
        <v>0</v>
      </c>
      <c r="J296">
        <v>0</v>
      </c>
      <c r="K296">
        <v>0</v>
      </c>
      <c r="L296" t="str">
        <f t="shared" si="8"/>
        <v>19-5-2021</v>
      </c>
      <c r="M296">
        <f t="shared" si="9"/>
        <v>2021</v>
      </c>
    </row>
    <row r="297" spans="1:13" x14ac:dyDescent="0.2">
      <c r="A297" s="1">
        <v>44326</v>
      </c>
      <c r="B297">
        <v>19</v>
      </c>
      <c r="C297">
        <v>5</v>
      </c>
      <c r="D297">
        <v>2</v>
      </c>
      <c r="E297" t="s">
        <v>47</v>
      </c>
      <c r="F297">
        <v>0</v>
      </c>
      <c r="G297">
        <f>INDEX(weekly!$E$2:$E$188,MATCH('Marketing Campaigns 22.11.22'!L297,weekly!$H$2:$H$188,0))</f>
        <v>0</v>
      </c>
      <c r="H297">
        <f>INDEX(weekly!$D$2:$D$188,MATCH('Marketing Campaigns 22.11.22'!L297,weekly!$H$2:$H$188,0))</f>
        <v>0</v>
      </c>
      <c r="I297">
        <f>INDEX(weekly!$F$2:$F$188,MATCH('Marketing Campaigns 22.11.22'!L297,weekly!$H$2:$H$188,0))</f>
        <v>0</v>
      </c>
      <c r="J297">
        <v>0</v>
      </c>
      <c r="K297">
        <v>0</v>
      </c>
      <c r="L297" t="str">
        <f t="shared" si="8"/>
        <v>19-5-2021</v>
      </c>
      <c r="M297">
        <f t="shared" si="9"/>
        <v>2021</v>
      </c>
    </row>
    <row r="298" spans="1:13" x14ac:dyDescent="0.2">
      <c r="A298" s="1">
        <v>44326</v>
      </c>
      <c r="B298">
        <v>19</v>
      </c>
      <c r="C298">
        <v>5</v>
      </c>
      <c r="D298">
        <v>2</v>
      </c>
      <c r="E298" t="s">
        <v>48</v>
      </c>
      <c r="F298">
        <v>0</v>
      </c>
      <c r="G298">
        <f>INDEX(weekly!$E$2:$E$188,MATCH('Marketing Campaigns 22.11.22'!L298,weekly!$H$2:$H$188,0))</f>
        <v>0</v>
      </c>
      <c r="H298">
        <f>INDEX(weekly!$D$2:$D$188,MATCH('Marketing Campaigns 22.11.22'!L298,weekly!$H$2:$H$188,0))</f>
        <v>0</v>
      </c>
      <c r="I298">
        <f>INDEX(weekly!$F$2:$F$188,MATCH('Marketing Campaigns 22.11.22'!L298,weekly!$H$2:$H$188,0))</f>
        <v>0</v>
      </c>
      <c r="J298">
        <v>0</v>
      </c>
      <c r="K298">
        <v>0</v>
      </c>
      <c r="L298" t="str">
        <f t="shared" si="8"/>
        <v>19-5-2021</v>
      </c>
      <c r="M298">
        <f t="shared" si="9"/>
        <v>2021</v>
      </c>
    </row>
    <row r="299" spans="1:13" x14ac:dyDescent="0.2">
      <c r="A299" s="1">
        <v>44326</v>
      </c>
      <c r="B299">
        <v>19</v>
      </c>
      <c r="C299">
        <v>5</v>
      </c>
      <c r="D299">
        <v>2</v>
      </c>
      <c r="E299" t="s">
        <v>49</v>
      </c>
      <c r="F299">
        <v>0</v>
      </c>
      <c r="G299">
        <f>INDEX(weekly!$E$2:$E$188,MATCH('Marketing Campaigns 22.11.22'!L299,weekly!$H$2:$H$188,0))</f>
        <v>0</v>
      </c>
      <c r="H299">
        <f>INDEX(weekly!$D$2:$D$188,MATCH('Marketing Campaigns 22.11.22'!L299,weekly!$H$2:$H$188,0))</f>
        <v>0</v>
      </c>
      <c r="I299">
        <f>INDEX(weekly!$F$2:$F$188,MATCH('Marketing Campaigns 22.11.22'!L299,weekly!$H$2:$H$188,0))</f>
        <v>0</v>
      </c>
      <c r="J299">
        <v>0</v>
      </c>
      <c r="K299">
        <v>0</v>
      </c>
      <c r="L299" t="str">
        <f t="shared" si="8"/>
        <v>19-5-2021</v>
      </c>
      <c r="M299">
        <f t="shared" si="9"/>
        <v>2021</v>
      </c>
    </row>
    <row r="300" spans="1:13" x14ac:dyDescent="0.2">
      <c r="A300" s="1">
        <v>44326</v>
      </c>
      <c r="B300">
        <v>19</v>
      </c>
      <c r="C300">
        <v>5</v>
      </c>
      <c r="D300">
        <v>2</v>
      </c>
      <c r="E300" t="s">
        <v>50</v>
      </c>
      <c r="F300">
        <v>0</v>
      </c>
      <c r="G300">
        <f>INDEX(weekly!$E$2:$E$188,MATCH('Marketing Campaigns 22.11.22'!L300,weekly!$H$2:$H$188,0))</f>
        <v>0</v>
      </c>
      <c r="H300">
        <f>INDEX(weekly!$D$2:$D$188,MATCH('Marketing Campaigns 22.11.22'!L300,weekly!$H$2:$H$188,0))</f>
        <v>0</v>
      </c>
      <c r="I300">
        <f>INDEX(weekly!$F$2:$F$188,MATCH('Marketing Campaigns 22.11.22'!L300,weekly!$H$2:$H$188,0))</f>
        <v>0</v>
      </c>
      <c r="J300">
        <v>0</v>
      </c>
      <c r="K300">
        <v>0</v>
      </c>
      <c r="L300" t="str">
        <f t="shared" si="8"/>
        <v>19-5-2021</v>
      </c>
      <c r="M300">
        <f t="shared" si="9"/>
        <v>2021</v>
      </c>
    </row>
    <row r="301" spans="1:13" x14ac:dyDescent="0.2">
      <c r="A301" s="1">
        <v>44326</v>
      </c>
      <c r="B301">
        <v>19</v>
      </c>
      <c r="C301">
        <v>5</v>
      </c>
      <c r="D301">
        <v>2</v>
      </c>
      <c r="E301" t="s">
        <v>51</v>
      </c>
      <c r="F301">
        <v>0</v>
      </c>
      <c r="G301">
        <f>INDEX(weekly!$E$2:$E$188,MATCH('Marketing Campaigns 22.11.22'!L301,weekly!$H$2:$H$188,0))</f>
        <v>0</v>
      </c>
      <c r="H301">
        <f>INDEX(weekly!$D$2:$D$188,MATCH('Marketing Campaigns 22.11.22'!L301,weekly!$H$2:$H$188,0))</f>
        <v>0</v>
      </c>
      <c r="I301">
        <f>INDEX(weekly!$F$2:$F$188,MATCH('Marketing Campaigns 22.11.22'!L301,weekly!$H$2:$H$188,0))</f>
        <v>0</v>
      </c>
      <c r="J301">
        <v>0</v>
      </c>
      <c r="K301">
        <v>0</v>
      </c>
      <c r="L301" t="str">
        <f t="shared" si="8"/>
        <v>19-5-2021</v>
      </c>
      <c r="M301">
        <f t="shared" si="9"/>
        <v>2021</v>
      </c>
    </row>
    <row r="302" spans="1:13" x14ac:dyDescent="0.2">
      <c r="A302" s="1">
        <v>44326</v>
      </c>
      <c r="B302">
        <v>19</v>
      </c>
      <c r="C302">
        <v>5</v>
      </c>
      <c r="D302">
        <v>2</v>
      </c>
      <c r="E302" t="s">
        <v>52</v>
      </c>
      <c r="F302">
        <v>0</v>
      </c>
      <c r="G302">
        <f>INDEX(weekly!$E$2:$E$188,MATCH('Marketing Campaigns 22.11.22'!L302,weekly!$H$2:$H$188,0))</f>
        <v>0</v>
      </c>
      <c r="H302">
        <f>INDEX(weekly!$D$2:$D$188,MATCH('Marketing Campaigns 22.11.22'!L302,weekly!$H$2:$H$188,0))</f>
        <v>0</v>
      </c>
      <c r="I302">
        <f>INDEX(weekly!$F$2:$F$188,MATCH('Marketing Campaigns 22.11.22'!L302,weekly!$H$2:$H$188,0))</f>
        <v>0</v>
      </c>
      <c r="J302">
        <v>0</v>
      </c>
      <c r="K302">
        <v>0</v>
      </c>
      <c r="L302" t="str">
        <f t="shared" si="8"/>
        <v>19-5-2021</v>
      </c>
      <c r="M302">
        <f t="shared" si="9"/>
        <v>2021</v>
      </c>
    </row>
    <row r="303" spans="1:13" x14ac:dyDescent="0.2">
      <c r="A303" s="1">
        <v>44333</v>
      </c>
      <c r="B303">
        <v>20</v>
      </c>
      <c r="C303">
        <v>5</v>
      </c>
      <c r="D303">
        <v>2</v>
      </c>
      <c r="E303" t="s">
        <v>24</v>
      </c>
      <c r="F303">
        <v>0</v>
      </c>
      <c r="G303">
        <f>INDEX(weekly!$E$2:$E$188,MATCH('Marketing Campaigns 22.11.22'!L303,weekly!$H$2:$H$188,0))</f>
        <v>0</v>
      </c>
      <c r="H303">
        <f>INDEX(weekly!$D$2:$D$188,MATCH('Marketing Campaigns 22.11.22'!L303,weekly!$H$2:$H$188,0))</f>
        <v>0</v>
      </c>
      <c r="I303">
        <f>INDEX(weekly!$F$2:$F$188,MATCH('Marketing Campaigns 22.11.22'!L303,weekly!$H$2:$H$188,0))</f>
        <v>0</v>
      </c>
      <c r="J303">
        <v>0</v>
      </c>
      <c r="K303">
        <v>0</v>
      </c>
      <c r="L303" t="str">
        <f t="shared" si="8"/>
        <v>20-5-2021</v>
      </c>
      <c r="M303">
        <f t="shared" si="9"/>
        <v>2021</v>
      </c>
    </row>
    <row r="304" spans="1:13" x14ac:dyDescent="0.2">
      <c r="A304" s="1">
        <v>44333</v>
      </c>
      <c r="B304">
        <v>20</v>
      </c>
      <c r="C304">
        <v>5</v>
      </c>
      <c r="D304">
        <v>2</v>
      </c>
      <c r="E304" t="s">
        <v>39</v>
      </c>
      <c r="F304">
        <v>0</v>
      </c>
      <c r="G304">
        <f>INDEX(weekly!$E$2:$E$188,MATCH('Marketing Campaigns 22.11.22'!L304,weekly!$H$2:$H$188,0))</f>
        <v>0</v>
      </c>
      <c r="H304">
        <f>INDEX(weekly!$D$2:$D$188,MATCH('Marketing Campaigns 22.11.22'!L304,weekly!$H$2:$H$188,0))</f>
        <v>0</v>
      </c>
      <c r="I304">
        <f>INDEX(weekly!$F$2:$F$188,MATCH('Marketing Campaigns 22.11.22'!L304,weekly!$H$2:$H$188,0))</f>
        <v>0</v>
      </c>
      <c r="J304">
        <v>0</v>
      </c>
      <c r="K304">
        <v>0</v>
      </c>
      <c r="L304" t="str">
        <f t="shared" si="8"/>
        <v>20-5-2021</v>
      </c>
      <c r="M304">
        <f t="shared" si="9"/>
        <v>2021</v>
      </c>
    </row>
    <row r="305" spans="1:13" x14ac:dyDescent="0.2">
      <c r="A305" s="1">
        <v>44333</v>
      </c>
      <c r="B305">
        <v>20</v>
      </c>
      <c r="C305">
        <v>5</v>
      </c>
      <c r="D305">
        <v>2</v>
      </c>
      <c r="E305" t="s">
        <v>40</v>
      </c>
      <c r="F305">
        <v>0</v>
      </c>
      <c r="G305">
        <f>INDEX(weekly!$E$2:$E$188,MATCH('Marketing Campaigns 22.11.22'!L305,weekly!$H$2:$H$188,0))</f>
        <v>0</v>
      </c>
      <c r="H305">
        <f>INDEX(weekly!$D$2:$D$188,MATCH('Marketing Campaigns 22.11.22'!L305,weekly!$H$2:$H$188,0))</f>
        <v>0</v>
      </c>
      <c r="I305">
        <f>INDEX(weekly!$F$2:$F$188,MATCH('Marketing Campaigns 22.11.22'!L305,weekly!$H$2:$H$188,0))</f>
        <v>0</v>
      </c>
      <c r="J305">
        <v>0</v>
      </c>
      <c r="K305">
        <v>0</v>
      </c>
      <c r="L305" t="str">
        <f t="shared" si="8"/>
        <v>20-5-2021</v>
      </c>
      <c r="M305">
        <f t="shared" si="9"/>
        <v>2021</v>
      </c>
    </row>
    <row r="306" spans="1:13" x14ac:dyDescent="0.2">
      <c r="A306" s="1">
        <v>44333</v>
      </c>
      <c r="B306">
        <v>20</v>
      </c>
      <c r="C306">
        <v>5</v>
      </c>
      <c r="D306">
        <v>2</v>
      </c>
      <c r="E306" t="s">
        <v>41</v>
      </c>
      <c r="F306">
        <v>0</v>
      </c>
      <c r="G306">
        <f>INDEX(weekly!$E$2:$E$188,MATCH('Marketing Campaigns 22.11.22'!L306,weekly!$H$2:$H$188,0))</f>
        <v>0</v>
      </c>
      <c r="H306">
        <f>INDEX(weekly!$D$2:$D$188,MATCH('Marketing Campaigns 22.11.22'!L306,weekly!$H$2:$H$188,0))</f>
        <v>0</v>
      </c>
      <c r="I306">
        <f>INDEX(weekly!$F$2:$F$188,MATCH('Marketing Campaigns 22.11.22'!L306,weekly!$H$2:$H$188,0))</f>
        <v>0</v>
      </c>
      <c r="J306">
        <v>0</v>
      </c>
      <c r="K306">
        <v>0</v>
      </c>
      <c r="L306" t="str">
        <f t="shared" si="8"/>
        <v>20-5-2021</v>
      </c>
      <c r="M306">
        <f t="shared" si="9"/>
        <v>2021</v>
      </c>
    </row>
    <row r="307" spans="1:13" x14ac:dyDescent="0.2">
      <c r="A307" s="1">
        <v>44333</v>
      </c>
      <c r="B307">
        <v>20</v>
      </c>
      <c r="C307">
        <v>5</v>
      </c>
      <c r="D307">
        <v>2</v>
      </c>
      <c r="E307" t="s">
        <v>42</v>
      </c>
      <c r="F307">
        <v>0</v>
      </c>
      <c r="G307">
        <f>INDEX(weekly!$E$2:$E$188,MATCH('Marketing Campaigns 22.11.22'!L307,weekly!$H$2:$H$188,0))</f>
        <v>0</v>
      </c>
      <c r="H307">
        <f>INDEX(weekly!$D$2:$D$188,MATCH('Marketing Campaigns 22.11.22'!L307,weekly!$H$2:$H$188,0))</f>
        <v>0</v>
      </c>
      <c r="I307">
        <f>INDEX(weekly!$F$2:$F$188,MATCH('Marketing Campaigns 22.11.22'!L307,weekly!$H$2:$H$188,0))</f>
        <v>0</v>
      </c>
      <c r="J307">
        <v>0</v>
      </c>
      <c r="K307">
        <v>0</v>
      </c>
      <c r="L307" t="str">
        <f t="shared" si="8"/>
        <v>20-5-2021</v>
      </c>
      <c r="M307">
        <f t="shared" si="9"/>
        <v>2021</v>
      </c>
    </row>
    <row r="308" spans="1:13" x14ac:dyDescent="0.2">
      <c r="A308" s="1">
        <v>44333</v>
      </c>
      <c r="B308">
        <v>20</v>
      </c>
      <c r="C308">
        <v>5</v>
      </c>
      <c r="D308">
        <v>2</v>
      </c>
      <c r="E308" t="s">
        <v>43</v>
      </c>
      <c r="F308">
        <v>0</v>
      </c>
      <c r="G308">
        <f>INDEX(weekly!$E$2:$E$188,MATCH('Marketing Campaigns 22.11.22'!L308,weekly!$H$2:$H$188,0))</f>
        <v>0</v>
      </c>
      <c r="H308">
        <f>INDEX(weekly!$D$2:$D$188,MATCH('Marketing Campaigns 22.11.22'!L308,weekly!$H$2:$H$188,0))</f>
        <v>0</v>
      </c>
      <c r="I308">
        <f>INDEX(weekly!$F$2:$F$188,MATCH('Marketing Campaigns 22.11.22'!L308,weekly!$H$2:$H$188,0))</f>
        <v>0</v>
      </c>
      <c r="J308">
        <v>0</v>
      </c>
      <c r="K308">
        <v>0</v>
      </c>
      <c r="L308" t="str">
        <f t="shared" si="8"/>
        <v>20-5-2021</v>
      </c>
      <c r="M308">
        <f t="shared" si="9"/>
        <v>2021</v>
      </c>
    </row>
    <row r="309" spans="1:13" x14ac:dyDescent="0.2">
      <c r="A309" s="1">
        <v>44333</v>
      </c>
      <c r="B309">
        <v>20</v>
      </c>
      <c r="C309">
        <v>5</v>
      </c>
      <c r="D309">
        <v>2</v>
      </c>
      <c r="E309" t="s">
        <v>44</v>
      </c>
      <c r="F309">
        <v>0</v>
      </c>
      <c r="G309">
        <f>INDEX(weekly!$E$2:$E$188,MATCH('Marketing Campaigns 22.11.22'!L309,weekly!$H$2:$H$188,0))</f>
        <v>0</v>
      </c>
      <c r="H309">
        <f>INDEX(weekly!$D$2:$D$188,MATCH('Marketing Campaigns 22.11.22'!L309,weekly!$H$2:$H$188,0))</f>
        <v>0</v>
      </c>
      <c r="I309">
        <f>INDEX(weekly!$F$2:$F$188,MATCH('Marketing Campaigns 22.11.22'!L309,weekly!$H$2:$H$188,0))</f>
        <v>0</v>
      </c>
      <c r="J309">
        <v>0</v>
      </c>
      <c r="K309">
        <v>0</v>
      </c>
      <c r="L309" t="str">
        <f t="shared" si="8"/>
        <v>20-5-2021</v>
      </c>
      <c r="M309">
        <f t="shared" si="9"/>
        <v>2021</v>
      </c>
    </row>
    <row r="310" spans="1:13" x14ac:dyDescent="0.2">
      <c r="A310" s="1">
        <v>44333</v>
      </c>
      <c r="B310">
        <v>20</v>
      </c>
      <c r="C310">
        <v>5</v>
      </c>
      <c r="D310">
        <v>2</v>
      </c>
      <c r="E310" t="s">
        <v>45</v>
      </c>
      <c r="F310">
        <v>0</v>
      </c>
      <c r="G310">
        <f>INDEX(weekly!$E$2:$E$188,MATCH('Marketing Campaigns 22.11.22'!L310,weekly!$H$2:$H$188,0))</f>
        <v>0</v>
      </c>
      <c r="H310">
        <f>INDEX(weekly!$D$2:$D$188,MATCH('Marketing Campaigns 22.11.22'!L310,weekly!$H$2:$H$188,0))</f>
        <v>0</v>
      </c>
      <c r="I310">
        <f>INDEX(weekly!$F$2:$F$188,MATCH('Marketing Campaigns 22.11.22'!L310,weekly!$H$2:$H$188,0))</f>
        <v>0</v>
      </c>
      <c r="J310">
        <v>0</v>
      </c>
      <c r="K310">
        <v>0</v>
      </c>
      <c r="L310" t="str">
        <f t="shared" si="8"/>
        <v>20-5-2021</v>
      </c>
      <c r="M310">
        <f t="shared" si="9"/>
        <v>2021</v>
      </c>
    </row>
    <row r="311" spans="1:13" x14ac:dyDescent="0.2">
      <c r="A311" s="1">
        <v>44333</v>
      </c>
      <c r="B311">
        <v>20</v>
      </c>
      <c r="C311">
        <v>5</v>
      </c>
      <c r="D311">
        <v>2</v>
      </c>
      <c r="E311" t="s">
        <v>46</v>
      </c>
      <c r="F311">
        <v>0</v>
      </c>
      <c r="G311">
        <f>INDEX(weekly!$E$2:$E$188,MATCH('Marketing Campaigns 22.11.22'!L311,weekly!$H$2:$H$188,0))</f>
        <v>0</v>
      </c>
      <c r="H311">
        <f>INDEX(weekly!$D$2:$D$188,MATCH('Marketing Campaigns 22.11.22'!L311,weekly!$H$2:$H$188,0))</f>
        <v>0</v>
      </c>
      <c r="I311">
        <f>INDEX(weekly!$F$2:$F$188,MATCH('Marketing Campaigns 22.11.22'!L311,weekly!$H$2:$H$188,0))</f>
        <v>0</v>
      </c>
      <c r="J311">
        <v>0</v>
      </c>
      <c r="K311">
        <v>0</v>
      </c>
      <c r="L311" t="str">
        <f t="shared" si="8"/>
        <v>20-5-2021</v>
      </c>
      <c r="M311">
        <f t="shared" si="9"/>
        <v>2021</v>
      </c>
    </row>
    <row r="312" spans="1:13" x14ac:dyDescent="0.2">
      <c r="A312" s="1">
        <v>44333</v>
      </c>
      <c r="B312">
        <v>20</v>
      </c>
      <c r="C312">
        <v>5</v>
      </c>
      <c r="D312">
        <v>2</v>
      </c>
      <c r="E312" t="s">
        <v>47</v>
      </c>
      <c r="F312">
        <v>0</v>
      </c>
      <c r="G312">
        <f>INDEX(weekly!$E$2:$E$188,MATCH('Marketing Campaigns 22.11.22'!L312,weekly!$H$2:$H$188,0))</f>
        <v>0</v>
      </c>
      <c r="H312">
        <f>INDEX(weekly!$D$2:$D$188,MATCH('Marketing Campaigns 22.11.22'!L312,weekly!$H$2:$H$188,0))</f>
        <v>0</v>
      </c>
      <c r="I312">
        <f>INDEX(weekly!$F$2:$F$188,MATCH('Marketing Campaigns 22.11.22'!L312,weekly!$H$2:$H$188,0))</f>
        <v>0</v>
      </c>
      <c r="J312">
        <v>0</v>
      </c>
      <c r="K312">
        <v>0</v>
      </c>
      <c r="L312" t="str">
        <f t="shared" si="8"/>
        <v>20-5-2021</v>
      </c>
      <c r="M312">
        <f t="shared" si="9"/>
        <v>2021</v>
      </c>
    </row>
    <row r="313" spans="1:13" x14ac:dyDescent="0.2">
      <c r="A313" s="1">
        <v>44333</v>
      </c>
      <c r="B313">
        <v>20</v>
      </c>
      <c r="C313">
        <v>5</v>
      </c>
      <c r="D313">
        <v>2</v>
      </c>
      <c r="E313" t="s">
        <v>48</v>
      </c>
      <c r="F313">
        <v>0</v>
      </c>
      <c r="G313">
        <f>INDEX(weekly!$E$2:$E$188,MATCH('Marketing Campaigns 22.11.22'!L313,weekly!$H$2:$H$188,0))</f>
        <v>0</v>
      </c>
      <c r="H313">
        <f>INDEX(weekly!$D$2:$D$188,MATCH('Marketing Campaigns 22.11.22'!L313,weekly!$H$2:$H$188,0))</f>
        <v>0</v>
      </c>
      <c r="I313">
        <f>INDEX(weekly!$F$2:$F$188,MATCH('Marketing Campaigns 22.11.22'!L313,weekly!$H$2:$H$188,0))</f>
        <v>0</v>
      </c>
      <c r="J313">
        <v>0</v>
      </c>
      <c r="K313">
        <v>0</v>
      </c>
      <c r="L313" t="str">
        <f t="shared" si="8"/>
        <v>20-5-2021</v>
      </c>
      <c r="M313">
        <f t="shared" si="9"/>
        <v>2021</v>
      </c>
    </row>
    <row r="314" spans="1:13" x14ac:dyDescent="0.2">
      <c r="A314" s="1">
        <v>44333</v>
      </c>
      <c r="B314">
        <v>20</v>
      </c>
      <c r="C314">
        <v>5</v>
      </c>
      <c r="D314">
        <v>2</v>
      </c>
      <c r="E314" t="s">
        <v>49</v>
      </c>
      <c r="F314">
        <v>0</v>
      </c>
      <c r="G314">
        <f>INDEX(weekly!$E$2:$E$188,MATCH('Marketing Campaigns 22.11.22'!L314,weekly!$H$2:$H$188,0))</f>
        <v>0</v>
      </c>
      <c r="H314">
        <f>INDEX(weekly!$D$2:$D$188,MATCH('Marketing Campaigns 22.11.22'!L314,weekly!$H$2:$H$188,0))</f>
        <v>0</v>
      </c>
      <c r="I314">
        <f>INDEX(weekly!$F$2:$F$188,MATCH('Marketing Campaigns 22.11.22'!L314,weekly!$H$2:$H$188,0))</f>
        <v>0</v>
      </c>
      <c r="J314">
        <v>0</v>
      </c>
      <c r="K314">
        <v>0</v>
      </c>
      <c r="L314" t="str">
        <f t="shared" si="8"/>
        <v>20-5-2021</v>
      </c>
      <c r="M314">
        <f t="shared" si="9"/>
        <v>2021</v>
      </c>
    </row>
    <row r="315" spans="1:13" x14ac:dyDescent="0.2">
      <c r="A315" s="1">
        <v>44333</v>
      </c>
      <c r="B315">
        <v>20</v>
      </c>
      <c r="C315">
        <v>5</v>
      </c>
      <c r="D315">
        <v>2</v>
      </c>
      <c r="E315" t="s">
        <v>50</v>
      </c>
      <c r="F315">
        <v>0</v>
      </c>
      <c r="G315">
        <f>INDEX(weekly!$E$2:$E$188,MATCH('Marketing Campaigns 22.11.22'!L315,weekly!$H$2:$H$188,0))</f>
        <v>0</v>
      </c>
      <c r="H315">
        <f>INDEX(weekly!$D$2:$D$188,MATCH('Marketing Campaigns 22.11.22'!L315,weekly!$H$2:$H$188,0))</f>
        <v>0</v>
      </c>
      <c r="I315">
        <f>INDEX(weekly!$F$2:$F$188,MATCH('Marketing Campaigns 22.11.22'!L315,weekly!$H$2:$H$188,0))</f>
        <v>0</v>
      </c>
      <c r="J315">
        <v>0</v>
      </c>
      <c r="K315">
        <v>0</v>
      </c>
      <c r="L315" t="str">
        <f t="shared" si="8"/>
        <v>20-5-2021</v>
      </c>
      <c r="M315">
        <f t="shared" si="9"/>
        <v>2021</v>
      </c>
    </row>
    <row r="316" spans="1:13" x14ac:dyDescent="0.2">
      <c r="A316" s="1">
        <v>44333</v>
      </c>
      <c r="B316">
        <v>20</v>
      </c>
      <c r="C316">
        <v>5</v>
      </c>
      <c r="D316">
        <v>2</v>
      </c>
      <c r="E316" t="s">
        <v>51</v>
      </c>
      <c r="F316">
        <v>0</v>
      </c>
      <c r="G316">
        <f>INDEX(weekly!$E$2:$E$188,MATCH('Marketing Campaigns 22.11.22'!L316,weekly!$H$2:$H$188,0))</f>
        <v>0</v>
      </c>
      <c r="H316">
        <f>INDEX(weekly!$D$2:$D$188,MATCH('Marketing Campaigns 22.11.22'!L316,weekly!$H$2:$H$188,0))</f>
        <v>0</v>
      </c>
      <c r="I316">
        <f>INDEX(weekly!$F$2:$F$188,MATCH('Marketing Campaigns 22.11.22'!L316,weekly!$H$2:$H$188,0))</f>
        <v>0</v>
      </c>
      <c r="J316">
        <v>0</v>
      </c>
      <c r="K316">
        <v>0</v>
      </c>
      <c r="L316" t="str">
        <f t="shared" si="8"/>
        <v>20-5-2021</v>
      </c>
      <c r="M316">
        <f t="shared" si="9"/>
        <v>2021</v>
      </c>
    </row>
    <row r="317" spans="1:13" x14ac:dyDescent="0.2">
      <c r="A317" s="1">
        <v>44333</v>
      </c>
      <c r="B317">
        <v>20</v>
      </c>
      <c r="C317">
        <v>5</v>
      </c>
      <c r="D317">
        <v>2</v>
      </c>
      <c r="E317" t="s">
        <v>52</v>
      </c>
      <c r="F317">
        <v>0</v>
      </c>
      <c r="G317">
        <f>INDEX(weekly!$E$2:$E$188,MATCH('Marketing Campaigns 22.11.22'!L317,weekly!$H$2:$H$188,0))</f>
        <v>0</v>
      </c>
      <c r="H317">
        <f>INDEX(weekly!$D$2:$D$188,MATCH('Marketing Campaigns 22.11.22'!L317,weekly!$H$2:$H$188,0))</f>
        <v>0</v>
      </c>
      <c r="I317">
        <f>INDEX(weekly!$F$2:$F$188,MATCH('Marketing Campaigns 22.11.22'!L317,weekly!$H$2:$H$188,0))</f>
        <v>0</v>
      </c>
      <c r="J317">
        <v>0</v>
      </c>
      <c r="K317">
        <v>0</v>
      </c>
      <c r="L317" t="str">
        <f t="shared" si="8"/>
        <v>20-5-2021</v>
      </c>
      <c r="M317">
        <f t="shared" si="9"/>
        <v>2021</v>
      </c>
    </row>
    <row r="318" spans="1:13" x14ac:dyDescent="0.2">
      <c r="A318" s="1">
        <v>44340</v>
      </c>
      <c r="B318">
        <v>21</v>
      </c>
      <c r="C318">
        <v>5</v>
      </c>
      <c r="D318">
        <v>2</v>
      </c>
      <c r="E318" t="s">
        <v>24</v>
      </c>
      <c r="F318">
        <v>0</v>
      </c>
      <c r="G318">
        <f>INDEX(weekly!$E$2:$E$188,MATCH('Marketing Campaigns 22.11.22'!L318,weekly!$H$2:$H$188,0))</f>
        <v>0</v>
      </c>
      <c r="H318">
        <f>INDEX(weekly!$D$2:$D$188,MATCH('Marketing Campaigns 22.11.22'!L318,weekly!$H$2:$H$188,0))</f>
        <v>0</v>
      </c>
      <c r="I318">
        <f>INDEX(weekly!$F$2:$F$188,MATCH('Marketing Campaigns 22.11.22'!L318,weekly!$H$2:$H$188,0))</f>
        <v>0</v>
      </c>
      <c r="J318">
        <v>0</v>
      </c>
      <c r="K318">
        <v>0</v>
      </c>
      <c r="L318" t="str">
        <f t="shared" si="8"/>
        <v>21-5-2021</v>
      </c>
      <c r="M318">
        <f t="shared" si="9"/>
        <v>2021</v>
      </c>
    </row>
    <row r="319" spans="1:13" x14ac:dyDescent="0.2">
      <c r="A319" s="1">
        <v>44340</v>
      </c>
      <c r="B319">
        <v>21</v>
      </c>
      <c r="C319">
        <v>5</v>
      </c>
      <c r="D319">
        <v>2</v>
      </c>
      <c r="E319" t="s">
        <v>39</v>
      </c>
      <c r="F319">
        <v>0</v>
      </c>
      <c r="G319">
        <f>INDEX(weekly!$E$2:$E$188,MATCH('Marketing Campaigns 22.11.22'!L319,weekly!$H$2:$H$188,0))</f>
        <v>0</v>
      </c>
      <c r="H319">
        <f>INDEX(weekly!$D$2:$D$188,MATCH('Marketing Campaigns 22.11.22'!L319,weekly!$H$2:$H$188,0))</f>
        <v>0</v>
      </c>
      <c r="I319">
        <f>INDEX(weekly!$F$2:$F$188,MATCH('Marketing Campaigns 22.11.22'!L319,weekly!$H$2:$H$188,0))</f>
        <v>0</v>
      </c>
      <c r="J319">
        <v>0</v>
      </c>
      <c r="K319">
        <v>0</v>
      </c>
      <c r="L319" t="str">
        <f t="shared" si="8"/>
        <v>21-5-2021</v>
      </c>
      <c r="M319">
        <f t="shared" si="9"/>
        <v>2021</v>
      </c>
    </row>
    <row r="320" spans="1:13" x14ac:dyDescent="0.2">
      <c r="A320" s="1">
        <v>44340</v>
      </c>
      <c r="B320">
        <v>21</v>
      </c>
      <c r="C320">
        <v>5</v>
      </c>
      <c r="D320">
        <v>2</v>
      </c>
      <c r="E320" t="s">
        <v>40</v>
      </c>
      <c r="F320">
        <v>0</v>
      </c>
      <c r="G320">
        <f>INDEX(weekly!$E$2:$E$188,MATCH('Marketing Campaigns 22.11.22'!L320,weekly!$H$2:$H$188,0))</f>
        <v>0</v>
      </c>
      <c r="H320">
        <f>INDEX(weekly!$D$2:$D$188,MATCH('Marketing Campaigns 22.11.22'!L320,weekly!$H$2:$H$188,0))</f>
        <v>0</v>
      </c>
      <c r="I320">
        <f>INDEX(weekly!$F$2:$F$188,MATCH('Marketing Campaigns 22.11.22'!L320,weekly!$H$2:$H$188,0))</f>
        <v>0</v>
      </c>
      <c r="J320">
        <v>0</v>
      </c>
      <c r="K320">
        <v>0</v>
      </c>
      <c r="L320" t="str">
        <f t="shared" si="8"/>
        <v>21-5-2021</v>
      </c>
      <c r="M320">
        <f t="shared" si="9"/>
        <v>2021</v>
      </c>
    </row>
    <row r="321" spans="1:13" x14ac:dyDescent="0.2">
      <c r="A321" s="1">
        <v>44340</v>
      </c>
      <c r="B321">
        <v>21</v>
      </c>
      <c r="C321">
        <v>5</v>
      </c>
      <c r="D321">
        <v>2</v>
      </c>
      <c r="E321" t="s">
        <v>41</v>
      </c>
      <c r="F321">
        <v>0</v>
      </c>
      <c r="G321">
        <f>INDEX(weekly!$E$2:$E$188,MATCH('Marketing Campaigns 22.11.22'!L321,weekly!$H$2:$H$188,0))</f>
        <v>0</v>
      </c>
      <c r="H321">
        <f>INDEX(weekly!$D$2:$D$188,MATCH('Marketing Campaigns 22.11.22'!L321,weekly!$H$2:$H$188,0))</f>
        <v>0</v>
      </c>
      <c r="I321">
        <f>INDEX(weekly!$F$2:$F$188,MATCH('Marketing Campaigns 22.11.22'!L321,weekly!$H$2:$H$188,0))</f>
        <v>0</v>
      </c>
      <c r="J321">
        <v>0</v>
      </c>
      <c r="K321">
        <v>0</v>
      </c>
      <c r="L321" t="str">
        <f t="shared" si="8"/>
        <v>21-5-2021</v>
      </c>
      <c r="M321">
        <f t="shared" si="9"/>
        <v>2021</v>
      </c>
    </row>
    <row r="322" spans="1:13" x14ac:dyDescent="0.2">
      <c r="A322" s="1">
        <v>44340</v>
      </c>
      <c r="B322">
        <v>21</v>
      </c>
      <c r="C322">
        <v>5</v>
      </c>
      <c r="D322">
        <v>2</v>
      </c>
      <c r="E322" t="s">
        <v>42</v>
      </c>
      <c r="F322">
        <v>0</v>
      </c>
      <c r="G322">
        <f>INDEX(weekly!$E$2:$E$188,MATCH('Marketing Campaigns 22.11.22'!L322,weekly!$H$2:$H$188,0))</f>
        <v>0</v>
      </c>
      <c r="H322">
        <f>INDEX(weekly!$D$2:$D$188,MATCH('Marketing Campaigns 22.11.22'!L322,weekly!$H$2:$H$188,0))</f>
        <v>0</v>
      </c>
      <c r="I322">
        <f>INDEX(weekly!$F$2:$F$188,MATCH('Marketing Campaigns 22.11.22'!L322,weekly!$H$2:$H$188,0))</f>
        <v>0</v>
      </c>
      <c r="J322">
        <v>0</v>
      </c>
      <c r="K322">
        <v>0</v>
      </c>
      <c r="L322" t="str">
        <f t="shared" si="8"/>
        <v>21-5-2021</v>
      </c>
      <c r="M322">
        <f t="shared" si="9"/>
        <v>2021</v>
      </c>
    </row>
    <row r="323" spans="1:13" x14ac:dyDescent="0.2">
      <c r="A323" s="1">
        <v>44340</v>
      </c>
      <c r="B323">
        <v>21</v>
      </c>
      <c r="C323">
        <v>5</v>
      </c>
      <c r="D323">
        <v>2</v>
      </c>
      <c r="E323" t="s">
        <v>43</v>
      </c>
      <c r="F323">
        <v>0</v>
      </c>
      <c r="G323">
        <f>INDEX(weekly!$E$2:$E$188,MATCH('Marketing Campaigns 22.11.22'!L323,weekly!$H$2:$H$188,0))</f>
        <v>0</v>
      </c>
      <c r="H323">
        <f>INDEX(weekly!$D$2:$D$188,MATCH('Marketing Campaigns 22.11.22'!L323,weekly!$H$2:$H$188,0))</f>
        <v>0</v>
      </c>
      <c r="I323">
        <f>INDEX(weekly!$F$2:$F$188,MATCH('Marketing Campaigns 22.11.22'!L323,weekly!$H$2:$H$188,0))</f>
        <v>0</v>
      </c>
      <c r="J323">
        <v>0</v>
      </c>
      <c r="K323">
        <v>0</v>
      </c>
      <c r="L323" t="str">
        <f t="shared" si="8"/>
        <v>21-5-2021</v>
      </c>
      <c r="M323">
        <f t="shared" si="9"/>
        <v>2021</v>
      </c>
    </row>
    <row r="324" spans="1:13" x14ac:dyDescent="0.2">
      <c r="A324" s="1">
        <v>44340</v>
      </c>
      <c r="B324">
        <v>21</v>
      </c>
      <c r="C324">
        <v>5</v>
      </c>
      <c r="D324">
        <v>2</v>
      </c>
      <c r="E324" t="s">
        <v>44</v>
      </c>
      <c r="F324">
        <v>0</v>
      </c>
      <c r="G324">
        <f>INDEX(weekly!$E$2:$E$188,MATCH('Marketing Campaigns 22.11.22'!L324,weekly!$H$2:$H$188,0))</f>
        <v>0</v>
      </c>
      <c r="H324">
        <f>INDEX(weekly!$D$2:$D$188,MATCH('Marketing Campaigns 22.11.22'!L324,weekly!$H$2:$H$188,0))</f>
        <v>0</v>
      </c>
      <c r="I324">
        <f>INDEX(weekly!$F$2:$F$188,MATCH('Marketing Campaigns 22.11.22'!L324,weekly!$H$2:$H$188,0))</f>
        <v>0</v>
      </c>
      <c r="J324">
        <v>0</v>
      </c>
      <c r="K324">
        <v>0</v>
      </c>
      <c r="L324" t="str">
        <f t="shared" ref="L324:L387" si="10">B324&amp;"-"&amp;C324&amp;"-"&amp;M324</f>
        <v>21-5-2021</v>
      </c>
      <c r="M324">
        <f t="shared" ref="M324:M387" si="11">YEAR(A324)</f>
        <v>2021</v>
      </c>
    </row>
    <row r="325" spans="1:13" x14ac:dyDescent="0.2">
      <c r="A325" s="1">
        <v>44340</v>
      </c>
      <c r="B325">
        <v>21</v>
      </c>
      <c r="C325">
        <v>5</v>
      </c>
      <c r="D325">
        <v>2</v>
      </c>
      <c r="E325" t="s">
        <v>45</v>
      </c>
      <c r="F325">
        <v>0</v>
      </c>
      <c r="G325">
        <f>INDEX(weekly!$E$2:$E$188,MATCH('Marketing Campaigns 22.11.22'!L325,weekly!$H$2:$H$188,0))</f>
        <v>0</v>
      </c>
      <c r="H325">
        <f>INDEX(weekly!$D$2:$D$188,MATCH('Marketing Campaigns 22.11.22'!L325,weekly!$H$2:$H$188,0))</f>
        <v>0</v>
      </c>
      <c r="I325">
        <f>INDEX(weekly!$F$2:$F$188,MATCH('Marketing Campaigns 22.11.22'!L325,weekly!$H$2:$H$188,0))</f>
        <v>0</v>
      </c>
      <c r="J325">
        <v>0</v>
      </c>
      <c r="K325">
        <v>0</v>
      </c>
      <c r="L325" t="str">
        <f t="shared" si="10"/>
        <v>21-5-2021</v>
      </c>
      <c r="M325">
        <f t="shared" si="11"/>
        <v>2021</v>
      </c>
    </row>
    <row r="326" spans="1:13" x14ac:dyDescent="0.2">
      <c r="A326" s="1">
        <v>44340</v>
      </c>
      <c r="B326">
        <v>21</v>
      </c>
      <c r="C326">
        <v>5</v>
      </c>
      <c r="D326">
        <v>2</v>
      </c>
      <c r="E326" t="s">
        <v>46</v>
      </c>
      <c r="F326">
        <v>0</v>
      </c>
      <c r="G326">
        <f>INDEX(weekly!$E$2:$E$188,MATCH('Marketing Campaigns 22.11.22'!L326,weekly!$H$2:$H$188,0))</f>
        <v>0</v>
      </c>
      <c r="H326">
        <f>INDEX(weekly!$D$2:$D$188,MATCH('Marketing Campaigns 22.11.22'!L326,weekly!$H$2:$H$188,0))</f>
        <v>0</v>
      </c>
      <c r="I326">
        <f>INDEX(weekly!$F$2:$F$188,MATCH('Marketing Campaigns 22.11.22'!L326,weekly!$H$2:$H$188,0))</f>
        <v>0</v>
      </c>
      <c r="J326">
        <v>0</v>
      </c>
      <c r="K326">
        <v>0</v>
      </c>
      <c r="L326" t="str">
        <f t="shared" si="10"/>
        <v>21-5-2021</v>
      </c>
      <c r="M326">
        <f t="shared" si="11"/>
        <v>2021</v>
      </c>
    </row>
    <row r="327" spans="1:13" x14ac:dyDescent="0.2">
      <c r="A327" s="1">
        <v>44340</v>
      </c>
      <c r="B327">
        <v>21</v>
      </c>
      <c r="C327">
        <v>5</v>
      </c>
      <c r="D327">
        <v>2</v>
      </c>
      <c r="E327" t="s">
        <v>47</v>
      </c>
      <c r="F327">
        <v>0</v>
      </c>
      <c r="G327">
        <f>INDEX(weekly!$E$2:$E$188,MATCH('Marketing Campaigns 22.11.22'!L327,weekly!$H$2:$H$188,0))</f>
        <v>0</v>
      </c>
      <c r="H327">
        <f>INDEX(weekly!$D$2:$D$188,MATCH('Marketing Campaigns 22.11.22'!L327,weekly!$H$2:$H$188,0))</f>
        <v>0</v>
      </c>
      <c r="I327">
        <f>INDEX(weekly!$F$2:$F$188,MATCH('Marketing Campaigns 22.11.22'!L327,weekly!$H$2:$H$188,0))</f>
        <v>0</v>
      </c>
      <c r="J327">
        <v>0</v>
      </c>
      <c r="K327">
        <v>0</v>
      </c>
      <c r="L327" t="str">
        <f t="shared" si="10"/>
        <v>21-5-2021</v>
      </c>
      <c r="M327">
        <f t="shared" si="11"/>
        <v>2021</v>
      </c>
    </row>
    <row r="328" spans="1:13" x14ac:dyDescent="0.2">
      <c r="A328" s="1">
        <v>44340</v>
      </c>
      <c r="B328">
        <v>21</v>
      </c>
      <c r="C328">
        <v>5</v>
      </c>
      <c r="D328">
        <v>2</v>
      </c>
      <c r="E328" t="s">
        <v>48</v>
      </c>
      <c r="F328">
        <v>0</v>
      </c>
      <c r="G328">
        <f>INDEX(weekly!$E$2:$E$188,MATCH('Marketing Campaigns 22.11.22'!L328,weekly!$H$2:$H$188,0))</f>
        <v>0</v>
      </c>
      <c r="H328">
        <f>INDEX(weekly!$D$2:$D$188,MATCH('Marketing Campaigns 22.11.22'!L328,weekly!$H$2:$H$188,0))</f>
        <v>0</v>
      </c>
      <c r="I328">
        <f>INDEX(weekly!$F$2:$F$188,MATCH('Marketing Campaigns 22.11.22'!L328,weekly!$H$2:$H$188,0))</f>
        <v>0</v>
      </c>
      <c r="J328">
        <v>0</v>
      </c>
      <c r="K328">
        <v>0</v>
      </c>
      <c r="L328" t="str">
        <f t="shared" si="10"/>
        <v>21-5-2021</v>
      </c>
      <c r="M328">
        <f t="shared" si="11"/>
        <v>2021</v>
      </c>
    </row>
    <row r="329" spans="1:13" x14ac:dyDescent="0.2">
      <c r="A329" s="1">
        <v>44340</v>
      </c>
      <c r="B329">
        <v>21</v>
      </c>
      <c r="C329">
        <v>5</v>
      </c>
      <c r="D329">
        <v>2</v>
      </c>
      <c r="E329" t="s">
        <v>49</v>
      </c>
      <c r="F329">
        <v>0</v>
      </c>
      <c r="G329">
        <f>INDEX(weekly!$E$2:$E$188,MATCH('Marketing Campaigns 22.11.22'!L329,weekly!$H$2:$H$188,0))</f>
        <v>0</v>
      </c>
      <c r="H329">
        <f>INDEX(weekly!$D$2:$D$188,MATCH('Marketing Campaigns 22.11.22'!L329,weekly!$H$2:$H$188,0))</f>
        <v>0</v>
      </c>
      <c r="I329">
        <f>INDEX(weekly!$F$2:$F$188,MATCH('Marketing Campaigns 22.11.22'!L329,weekly!$H$2:$H$188,0))</f>
        <v>0</v>
      </c>
      <c r="J329">
        <v>0</v>
      </c>
      <c r="K329">
        <v>0</v>
      </c>
      <c r="L329" t="str">
        <f t="shared" si="10"/>
        <v>21-5-2021</v>
      </c>
      <c r="M329">
        <f t="shared" si="11"/>
        <v>2021</v>
      </c>
    </row>
    <row r="330" spans="1:13" x14ac:dyDescent="0.2">
      <c r="A330" s="1">
        <v>44340</v>
      </c>
      <c r="B330">
        <v>21</v>
      </c>
      <c r="C330">
        <v>5</v>
      </c>
      <c r="D330">
        <v>2</v>
      </c>
      <c r="E330" t="s">
        <v>50</v>
      </c>
      <c r="F330">
        <v>0</v>
      </c>
      <c r="G330">
        <f>INDEX(weekly!$E$2:$E$188,MATCH('Marketing Campaigns 22.11.22'!L330,weekly!$H$2:$H$188,0))</f>
        <v>0</v>
      </c>
      <c r="H330">
        <f>INDEX(weekly!$D$2:$D$188,MATCH('Marketing Campaigns 22.11.22'!L330,weekly!$H$2:$H$188,0))</f>
        <v>0</v>
      </c>
      <c r="I330">
        <f>INDEX(weekly!$F$2:$F$188,MATCH('Marketing Campaigns 22.11.22'!L330,weekly!$H$2:$H$188,0))</f>
        <v>0</v>
      </c>
      <c r="J330">
        <v>0</v>
      </c>
      <c r="K330">
        <v>0</v>
      </c>
      <c r="L330" t="str">
        <f t="shared" si="10"/>
        <v>21-5-2021</v>
      </c>
      <c r="M330">
        <f t="shared" si="11"/>
        <v>2021</v>
      </c>
    </row>
    <row r="331" spans="1:13" x14ac:dyDescent="0.2">
      <c r="A331" s="1">
        <v>44340</v>
      </c>
      <c r="B331">
        <v>21</v>
      </c>
      <c r="C331">
        <v>5</v>
      </c>
      <c r="D331">
        <v>2</v>
      </c>
      <c r="E331" t="s">
        <v>51</v>
      </c>
      <c r="F331">
        <v>0</v>
      </c>
      <c r="G331">
        <f>INDEX(weekly!$E$2:$E$188,MATCH('Marketing Campaigns 22.11.22'!L331,weekly!$H$2:$H$188,0))</f>
        <v>0</v>
      </c>
      <c r="H331">
        <f>INDEX(weekly!$D$2:$D$188,MATCH('Marketing Campaigns 22.11.22'!L331,weekly!$H$2:$H$188,0))</f>
        <v>0</v>
      </c>
      <c r="I331">
        <f>INDEX(weekly!$F$2:$F$188,MATCH('Marketing Campaigns 22.11.22'!L331,weekly!$H$2:$H$188,0))</f>
        <v>0</v>
      </c>
      <c r="J331">
        <v>0</v>
      </c>
      <c r="K331">
        <v>0</v>
      </c>
      <c r="L331" t="str">
        <f t="shared" si="10"/>
        <v>21-5-2021</v>
      </c>
      <c r="M331">
        <f t="shared" si="11"/>
        <v>2021</v>
      </c>
    </row>
    <row r="332" spans="1:13" x14ac:dyDescent="0.2">
      <c r="A332" s="1">
        <v>44340</v>
      </c>
      <c r="B332">
        <v>21</v>
      </c>
      <c r="C332">
        <v>5</v>
      </c>
      <c r="D332">
        <v>2</v>
      </c>
      <c r="E332" t="s">
        <v>52</v>
      </c>
      <c r="F332">
        <v>0</v>
      </c>
      <c r="G332">
        <f>INDEX(weekly!$E$2:$E$188,MATCH('Marketing Campaigns 22.11.22'!L332,weekly!$H$2:$H$188,0))</f>
        <v>0</v>
      </c>
      <c r="H332">
        <f>INDEX(weekly!$D$2:$D$188,MATCH('Marketing Campaigns 22.11.22'!L332,weekly!$H$2:$H$188,0))</f>
        <v>0</v>
      </c>
      <c r="I332">
        <f>INDEX(weekly!$F$2:$F$188,MATCH('Marketing Campaigns 22.11.22'!L332,weekly!$H$2:$H$188,0))</f>
        <v>0</v>
      </c>
      <c r="J332">
        <v>0</v>
      </c>
      <c r="K332">
        <v>0</v>
      </c>
      <c r="L332" t="str">
        <f t="shared" si="10"/>
        <v>21-5-2021</v>
      </c>
      <c r="M332">
        <f t="shared" si="11"/>
        <v>2021</v>
      </c>
    </row>
    <row r="333" spans="1:13" x14ac:dyDescent="0.2">
      <c r="A333" s="1">
        <v>44347</v>
      </c>
      <c r="B333">
        <v>22</v>
      </c>
      <c r="C333">
        <v>5</v>
      </c>
      <c r="D333">
        <v>2</v>
      </c>
      <c r="E333" t="s">
        <v>24</v>
      </c>
      <c r="F333">
        <v>0</v>
      </c>
      <c r="G333">
        <f>INDEX(weekly!$E$2:$E$188,MATCH('Marketing Campaigns 22.11.22'!L333,weekly!$H$2:$H$188,0))</f>
        <v>0</v>
      </c>
      <c r="H333">
        <f>INDEX(weekly!$D$2:$D$188,MATCH('Marketing Campaigns 22.11.22'!L333,weekly!$H$2:$H$188,0))</f>
        <v>0</v>
      </c>
      <c r="I333">
        <f>INDEX(weekly!$F$2:$F$188,MATCH('Marketing Campaigns 22.11.22'!L333,weekly!$H$2:$H$188,0))</f>
        <v>0</v>
      </c>
      <c r="J333">
        <v>0</v>
      </c>
      <c r="K333">
        <v>0</v>
      </c>
      <c r="L333" t="str">
        <f t="shared" si="10"/>
        <v>22-5-2021</v>
      </c>
      <c r="M333">
        <f t="shared" si="11"/>
        <v>2021</v>
      </c>
    </row>
    <row r="334" spans="1:13" x14ac:dyDescent="0.2">
      <c r="A334" s="1">
        <v>44347</v>
      </c>
      <c r="B334">
        <v>22</v>
      </c>
      <c r="C334">
        <v>5</v>
      </c>
      <c r="D334">
        <v>2</v>
      </c>
      <c r="E334" t="s">
        <v>39</v>
      </c>
      <c r="F334">
        <v>0</v>
      </c>
      <c r="G334">
        <f>INDEX(weekly!$E$2:$E$188,MATCH('Marketing Campaigns 22.11.22'!L334,weekly!$H$2:$H$188,0))</f>
        <v>0</v>
      </c>
      <c r="H334">
        <f>INDEX(weekly!$D$2:$D$188,MATCH('Marketing Campaigns 22.11.22'!L334,weekly!$H$2:$H$188,0))</f>
        <v>0</v>
      </c>
      <c r="I334">
        <f>INDEX(weekly!$F$2:$F$188,MATCH('Marketing Campaigns 22.11.22'!L334,weekly!$H$2:$H$188,0))</f>
        <v>0</v>
      </c>
      <c r="J334">
        <v>0</v>
      </c>
      <c r="K334">
        <v>0</v>
      </c>
      <c r="L334" t="str">
        <f t="shared" si="10"/>
        <v>22-5-2021</v>
      </c>
      <c r="M334">
        <f t="shared" si="11"/>
        <v>2021</v>
      </c>
    </row>
    <row r="335" spans="1:13" x14ac:dyDescent="0.2">
      <c r="A335" s="1">
        <v>44347</v>
      </c>
      <c r="B335">
        <v>22</v>
      </c>
      <c r="C335">
        <v>5</v>
      </c>
      <c r="D335">
        <v>2</v>
      </c>
      <c r="E335" t="s">
        <v>40</v>
      </c>
      <c r="F335">
        <v>0</v>
      </c>
      <c r="G335">
        <f>INDEX(weekly!$E$2:$E$188,MATCH('Marketing Campaigns 22.11.22'!L335,weekly!$H$2:$H$188,0))</f>
        <v>0</v>
      </c>
      <c r="H335">
        <f>INDEX(weekly!$D$2:$D$188,MATCH('Marketing Campaigns 22.11.22'!L335,weekly!$H$2:$H$188,0))</f>
        <v>0</v>
      </c>
      <c r="I335">
        <f>INDEX(weekly!$F$2:$F$188,MATCH('Marketing Campaigns 22.11.22'!L335,weekly!$H$2:$H$188,0))</f>
        <v>0</v>
      </c>
      <c r="J335">
        <v>0</v>
      </c>
      <c r="K335">
        <v>0</v>
      </c>
      <c r="L335" t="str">
        <f t="shared" si="10"/>
        <v>22-5-2021</v>
      </c>
      <c r="M335">
        <f t="shared" si="11"/>
        <v>2021</v>
      </c>
    </row>
    <row r="336" spans="1:13" x14ac:dyDescent="0.2">
      <c r="A336" s="1">
        <v>44347</v>
      </c>
      <c r="B336">
        <v>22</v>
      </c>
      <c r="C336">
        <v>5</v>
      </c>
      <c r="D336">
        <v>2</v>
      </c>
      <c r="E336" t="s">
        <v>41</v>
      </c>
      <c r="F336">
        <v>0</v>
      </c>
      <c r="G336">
        <f>INDEX(weekly!$E$2:$E$188,MATCH('Marketing Campaigns 22.11.22'!L336,weekly!$H$2:$H$188,0))</f>
        <v>0</v>
      </c>
      <c r="H336">
        <f>INDEX(weekly!$D$2:$D$188,MATCH('Marketing Campaigns 22.11.22'!L336,weekly!$H$2:$H$188,0))</f>
        <v>0</v>
      </c>
      <c r="I336">
        <f>INDEX(weekly!$F$2:$F$188,MATCH('Marketing Campaigns 22.11.22'!L336,weekly!$H$2:$H$188,0))</f>
        <v>0</v>
      </c>
      <c r="J336">
        <v>0</v>
      </c>
      <c r="K336">
        <v>0</v>
      </c>
      <c r="L336" t="str">
        <f t="shared" si="10"/>
        <v>22-5-2021</v>
      </c>
      <c r="M336">
        <f t="shared" si="11"/>
        <v>2021</v>
      </c>
    </row>
    <row r="337" spans="1:13" x14ac:dyDescent="0.2">
      <c r="A337" s="1">
        <v>44347</v>
      </c>
      <c r="B337">
        <v>22</v>
      </c>
      <c r="C337">
        <v>5</v>
      </c>
      <c r="D337">
        <v>2</v>
      </c>
      <c r="E337" t="s">
        <v>42</v>
      </c>
      <c r="F337">
        <v>0</v>
      </c>
      <c r="G337">
        <f>INDEX(weekly!$E$2:$E$188,MATCH('Marketing Campaigns 22.11.22'!L337,weekly!$H$2:$H$188,0))</f>
        <v>0</v>
      </c>
      <c r="H337">
        <f>INDEX(weekly!$D$2:$D$188,MATCH('Marketing Campaigns 22.11.22'!L337,weekly!$H$2:$H$188,0))</f>
        <v>0</v>
      </c>
      <c r="I337">
        <f>INDEX(weekly!$F$2:$F$188,MATCH('Marketing Campaigns 22.11.22'!L337,weekly!$H$2:$H$188,0))</f>
        <v>0</v>
      </c>
      <c r="J337">
        <v>0</v>
      </c>
      <c r="K337">
        <v>0</v>
      </c>
      <c r="L337" t="str">
        <f t="shared" si="10"/>
        <v>22-5-2021</v>
      </c>
      <c r="M337">
        <f t="shared" si="11"/>
        <v>2021</v>
      </c>
    </row>
    <row r="338" spans="1:13" x14ac:dyDescent="0.2">
      <c r="A338" s="1">
        <v>44347</v>
      </c>
      <c r="B338">
        <v>22</v>
      </c>
      <c r="C338">
        <v>5</v>
      </c>
      <c r="D338">
        <v>2</v>
      </c>
      <c r="E338" t="s">
        <v>43</v>
      </c>
      <c r="F338">
        <v>0</v>
      </c>
      <c r="G338">
        <f>INDEX(weekly!$E$2:$E$188,MATCH('Marketing Campaigns 22.11.22'!L338,weekly!$H$2:$H$188,0))</f>
        <v>0</v>
      </c>
      <c r="H338">
        <f>INDEX(weekly!$D$2:$D$188,MATCH('Marketing Campaigns 22.11.22'!L338,weekly!$H$2:$H$188,0))</f>
        <v>0</v>
      </c>
      <c r="I338">
        <f>INDEX(weekly!$F$2:$F$188,MATCH('Marketing Campaigns 22.11.22'!L338,weekly!$H$2:$H$188,0))</f>
        <v>0</v>
      </c>
      <c r="J338">
        <v>0</v>
      </c>
      <c r="K338">
        <v>0</v>
      </c>
      <c r="L338" t="str">
        <f t="shared" si="10"/>
        <v>22-5-2021</v>
      </c>
      <c r="M338">
        <f t="shared" si="11"/>
        <v>2021</v>
      </c>
    </row>
    <row r="339" spans="1:13" x14ac:dyDescent="0.2">
      <c r="A339" s="1">
        <v>44347</v>
      </c>
      <c r="B339">
        <v>22</v>
      </c>
      <c r="C339">
        <v>5</v>
      </c>
      <c r="D339">
        <v>2</v>
      </c>
      <c r="E339" t="s">
        <v>44</v>
      </c>
      <c r="F339">
        <v>0</v>
      </c>
      <c r="G339">
        <f>INDEX(weekly!$E$2:$E$188,MATCH('Marketing Campaigns 22.11.22'!L339,weekly!$H$2:$H$188,0))</f>
        <v>0</v>
      </c>
      <c r="H339">
        <f>INDEX(weekly!$D$2:$D$188,MATCH('Marketing Campaigns 22.11.22'!L339,weekly!$H$2:$H$188,0))</f>
        <v>0</v>
      </c>
      <c r="I339">
        <f>INDEX(weekly!$F$2:$F$188,MATCH('Marketing Campaigns 22.11.22'!L339,weekly!$H$2:$H$188,0))</f>
        <v>0</v>
      </c>
      <c r="J339">
        <v>0</v>
      </c>
      <c r="K339">
        <v>0</v>
      </c>
      <c r="L339" t="str">
        <f t="shared" si="10"/>
        <v>22-5-2021</v>
      </c>
      <c r="M339">
        <f t="shared" si="11"/>
        <v>2021</v>
      </c>
    </row>
    <row r="340" spans="1:13" x14ac:dyDescent="0.2">
      <c r="A340" s="1">
        <v>44347</v>
      </c>
      <c r="B340">
        <v>22</v>
      </c>
      <c r="C340">
        <v>5</v>
      </c>
      <c r="D340">
        <v>2</v>
      </c>
      <c r="E340" t="s">
        <v>45</v>
      </c>
      <c r="F340">
        <v>0</v>
      </c>
      <c r="G340">
        <f>INDEX(weekly!$E$2:$E$188,MATCH('Marketing Campaigns 22.11.22'!L340,weekly!$H$2:$H$188,0))</f>
        <v>0</v>
      </c>
      <c r="H340">
        <f>INDEX(weekly!$D$2:$D$188,MATCH('Marketing Campaigns 22.11.22'!L340,weekly!$H$2:$H$188,0))</f>
        <v>0</v>
      </c>
      <c r="I340">
        <f>INDEX(weekly!$F$2:$F$188,MATCH('Marketing Campaigns 22.11.22'!L340,weekly!$H$2:$H$188,0))</f>
        <v>0</v>
      </c>
      <c r="J340">
        <v>0</v>
      </c>
      <c r="K340">
        <v>0</v>
      </c>
      <c r="L340" t="str">
        <f t="shared" si="10"/>
        <v>22-5-2021</v>
      </c>
      <c r="M340">
        <f t="shared" si="11"/>
        <v>2021</v>
      </c>
    </row>
    <row r="341" spans="1:13" x14ac:dyDescent="0.2">
      <c r="A341" s="1">
        <v>44347</v>
      </c>
      <c r="B341">
        <v>22</v>
      </c>
      <c r="C341">
        <v>5</v>
      </c>
      <c r="D341">
        <v>2</v>
      </c>
      <c r="E341" t="s">
        <v>46</v>
      </c>
      <c r="F341">
        <v>0</v>
      </c>
      <c r="G341">
        <f>INDEX(weekly!$E$2:$E$188,MATCH('Marketing Campaigns 22.11.22'!L341,weekly!$H$2:$H$188,0))</f>
        <v>0</v>
      </c>
      <c r="H341">
        <f>INDEX(weekly!$D$2:$D$188,MATCH('Marketing Campaigns 22.11.22'!L341,weekly!$H$2:$H$188,0))</f>
        <v>0</v>
      </c>
      <c r="I341">
        <f>INDEX(weekly!$F$2:$F$188,MATCH('Marketing Campaigns 22.11.22'!L341,weekly!$H$2:$H$188,0))</f>
        <v>0</v>
      </c>
      <c r="J341">
        <v>0</v>
      </c>
      <c r="K341">
        <v>0</v>
      </c>
      <c r="L341" t="str">
        <f t="shared" si="10"/>
        <v>22-5-2021</v>
      </c>
      <c r="M341">
        <f t="shared" si="11"/>
        <v>2021</v>
      </c>
    </row>
    <row r="342" spans="1:13" x14ac:dyDescent="0.2">
      <c r="A342" s="1">
        <v>44347</v>
      </c>
      <c r="B342">
        <v>22</v>
      </c>
      <c r="C342">
        <v>5</v>
      </c>
      <c r="D342">
        <v>2</v>
      </c>
      <c r="E342" t="s">
        <v>47</v>
      </c>
      <c r="F342">
        <v>0</v>
      </c>
      <c r="G342">
        <f>INDEX(weekly!$E$2:$E$188,MATCH('Marketing Campaigns 22.11.22'!L342,weekly!$H$2:$H$188,0))</f>
        <v>0</v>
      </c>
      <c r="H342">
        <f>INDEX(weekly!$D$2:$D$188,MATCH('Marketing Campaigns 22.11.22'!L342,weekly!$H$2:$H$188,0))</f>
        <v>0</v>
      </c>
      <c r="I342">
        <f>INDEX(weekly!$F$2:$F$188,MATCH('Marketing Campaigns 22.11.22'!L342,weekly!$H$2:$H$188,0))</f>
        <v>0</v>
      </c>
      <c r="J342">
        <v>0</v>
      </c>
      <c r="K342">
        <v>0</v>
      </c>
      <c r="L342" t="str">
        <f t="shared" si="10"/>
        <v>22-5-2021</v>
      </c>
      <c r="M342">
        <f t="shared" si="11"/>
        <v>2021</v>
      </c>
    </row>
    <row r="343" spans="1:13" x14ac:dyDescent="0.2">
      <c r="A343" s="1">
        <v>44347</v>
      </c>
      <c r="B343">
        <v>22</v>
      </c>
      <c r="C343">
        <v>5</v>
      </c>
      <c r="D343">
        <v>2</v>
      </c>
      <c r="E343" t="s">
        <v>48</v>
      </c>
      <c r="F343">
        <v>0</v>
      </c>
      <c r="G343">
        <f>INDEX(weekly!$E$2:$E$188,MATCH('Marketing Campaigns 22.11.22'!L343,weekly!$H$2:$H$188,0))</f>
        <v>0</v>
      </c>
      <c r="H343">
        <f>INDEX(weekly!$D$2:$D$188,MATCH('Marketing Campaigns 22.11.22'!L343,weekly!$H$2:$H$188,0))</f>
        <v>0</v>
      </c>
      <c r="I343">
        <f>INDEX(weekly!$F$2:$F$188,MATCH('Marketing Campaigns 22.11.22'!L343,weekly!$H$2:$H$188,0))</f>
        <v>0</v>
      </c>
      <c r="J343">
        <v>0</v>
      </c>
      <c r="K343">
        <v>0</v>
      </c>
      <c r="L343" t="str">
        <f t="shared" si="10"/>
        <v>22-5-2021</v>
      </c>
      <c r="M343">
        <f t="shared" si="11"/>
        <v>2021</v>
      </c>
    </row>
    <row r="344" spans="1:13" x14ac:dyDescent="0.2">
      <c r="A344" s="1">
        <v>44347</v>
      </c>
      <c r="B344">
        <v>22</v>
      </c>
      <c r="C344">
        <v>5</v>
      </c>
      <c r="D344">
        <v>2</v>
      </c>
      <c r="E344" t="s">
        <v>49</v>
      </c>
      <c r="F344">
        <v>0</v>
      </c>
      <c r="G344">
        <f>INDEX(weekly!$E$2:$E$188,MATCH('Marketing Campaigns 22.11.22'!L344,weekly!$H$2:$H$188,0))</f>
        <v>0</v>
      </c>
      <c r="H344">
        <f>INDEX(weekly!$D$2:$D$188,MATCH('Marketing Campaigns 22.11.22'!L344,weekly!$H$2:$H$188,0))</f>
        <v>0</v>
      </c>
      <c r="I344">
        <f>INDEX(weekly!$F$2:$F$188,MATCH('Marketing Campaigns 22.11.22'!L344,weekly!$H$2:$H$188,0))</f>
        <v>0</v>
      </c>
      <c r="J344">
        <v>0</v>
      </c>
      <c r="K344">
        <v>0</v>
      </c>
      <c r="L344" t="str">
        <f t="shared" si="10"/>
        <v>22-5-2021</v>
      </c>
      <c r="M344">
        <f t="shared" si="11"/>
        <v>2021</v>
      </c>
    </row>
    <row r="345" spans="1:13" x14ac:dyDescent="0.2">
      <c r="A345" s="1">
        <v>44347</v>
      </c>
      <c r="B345">
        <v>22</v>
      </c>
      <c r="C345">
        <v>5</v>
      </c>
      <c r="D345">
        <v>2</v>
      </c>
      <c r="E345" t="s">
        <v>50</v>
      </c>
      <c r="F345">
        <v>0</v>
      </c>
      <c r="G345">
        <f>INDEX(weekly!$E$2:$E$188,MATCH('Marketing Campaigns 22.11.22'!L345,weekly!$H$2:$H$188,0))</f>
        <v>0</v>
      </c>
      <c r="H345">
        <f>INDEX(weekly!$D$2:$D$188,MATCH('Marketing Campaigns 22.11.22'!L345,weekly!$H$2:$H$188,0))</f>
        <v>0</v>
      </c>
      <c r="I345">
        <f>INDEX(weekly!$F$2:$F$188,MATCH('Marketing Campaigns 22.11.22'!L345,weekly!$H$2:$H$188,0))</f>
        <v>0</v>
      </c>
      <c r="J345">
        <v>0</v>
      </c>
      <c r="K345">
        <v>0</v>
      </c>
      <c r="L345" t="str">
        <f t="shared" si="10"/>
        <v>22-5-2021</v>
      </c>
      <c r="M345">
        <f t="shared" si="11"/>
        <v>2021</v>
      </c>
    </row>
    <row r="346" spans="1:13" x14ac:dyDescent="0.2">
      <c r="A346" s="1">
        <v>44347</v>
      </c>
      <c r="B346">
        <v>22</v>
      </c>
      <c r="C346">
        <v>5</v>
      </c>
      <c r="D346">
        <v>2</v>
      </c>
      <c r="E346" t="s">
        <v>51</v>
      </c>
      <c r="F346">
        <v>0</v>
      </c>
      <c r="G346">
        <f>INDEX(weekly!$E$2:$E$188,MATCH('Marketing Campaigns 22.11.22'!L346,weekly!$H$2:$H$188,0))</f>
        <v>0</v>
      </c>
      <c r="H346">
        <f>INDEX(weekly!$D$2:$D$188,MATCH('Marketing Campaigns 22.11.22'!L346,weekly!$H$2:$H$188,0))</f>
        <v>0</v>
      </c>
      <c r="I346">
        <f>INDEX(weekly!$F$2:$F$188,MATCH('Marketing Campaigns 22.11.22'!L346,weekly!$H$2:$H$188,0))</f>
        <v>0</v>
      </c>
      <c r="J346">
        <v>0</v>
      </c>
      <c r="K346">
        <v>0</v>
      </c>
      <c r="L346" t="str">
        <f t="shared" si="10"/>
        <v>22-5-2021</v>
      </c>
      <c r="M346">
        <f t="shared" si="11"/>
        <v>2021</v>
      </c>
    </row>
    <row r="347" spans="1:13" x14ac:dyDescent="0.2">
      <c r="A347" s="1">
        <v>44347</v>
      </c>
      <c r="B347">
        <v>22</v>
      </c>
      <c r="C347">
        <v>5</v>
      </c>
      <c r="D347">
        <v>2</v>
      </c>
      <c r="E347" t="s">
        <v>52</v>
      </c>
      <c r="F347">
        <v>0</v>
      </c>
      <c r="G347">
        <f>INDEX(weekly!$E$2:$E$188,MATCH('Marketing Campaigns 22.11.22'!L347,weekly!$H$2:$H$188,0))</f>
        <v>0</v>
      </c>
      <c r="H347">
        <f>INDEX(weekly!$D$2:$D$188,MATCH('Marketing Campaigns 22.11.22'!L347,weekly!$H$2:$H$188,0))</f>
        <v>0</v>
      </c>
      <c r="I347">
        <f>INDEX(weekly!$F$2:$F$188,MATCH('Marketing Campaigns 22.11.22'!L347,weekly!$H$2:$H$188,0))</f>
        <v>0</v>
      </c>
      <c r="J347">
        <v>0</v>
      </c>
      <c r="K347">
        <v>0</v>
      </c>
      <c r="L347" t="str">
        <f t="shared" si="10"/>
        <v>22-5-2021</v>
      </c>
      <c r="M347">
        <f t="shared" si="11"/>
        <v>2021</v>
      </c>
    </row>
    <row r="348" spans="1:13" x14ac:dyDescent="0.2">
      <c r="A348" s="1">
        <v>44354</v>
      </c>
      <c r="B348">
        <v>23</v>
      </c>
      <c r="C348">
        <v>6</v>
      </c>
      <c r="D348">
        <v>2</v>
      </c>
      <c r="E348" t="s">
        <v>24</v>
      </c>
      <c r="F348">
        <v>0</v>
      </c>
      <c r="G348">
        <f>INDEX(weekly!$E$2:$E$188,MATCH('Marketing Campaigns 22.11.22'!L348,weekly!$H$2:$H$188,0))</f>
        <v>0</v>
      </c>
      <c r="H348">
        <f>INDEX(weekly!$D$2:$D$188,MATCH('Marketing Campaigns 22.11.22'!L348,weekly!$H$2:$H$188,0))</f>
        <v>0</v>
      </c>
      <c r="I348">
        <f>INDEX(weekly!$F$2:$F$188,MATCH('Marketing Campaigns 22.11.22'!L348,weekly!$H$2:$H$188,0))</f>
        <v>0</v>
      </c>
      <c r="J348">
        <v>0</v>
      </c>
      <c r="K348">
        <v>0</v>
      </c>
      <c r="L348" t="str">
        <f t="shared" si="10"/>
        <v>23-6-2021</v>
      </c>
      <c r="M348">
        <f t="shared" si="11"/>
        <v>2021</v>
      </c>
    </row>
    <row r="349" spans="1:13" x14ac:dyDescent="0.2">
      <c r="A349" s="1">
        <v>44354</v>
      </c>
      <c r="B349">
        <v>23</v>
      </c>
      <c r="C349">
        <v>6</v>
      </c>
      <c r="D349">
        <v>2</v>
      </c>
      <c r="E349" t="s">
        <v>39</v>
      </c>
      <c r="F349">
        <v>0</v>
      </c>
      <c r="G349">
        <f>INDEX(weekly!$E$2:$E$188,MATCH('Marketing Campaigns 22.11.22'!L349,weekly!$H$2:$H$188,0))</f>
        <v>0</v>
      </c>
      <c r="H349">
        <f>INDEX(weekly!$D$2:$D$188,MATCH('Marketing Campaigns 22.11.22'!L349,weekly!$H$2:$H$188,0))</f>
        <v>0</v>
      </c>
      <c r="I349">
        <f>INDEX(weekly!$F$2:$F$188,MATCH('Marketing Campaigns 22.11.22'!L349,weekly!$H$2:$H$188,0))</f>
        <v>0</v>
      </c>
      <c r="J349">
        <v>0</v>
      </c>
      <c r="K349">
        <v>0</v>
      </c>
      <c r="L349" t="str">
        <f t="shared" si="10"/>
        <v>23-6-2021</v>
      </c>
      <c r="M349">
        <f t="shared" si="11"/>
        <v>2021</v>
      </c>
    </row>
    <row r="350" spans="1:13" x14ac:dyDescent="0.2">
      <c r="A350" s="1">
        <v>44354</v>
      </c>
      <c r="B350">
        <v>23</v>
      </c>
      <c r="C350">
        <v>6</v>
      </c>
      <c r="D350">
        <v>2</v>
      </c>
      <c r="E350" t="s">
        <v>40</v>
      </c>
      <c r="F350">
        <v>0</v>
      </c>
      <c r="G350">
        <f>INDEX(weekly!$E$2:$E$188,MATCH('Marketing Campaigns 22.11.22'!L350,weekly!$H$2:$H$188,0))</f>
        <v>0</v>
      </c>
      <c r="H350">
        <f>INDEX(weekly!$D$2:$D$188,MATCH('Marketing Campaigns 22.11.22'!L350,weekly!$H$2:$H$188,0))</f>
        <v>0</v>
      </c>
      <c r="I350">
        <f>INDEX(weekly!$F$2:$F$188,MATCH('Marketing Campaigns 22.11.22'!L350,weekly!$H$2:$H$188,0))</f>
        <v>0</v>
      </c>
      <c r="J350">
        <v>0</v>
      </c>
      <c r="K350">
        <v>0</v>
      </c>
      <c r="L350" t="str">
        <f t="shared" si="10"/>
        <v>23-6-2021</v>
      </c>
      <c r="M350">
        <f t="shared" si="11"/>
        <v>2021</v>
      </c>
    </row>
    <row r="351" spans="1:13" x14ac:dyDescent="0.2">
      <c r="A351" s="1">
        <v>44354</v>
      </c>
      <c r="B351">
        <v>23</v>
      </c>
      <c r="C351">
        <v>6</v>
      </c>
      <c r="D351">
        <v>2</v>
      </c>
      <c r="E351" t="s">
        <v>41</v>
      </c>
      <c r="F351">
        <v>0</v>
      </c>
      <c r="G351">
        <f>INDEX(weekly!$E$2:$E$188,MATCH('Marketing Campaigns 22.11.22'!L351,weekly!$H$2:$H$188,0))</f>
        <v>0</v>
      </c>
      <c r="H351">
        <f>INDEX(weekly!$D$2:$D$188,MATCH('Marketing Campaigns 22.11.22'!L351,weekly!$H$2:$H$188,0))</f>
        <v>0</v>
      </c>
      <c r="I351">
        <f>INDEX(weekly!$F$2:$F$188,MATCH('Marketing Campaigns 22.11.22'!L351,weekly!$H$2:$H$188,0))</f>
        <v>0</v>
      </c>
      <c r="J351">
        <v>0</v>
      </c>
      <c r="K351">
        <v>0</v>
      </c>
      <c r="L351" t="str">
        <f t="shared" si="10"/>
        <v>23-6-2021</v>
      </c>
      <c r="M351">
        <f t="shared" si="11"/>
        <v>2021</v>
      </c>
    </row>
    <row r="352" spans="1:13" x14ac:dyDescent="0.2">
      <c r="A352" s="1">
        <v>44354</v>
      </c>
      <c r="B352">
        <v>23</v>
      </c>
      <c r="C352">
        <v>6</v>
      </c>
      <c r="D352">
        <v>2</v>
      </c>
      <c r="E352" t="s">
        <v>42</v>
      </c>
      <c r="F352">
        <v>0</v>
      </c>
      <c r="G352">
        <f>INDEX(weekly!$E$2:$E$188,MATCH('Marketing Campaigns 22.11.22'!L352,weekly!$H$2:$H$188,0))</f>
        <v>0</v>
      </c>
      <c r="H352">
        <f>INDEX(weekly!$D$2:$D$188,MATCH('Marketing Campaigns 22.11.22'!L352,weekly!$H$2:$H$188,0))</f>
        <v>0</v>
      </c>
      <c r="I352">
        <f>INDEX(weekly!$F$2:$F$188,MATCH('Marketing Campaigns 22.11.22'!L352,weekly!$H$2:$H$188,0))</f>
        <v>0</v>
      </c>
      <c r="J352">
        <v>0</v>
      </c>
      <c r="K352">
        <v>0</v>
      </c>
      <c r="L352" t="str">
        <f t="shared" si="10"/>
        <v>23-6-2021</v>
      </c>
      <c r="M352">
        <f t="shared" si="11"/>
        <v>2021</v>
      </c>
    </row>
    <row r="353" spans="1:13" x14ac:dyDescent="0.2">
      <c r="A353" s="1">
        <v>44354</v>
      </c>
      <c r="B353">
        <v>23</v>
      </c>
      <c r="C353">
        <v>6</v>
      </c>
      <c r="D353">
        <v>2</v>
      </c>
      <c r="E353" t="s">
        <v>43</v>
      </c>
      <c r="F353">
        <v>0</v>
      </c>
      <c r="G353">
        <f>INDEX(weekly!$E$2:$E$188,MATCH('Marketing Campaigns 22.11.22'!L353,weekly!$H$2:$H$188,0))</f>
        <v>0</v>
      </c>
      <c r="H353">
        <f>INDEX(weekly!$D$2:$D$188,MATCH('Marketing Campaigns 22.11.22'!L353,weekly!$H$2:$H$188,0))</f>
        <v>0</v>
      </c>
      <c r="I353">
        <f>INDEX(weekly!$F$2:$F$188,MATCH('Marketing Campaigns 22.11.22'!L353,weekly!$H$2:$H$188,0))</f>
        <v>0</v>
      </c>
      <c r="J353">
        <v>0</v>
      </c>
      <c r="K353">
        <v>0</v>
      </c>
      <c r="L353" t="str">
        <f t="shared" si="10"/>
        <v>23-6-2021</v>
      </c>
      <c r="M353">
        <f t="shared" si="11"/>
        <v>2021</v>
      </c>
    </row>
    <row r="354" spans="1:13" x14ac:dyDescent="0.2">
      <c r="A354" s="1">
        <v>44354</v>
      </c>
      <c r="B354">
        <v>23</v>
      </c>
      <c r="C354">
        <v>6</v>
      </c>
      <c r="D354">
        <v>2</v>
      </c>
      <c r="E354" t="s">
        <v>44</v>
      </c>
      <c r="F354">
        <v>0</v>
      </c>
      <c r="G354">
        <f>INDEX(weekly!$E$2:$E$188,MATCH('Marketing Campaigns 22.11.22'!L354,weekly!$H$2:$H$188,0))</f>
        <v>0</v>
      </c>
      <c r="H354">
        <f>INDEX(weekly!$D$2:$D$188,MATCH('Marketing Campaigns 22.11.22'!L354,weekly!$H$2:$H$188,0))</f>
        <v>0</v>
      </c>
      <c r="I354">
        <f>INDEX(weekly!$F$2:$F$188,MATCH('Marketing Campaigns 22.11.22'!L354,weekly!$H$2:$H$188,0))</f>
        <v>0</v>
      </c>
      <c r="J354">
        <v>0</v>
      </c>
      <c r="K354">
        <v>0</v>
      </c>
      <c r="L354" t="str">
        <f t="shared" si="10"/>
        <v>23-6-2021</v>
      </c>
      <c r="M354">
        <f t="shared" si="11"/>
        <v>2021</v>
      </c>
    </row>
    <row r="355" spans="1:13" x14ac:dyDescent="0.2">
      <c r="A355" s="1">
        <v>44354</v>
      </c>
      <c r="B355">
        <v>23</v>
      </c>
      <c r="C355">
        <v>6</v>
      </c>
      <c r="D355">
        <v>2</v>
      </c>
      <c r="E355" t="s">
        <v>45</v>
      </c>
      <c r="F355">
        <v>0</v>
      </c>
      <c r="G355">
        <f>INDEX(weekly!$E$2:$E$188,MATCH('Marketing Campaigns 22.11.22'!L355,weekly!$H$2:$H$188,0))</f>
        <v>0</v>
      </c>
      <c r="H355">
        <f>INDEX(weekly!$D$2:$D$188,MATCH('Marketing Campaigns 22.11.22'!L355,weekly!$H$2:$H$188,0))</f>
        <v>0</v>
      </c>
      <c r="I355">
        <f>INDEX(weekly!$F$2:$F$188,MATCH('Marketing Campaigns 22.11.22'!L355,weekly!$H$2:$H$188,0))</f>
        <v>0</v>
      </c>
      <c r="J355">
        <v>0</v>
      </c>
      <c r="K355">
        <v>0</v>
      </c>
      <c r="L355" t="str">
        <f t="shared" si="10"/>
        <v>23-6-2021</v>
      </c>
      <c r="M355">
        <f t="shared" si="11"/>
        <v>2021</v>
      </c>
    </row>
    <row r="356" spans="1:13" x14ac:dyDescent="0.2">
      <c r="A356" s="1">
        <v>44354</v>
      </c>
      <c r="B356">
        <v>23</v>
      </c>
      <c r="C356">
        <v>6</v>
      </c>
      <c r="D356">
        <v>2</v>
      </c>
      <c r="E356" t="s">
        <v>46</v>
      </c>
      <c r="F356">
        <v>0</v>
      </c>
      <c r="G356">
        <f>INDEX(weekly!$E$2:$E$188,MATCH('Marketing Campaigns 22.11.22'!L356,weekly!$H$2:$H$188,0))</f>
        <v>0</v>
      </c>
      <c r="H356">
        <f>INDEX(weekly!$D$2:$D$188,MATCH('Marketing Campaigns 22.11.22'!L356,weekly!$H$2:$H$188,0))</f>
        <v>0</v>
      </c>
      <c r="I356">
        <f>INDEX(weekly!$F$2:$F$188,MATCH('Marketing Campaigns 22.11.22'!L356,weekly!$H$2:$H$188,0))</f>
        <v>0</v>
      </c>
      <c r="J356">
        <v>0</v>
      </c>
      <c r="K356">
        <v>0</v>
      </c>
      <c r="L356" t="str">
        <f t="shared" si="10"/>
        <v>23-6-2021</v>
      </c>
      <c r="M356">
        <f t="shared" si="11"/>
        <v>2021</v>
      </c>
    </row>
    <row r="357" spans="1:13" x14ac:dyDescent="0.2">
      <c r="A357" s="1">
        <v>44354</v>
      </c>
      <c r="B357">
        <v>23</v>
      </c>
      <c r="C357">
        <v>6</v>
      </c>
      <c r="D357">
        <v>2</v>
      </c>
      <c r="E357" t="s">
        <v>47</v>
      </c>
      <c r="F357">
        <v>0</v>
      </c>
      <c r="G357">
        <f>INDEX(weekly!$E$2:$E$188,MATCH('Marketing Campaigns 22.11.22'!L357,weekly!$H$2:$H$188,0))</f>
        <v>0</v>
      </c>
      <c r="H357">
        <f>INDEX(weekly!$D$2:$D$188,MATCH('Marketing Campaigns 22.11.22'!L357,weekly!$H$2:$H$188,0))</f>
        <v>0</v>
      </c>
      <c r="I357">
        <f>INDEX(weekly!$F$2:$F$188,MATCH('Marketing Campaigns 22.11.22'!L357,weekly!$H$2:$H$188,0))</f>
        <v>0</v>
      </c>
      <c r="J357">
        <v>0</v>
      </c>
      <c r="K357">
        <v>0</v>
      </c>
      <c r="L357" t="str">
        <f t="shared" si="10"/>
        <v>23-6-2021</v>
      </c>
      <c r="M357">
        <f t="shared" si="11"/>
        <v>2021</v>
      </c>
    </row>
    <row r="358" spans="1:13" x14ac:dyDescent="0.2">
      <c r="A358" s="1">
        <v>44354</v>
      </c>
      <c r="B358">
        <v>23</v>
      </c>
      <c r="C358">
        <v>6</v>
      </c>
      <c r="D358">
        <v>2</v>
      </c>
      <c r="E358" t="s">
        <v>48</v>
      </c>
      <c r="F358">
        <v>0</v>
      </c>
      <c r="G358">
        <f>INDEX(weekly!$E$2:$E$188,MATCH('Marketing Campaigns 22.11.22'!L358,weekly!$H$2:$H$188,0))</f>
        <v>0</v>
      </c>
      <c r="H358">
        <f>INDEX(weekly!$D$2:$D$188,MATCH('Marketing Campaigns 22.11.22'!L358,weekly!$H$2:$H$188,0))</f>
        <v>0</v>
      </c>
      <c r="I358">
        <f>INDEX(weekly!$F$2:$F$188,MATCH('Marketing Campaigns 22.11.22'!L358,weekly!$H$2:$H$188,0))</f>
        <v>0</v>
      </c>
      <c r="J358">
        <v>0</v>
      </c>
      <c r="K358">
        <v>0</v>
      </c>
      <c r="L358" t="str">
        <f t="shared" si="10"/>
        <v>23-6-2021</v>
      </c>
      <c r="M358">
        <f t="shared" si="11"/>
        <v>2021</v>
      </c>
    </row>
    <row r="359" spans="1:13" x14ac:dyDescent="0.2">
      <c r="A359" s="1">
        <v>44354</v>
      </c>
      <c r="B359">
        <v>23</v>
      </c>
      <c r="C359">
        <v>6</v>
      </c>
      <c r="D359">
        <v>2</v>
      </c>
      <c r="E359" t="s">
        <v>49</v>
      </c>
      <c r="F359">
        <v>0</v>
      </c>
      <c r="G359">
        <f>INDEX(weekly!$E$2:$E$188,MATCH('Marketing Campaigns 22.11.22'!L359,weekly!$H$2:$H$188,0))</f>
        <v>0</v>
      </c>
      <c r="H359">
        <f>INDEX(weekly!$D$2:$D$188,MATCH('Marketing Campaigns 22.11.22'!L359,weekly!$H$2:$H$188,0))</f>
        <v>0</v>
      </c>
      <c r="I359">
        <f>INDEX(weekly!$F$2:$F$188,MATCH('Marketing Campaigns 22.11.22'!L359,weekly!$H$2:$H$188,0))</f>
        <v>0</v>
      </c>
      <c r="J359">
        <v>0</v>
      </c>
      <c r="K359">
        <v>0</v>
      </c>
      <c r="L359" t="str">
        <f t="shared" si="10"/>
        <v>23-6-2021</v>
      </c>
      <c r="M359">
        <f t="shared" si="11"/>
        <v>2021</v>
      </c>
    </row>
    <row r="360" spans="1:13" x14ac:dyDescent="0.2">
      <c r="A360" s="1">
        <v>44354</v>
      </c>
      <c r="B360">
        <v>23</v>
      </c>
      <c r="C360">
        <v>6</v>
      </c>
      <c r="D360">
        <v>2</v>
      </c>
      <c r="E360" t="s">
        <v>50</v>
      </c>
      <c r="F360">
        <v>0</v>
      </c>
      <c r="G360">
        <f>INDEX(weekly!$E$2:$E$188,MATCH('Marketing Campaigns 22.11.22'!L360,weekly!$H$2:$H$188,0))</f>
        <v>0</v>
      </c>
      <c r="H360">
        <f>INDEX(weekly!$D$2:$D$188,MATCH('Marketing Campaigns 22.11.22'!L360,weekly!$H$2:$H$188,0))</f>
        <v>0</v>
      </c>
      <c r="I360">
        <f>INDEX(weekly!$F$2:$F$188,MATCH('Marketing Campaigns 22.11.22'!L360,weekly!$H$2:$H$188,0))</f>
        <v>0</v>
      </c>
      <c r="J360">
        <v>0</v>
      </c>
      <c r="K360">
        <v>0</v>
      </c>
      <c r="L360" t="str">
        <f t="shared" si="10"/>
        <v>23-6-2021</v>
      </c>
      <c r="M360">
        <f t="shared" si="11"/>
        <v>2021</v>
      </c>
    </row>
    <row r="361" spans="1:13" x14ac:dyDescent="0.2">
      <c r="A361" s="1">
        <v>44354</v>
      </c>
      <c r="B361">
        <v>23</v>
      </c>
      <c r="C361">
        <v>6</v>
      </c>
      <c r="D361">
        <v>2</v>
      </c>
      <c r="E361" t="s">
        <v>51</v>
      </c>
      <c r="F361">
        <v>0</v>
      </c>
      <c r="G361">
        <f>INDEX(weekly!$E$2:$E$188,MATCH('Marketing Campaigns 22.11.22'!L361,weekly!$H$2:$H$188,0))</f>
        <v>0</v>
      </c>
      <c r="H361">
        <f>INDEX(weekly!$D$2:$D$188,MATCH('Marketing Campaigns 22.11.22'!L361,weekly!$H$2:$H$188,0))</f>
        <v>0</v>
      </c>
      <c r="I361">
        <f>INDEX(weekly!$F$2:$F$188,MATCH('Marketing Campaigns 22.11.22'!L361,weekly!$H$2:$H$188,0))</f>
        <v>0</v>
      </c>
      <c r="J361">
        <v>0</v>
      </c>
      <c r="K361">
        <v>0</v>
      </c>
      <c r="L361" t="str">
        <f t="shared" si="10"/>
        <v>23-6-2021</v>
      </c>
      <c r="M361">
        <f t="shared" si="11"/>
        <v>2021</v>
      </c>
    </row>
    <row r="362" spans="1:13" x14ac:dyDescent="0.2">
      <c r="A362" s="1">
        <v>44354</v>
      </c>
      <c r="B362">
        <v>23</v>
      </c>
      <c r="C362">
        <v>6</v>
      </c>
      <c r="D362">
        <v>2</v>
      </c>
      <c r="E362" t="s">
        <v>52</v>
      </c>
      <c r="F362">
        <v>0</v>
      </c>
      <c r="G362">
        <f>INDEX(weekly!$E$2:$E$188,MATCH('Marketing Campaigns 22.11.22'!L362,weekly!$H$2:$H$188,0))</f>
        <v>0</v>
      </c>
      <c r="H362">
        <f>INDEX(weekly!$D$2:$D$188,MATCH('Marketing Campaigns 22.11.22'!L362,weekly!$H$2:$H$188,0))</f>
        <v>0</v>
      </c>
      <c r="I362">
        <f>INDEX(weekly!$F$2:$F$188,MATCH('Marketing Campaigns 22.11.22'!L362,weekly!$H$2:$H$188,0))</f>
        <v>0</v>
      </c>
      <c r="J362">
        <v>0</v>
      </c>
      <c r="K362">
        <v>0</v>
      </c>
      <c r="L362" t="str">
        <f t="shared" si="10"/>
        <v>23-6-2021</v>
      </c>
      <c r="M362">
        <f t="shared" si="11"/>
        <v>2021</v>
      </c>
    </row>
    <row r="363" spans="1:13" x14ac:dyDescent="0.2">
      <c r="A363" s="1">
        <v>44361</v>
      </c>
      <c r="B363">
        <v>24</v>
      </c>
      <c r="C363">
        <v>6</v>
      </c>
      <c r="D363">
        <v>2</v>
      </c>
      <c r="E363" t="s">
        <v>24</v>
      </c>
      <c r="F363">
        <v>0</v>
      </c>
      <c r="G363">
        <f>INDEX(weekly!$E$2:$E$188,MATCH('Marketing Campaigns 22.11.22'!L363,weekly!$H$2:$H$188,0))</f>
        <v>0</v>
      </c>
      <c r="H363">
        <f>INDEX(weekly!$D$2:$D$188,MATCH('Marketing Campaigns 22.11.22'!L363,weekly!$H$2:$H$188,0))</f>
        <v>0</v>
      </c>
      <c r="I363">
        <f>INDEX(weekly!$F$2:$F$188,MATCH('Marketing Campaigns 22.11.22'!L363,weekly!$H$2:$H$188,0))</f>
        <v>0</v>
      </c>
      <c r="J363">
        <v>0</v>
      </c>
      <c r="K363">
        <v>0</v>
      </c>
      <c r="L363" t="str">
        <f t="shared" si="10"/>
        <v>24-6-2021</v>
      </c>
      <c r="M363">
        <f t="shared" si="11"/>
        <v>2021</v>
      </c>
    </row>
    <row r="364" spans="1:13" x14ac:dyDescent="0.2">
      <c r="A364" s="1">
        <v>44361</v>
      </c>
      <c r="B364">
        <v>24</v>
      </c>
      <c r="C364">
        <v>6</v>
      </c>
      <c r="D364">
        <v>2</v>
      </c>
      <c r="E364" t="s">
        <v>39</v>
      </c>
      <c r="F364">
        <v>0</v>
      </c>
      <c r="G364">
        <f>INDEX(weekly!$E$2:$E$188,MATCH('Marketing Campaigns 22.11.22'!L364,weekly!$H$2:$H$188,0))</f>
        <v>0</v>
      </c>
      <c r="H364">
        <f>INDEX(weekly!$D$2:$D$188,MATCH('Marketing Campaigns 22.11.22'!L364,weekly!$H$2:$H$188,0))</f>
        <v>0</v>
      </c>
      <c r="I364">
        <f>INDEX(weekly!$F$2:$F$188,MATCH('Marketing Campaigns 22.11.22'!L364,weekly!$H$2:$H$188,0))</f>
        <v>0</v>
      </c>
      <c r="J364">
        <v>0</v>
      </c>
      <c r="K364">
        <v>0</v>
      </c>
      <c r="L364" t="str">
        <f t="shared" si="10"/>
        <v>24-6-2021</v>
      </c>
      <c r="M364">
        <f t="shared" si="11"/>
        <v>2021</v>
      </c>
    </row>
    <row r="365" spans="1:13" x14ac:dyDescent="0.2">
      <c r="A365" s="1">
        <v>44361</v>
      </c>
      <c r="B365">
        <v>24</v>
      </c>
      <c r="C365">
        <v>6</v>
      </c>
      <c r="D365">
        <v>2</v>
      </c>
      <c r="E365" t="s">
        <v>40</v>
      </c>
      <c r="F365">
        <v>0</v>
      </c>
      <c r="G365">
        <f>INDEX(weekly!$E$2:$E$188,MATCH('Marketing Campaigns 22.11.22'!L365,weekly!$H$2:$H$188,0))</f>
        <v>0</v>
      </c>
      <c r="H365">
        <f>INDEX(weekly!$D$2:$D$188,MATCH('Marketing Campaigns 22.11.22'!L365,weekly!$H$2:$H$188,0))</f>
        <v>0</v>
      </c>
      <c r="I365">
        <f>INDEX(weekly!$F$2:$F$188,MATCH('Marketing Campaigns 22.11.22'!L365,weekly!$H$2:$H$188,0))</f>
        <v>0</v>
      </c>
      <c r="J365">
        <v>0</v>
      </c>
      <c r="K365">
        <v>0</v>
      </c>
      <c r="L365" t="str">
        <f t="shared" si="10"/>
        <v>24-6-2021</v>
      </c>
      <c r="M365">
        <f t="shared" si="11"/>
        <v>2021</v>
      </c>
    </row>
    <row r="366" spans="1:13" x14ac:dyDescent="0.2">
      <c r="A366" s="1">
        <v>44361</v>
      </c>
      <c r="B366">
        <v>24</v>
      </c>
      <c r="C366">
        <v>6</v>
      </c>
      <c r="D366">
        <v>2</v>
      </c>
      <c r="E366" t="s">
        <v>41</v>
      </c>
      <c r="F366">
        <v>0</v>
      </c>
      <c r="G366">
        <f>INDEX(weekly!$E$2:$E$188,MATCH('Marketing Campaigns 22.11.22'!L366,weekly!$H$2:$H$188,0))</f>
        <v>0</v>
      </c>
      <c r="H366">
        <f>INDEX(weekly!$D$2:$D$188,MATCH('Marketing Campaigns 22.11.22'!L366,weekly!$H$2:$H$188,0))</f>
        <v>0</v>
      </c>
      <c r="I366">
        <f>INDEX(weekly!$F$2:$F$188,MATCH('Marketing Campaigns 22.11.22'!L366,weekly!$H$2:$H$188,0))</f>
        <v>0</v>
      </c>
      <c r="J366">
        <v>0</v>
      </c>
      <c r="K366">
        <v>0</v>
      </c>
      <c r="L366" t="str">
        <f t="shared" si="10"/>
        <v>24-6-2021</v>
      </c>
      <c r="M366">
        <f t="shared" si="11"/>
        <v>2021</v>
      </c>
    </row>
    <row r="367" spans="1:13" x14ac:dyDescent="0.2">
      <c r="A367" s="1">
        <v>44361</v>
      </c>
      <c r="B367">
        <v>24</v>
      </c>
      <c r="C367">
        <v>6</v>
      </c>
      <c r="D367">
        <v>2</v>
      </c>
      <c r="E367" t="s">
        <v>42</v>
      </c>
      <c r="F367">
        <v>0</v>
      </c>
      <c r="G367">
        <f>INDEX(weekly!$E$2:$E$188,MATCH('Marketing Campaigns 22.11.22'!L367,weekly!$H$2:$H$188,0))</f>
        <v>0</v>
      </c>
      <c r="H367">
        <f>INDEX(weekly!$D$2:$D$188,MATCH('Marketing Campaigns 22.11.22'!L367,weekly!$H$2:$H$188,0))</f>
        <v>0</v>
      </c>
      <c r="I367">
        <f>INDEX(weekly!$F$2:$F$188,MATCH('Marketing Campaigns 22.11.22'!L367,weekly!$H$2:$H$188,0))</f>
        <v>0</v>
      </c>
      <c r="J367">
        <v>0</v>
      </c>
      <c r="K367">
        <v>0</v>
      </c>
      <c r="L367" t="str">
        <f t="shared" si="10"/>
        <v>24-6-2021</v>
      </c>
      <c r="M367">
        <f t="shared" si="11"/>
        <v>2021</v>
      </c>
    </row>
    <row r="368" spans="1:13" x14ac:dyDescent="0.2">
      <c r="A368" s="1">
        <v>44361</v>
      </c>
      <c r="B368">
        <v>24</v>
      </c>
      <c r="C368">
        <v>6</v>
      </c>
      <c r="D368">
        <v>2</v>
      </c>
      <c r="E368" t="s">
        <v>43</v>
      </c>
      <c r="F368">
        <v>0</v>
      </c>
      <c r="G368">
        <f>INDEX(weekly!$E$2:$E$188,MATCH('Marketing Campaigns 22.11.22'!L368,weekly!$H$2:$H$188,0))</f>
        <v>0</v>
      </c>
      <c r="H368">
        <f>INDEX(weekly!$D$2:$D$188,MATCH('Marketing Campaigns 22.11.22'!L368,weekly!$H$2:$H$188,0))</f>
        <v>0</v>
      </c>
      <c r="I368">
        <f>INDEX(weekly!$F$2:$F$188,MATCH('Marketing Campaigns 22.11.22'!L368,weekly!$H$2:$H$188,0))</f>
        <v>0</v>
      </c>
      <c r="J368">
        <v>0</v>
      </c>
      <c r="K368">
        <v>0</v>
      </c>
      <c r="L368" t="str">
        <f t="shared" si="10"/>
        <v>24-6-2021</v>
      </c>
      <c r="M368">
        <f t="shared" si="11"/>
        <v>2021</v>
      </c>
    </row>
    <row r="369" spans="1:13" x14ac:dyDescent="0.2">
      <c r="A369" s="1">
        <v>44361</v>
      </c>
      <c r="B369">
        <v>24</v>
      </c>
      <c r="C369">
        <v>6</v>
      </c>
      <c r="D369">
        <v>2</v>
      </c>
      <c r="E369" t="s">
        <v>44</v>
      </c>
      <c r="F369">
        <v>0</v>
      </c>
      <c r="G369">
        <f>INDEX(weekly!$E$2:$E$188,MATCH('Marketing Campaigns 22.11.22'!L369,weekly!$H$2:$H$188,0))</f>
        <v>0</v>
      </c>
      <c r="H369">
        <f>INDEX(weekly!$D$2:$D$188,MATCH('Marketing Campaigns 22.11.22'!L369,weekly!$H$2:$H$188,0))</f>
        <v>0</v>
      </c>
      <c r="I369">
        <f>INDEX(weekly!$F$2:$F$188,MATCH('Marketing Campaigns 22.11.22'!L369,weekly!$H$2:$H$188,0))</f>
        <v>0</v>
      </c>
      <c r="J369">
        <v>0</v>
      </c>
      <c r="K369">
        <v>0</v>
      </c>
      <c r="L369" t="str">
        <f t="shared" si="10"/>
        <v>24-6-2021</v>
      </c>
      <c r="M369">
        <f t="shared" si="11"/>
        <v>2021</v>
      </c>
    </row>
    <row r="370" spans="1:13" x14ac:dyDescent="0.2">
      <c r="A370" s="1">
        <v>44361</v>
      </c>
      <c r="B370">
        <v>24</v>
      </c>
      <c r="C370">
        <v>6</v>
      </c>
      <c r="D370">
        <v>2</v>
      </c>
      <c r="E370" t="s">
        <v>45</v>
      </c>
      <c r="F370">
        <v>0</v>
      </c>
      <c r="G370">
        <f>INDEX(weekly!$E$2:$E$188,MATCH('Marketing Campaigns 22.11.22'!L370,weekly!$H$2:$H$188,0))</f>
        <v>0</v>
      </c>
      <c r="H370">
        <f>INDEX(weekly!$D$2:$D$188,MATCH('Marketing Campaigns 22.11.22'!L370,weekly!$H$2:$H$188,0))</f>
        <v>0</v>
      </c>
      <c r="I370">
        <f>INDEX(weekly!$F$2:$F$188,MATCH('Marketing Campaigns 22.11.22'!L370,weekly!$H$2:$H$188,0))</f>
        <v>0</v>
      </c>
      <c r="J370">
        <v>0</v>
      </c>
      <c r="K370">
        <v>0</v>
      </c>
      <c r="L370" t="str">
        <f t="shared" si="10"/>
        <v>24-6-2021</v>
      </c>
      <c r="M370">
        <f t="shared" si="11"/>
        <v>2021</v>
      </c>
    </row>
    <row r="371" spans="1:13" x14ac:dyDescent="0.2">
      <c r="A371" s="1">
        <v>44361</v>
      </c>
      <c r="B371">
        <v>24</v>
      </c>
      <c r="C371">
        <v>6</v>
      </c>
      <c r="D371">
        <v>2</v>
      </c>
      <c r="E371" t="s">
        <v>46</v>
      </c>
      <c r="F371">
        <v>0</v>
      </c>
      <c r="G371">
        <f>INDEX(weekly!$E$2:$E$188,MATCH('Marketing Campaigns 22.11.22'!L371,weekly!$H$2:$H$188,0))</f>
        <v>0</v>
      </c>
      <c r="H371">
        <f>INDEX(weekly!$D$2:$D$188,MATCH('Marketing Campaigns 22.11.22'!L371,weekly!$H$2:$H$188,0))</f>
        <v>0</v>
      </c>
      <c r="I371">
        <f>INDEX(weekly!$F$2:$F$188,MATCH('Marketing Campaigns 22.11.22'!L371,weekly!$H$2:$H$188,0))</f>
        <v>0</v>
      </c>
      <c r="J371">
        <v>0</v>
      </c>
      <c r="K371">
        <v>0</v>
      </c>
      <c r="L371" t="str">
        <f t="shared" si="10"/>
        <v>24-6-2021</v>
      </c>
      <c r="M371">
        <f t="shared" si="11"/>
        <v>2021</v>
      </c>
    </row>
    <row r="372" spans="1:13" x14ac:dyDescent="0.2">
      <c r="A372" s="1">
        <v>44361</v>
      </c>
      <c r="B372">
        <v>24</v>
      </c>
      <c r="C372">
        <v>6</v>
      </c>
      <c r="D372">
        <v>2</v>
      </c>
      <c r="E372" t="s">
        <v>47</v>
      </c>
      <c r="F372">
        <v>0</v>
      </c>
      <c r="G372">
        <f>INDEX(weekly!$E$2:$E$188,MATCH('Marketing Campaigns 22.11.22'!L372,weekly!$H$2:$H$188,0))</f>
        <v>0</v>
      </c>
      <c r="H372">
        <f>INDEX(weekly!$D$2:$D$188,MATCH('Marketing Campaigns 22.11.22'!L372,weekly!$H$2:$H$188,0))</f>
        <v>0</v>
      </c>
      <c r="I372">
        <f>INDEX(weekly!$F$2:$F$188,MATCH('Marketing Campaigns 22.11.22'!L372,weekly!$H$2:$H$188,0))</f>
        <v>0</v>
      </c>
      <c r="J372">
        <v>0</v>
      </c>
      <c r="K372">
        <v>0</v>
      </c>
      <c r="L372" t="str">
        <f t="shared" si="10"/>
        <v>24-6-2021</v>
      </c>
      <c r="M372">
        <f t="shared" si="11"/>
        <v>2021</v>
      </c>
    </row>
    <row r="373" spans="1:13" x14ac:dyDescent="0.2">
      <c r="A373" s="1">
        <v>44361</v>
      </c>
      <c r="B373">
        <v>24</v>
      </c>
      <c r="C373">
        <v>6</v>
      </c>
      <c r="D373">
        <v>2</v>
      </c>
      <c r="E373" t="s">
        <v>48</v>
      </c>
      <c r="F373">
        <v>0</v>
      </c>
      <c r="G373">
        <f>INDEX(weekly!$E$2:$E$188,MATCH('Marketing Campaigns 22.11.22'!L373,weekly!$H$2:$H$188,0))</f>
        <v>0</v>
      </c>
      <c r="H373">
        <f>INDEX(weekly!$D$2:$D$188,MATCH('Marketing Campaigns 22.11.22'!L373,weekly!$H$2:$H$188,0))</f>
        <v>0</v>
      </c>
      <c r="I373">
        <f>INDEX(weekly!$F$2:$F$188,MATCH('Marketing Campaigns 22.11.22'!L373,weekly!$H$2:$H$188,0))</f>
        <v>0</v>
      </c>
      <c r="J373">
        <v>0</v>
      </c>
      <c r="K373">
        <v>0</v>
      </c>
      <c r="L373" t="str">
        <f t="shared" si="10"/>
        <v>24-6-2021</v>
      </c>
      <c r="M373">
        <f t="shared" si="11"/>
        <v>2021</v>
      </c>
    </row>
    <row r="374" spans="1:13" x14ac:dyDescent="0.2">
      <c r="A374" s="1">
        <v>44361</v>
      </c>
      <c r="B374">
        <v>24</v>
      </c>
      <c r="C374">
        <v>6</v>
      </c>
      <c r="D374">
        <v>2</v>
      </c>
      <c r="E374" t="s">
        <v>49</v>
      </c>
      <c r="F374">
        <v>0</v>
      </c>
      <c r="G374">
        <f>INDEX(weekly!$E$2:$E$188,MATCH('Marketing Campaigns 22.11.22'!L374,weekly!$H$2:$H$188,0))</f>
        <v>0</v>
      </c>
      <c r="H374">
        <f>INDEX(weekly!$D$2:$D$188,MATCH('Marketing Campaigns 22.11.22'!L374,weekly!$H$2:$H$188,0))</f>
        <v>0</v>
      </c>
      <c r="I374">
        <f>INDEX(weekly!$F$2:$F$188,MATCH('Marketing Campaigns 22.11.22'!L374,weekly!$H$2:$H$188,0))</f>
        <v>0</v>
      </c>
      <c r="J374">
        <v>0</v>
      </c>
      <c r="K374">
        <v>0</v>
      </c>
      <c r="L374" t="str">
        <f t="shared" si="10"/>
        <v>24-6-2021</v>
      </c>
      <c r="M374">
        <f t="shared" si="11"/>
        <v>2021</v>
      </c>
    </row>
    <row r="375" spans="1:13" x14ac:dyDescent="0.2">
      <c r="A375" s="1">
        <v>44361</v>
      </c>
      <c r="B375">
        <v>24</v>
      </c>
      <c r="C375">
        <v>6</v>
      </c>
      <c r="D375">
        <v>2</v>
      </c>
      <c r="E375" t="s">
        <v>50</v>
      </c>
      <c r="F375">
        <v>0</v>
      </c>
      <c r="G375">
        <f>INDEX(weekly!$E$2:$E$188,MATCH('Marketing Campaigns 22.11.22'!L375,weekly!$H$2:$H$188,0))</f>
        <v>0</v>
      </c>
      <c r="H375">
        <f>INDEX(weekly!$D$2:$D$188,MATCH('Marketing Campaigns 22.11.22'!L375,weekly!$H$2:$H$188,0))</f>
        <v>0</v>
      </c>
      <c r="I375">
        <f>INDEX(weekly!$F$2:$F$188,MATCH('Marketing Campaigns 22.11.22'!L375,weekly!$H$2:$H$188,0))</f>
        <v>0</v>
      </c>
      <c r="J375">
        <v>0</v>
      </c>
      <c r="K375">
        <v>0</v>
      </c>
      <c r="L375" t="str">
        <f t="shared" si="10"/>
        <v>24-6-2021</v>
      </c>
      <c r="M375">
        <f t="shared" si="11"/>
        <v>2021</v>
      </c>
    </row>
    <row r="376" spans="1:13" x14ac:dyDescent="0.2">
      <c r="A376" s="1">
        <v>44361</v>
      </c>
      <c r="B376">
        <v>24</v>
      </c>
      <c r="C376">
        <v>6</v>
      </c>
      <c r="D376">
        <v>2</v>
      </c>
      <c r="E376" t="s">
        <v>51</v>
      </c>
      <c r="F376">
        <v>0</v>
      </c>
      <c r="G376">
        <f>INDEX(weekly!$E$2:$E$188,MATCH('Marketing Campaigns 22.11.22'!L376,weekly!$H$2:$H$188,0))</f>
        <v>0</v>
      </c>
      <c r="H376">
        <f>INDEX(weekly!$D$2:$D$188,MATCH('Marketing Campaigns 22.11.22'!L376,weekly!$H$2:$H$188,0))</f>
        <v>0</v>
      </c>
      <c r="I376">
        <f>INDEX(weekly!$F$2:$F$188,MATCH('Marketing Campaigns 22.11.22'!L376,weekly!$H$2:$H$188,0))</f>
        <v>0</v>
      </c>
      <c r="J376">
        <v>0</v>
      </c>
      <c r="K376">
        <v>0</v>
      </c>
      <c r="L376" t="str">
        <f t="shared" si="10"/>
        <v>24-6-2021</v>
      </c>
      <c r="M376">
        <f t="shared" si="11"/>
        <v>2021</v>
      </c>
    </row>
    <row r="377" spans="1:13" x14ac:dyDescent="0.2">
      <c r="A377" s="1">
        <v>44361</v>
      </c>
      <c r="B377">
        <v>24</v>
      </c>
      <c r="C377">
        <v>6</v>
      </c>
      <c r="D377">
        <v>2</v>
      </c>
      <c r="E377" t="s">
        <v>52</v>
      </c>
      <c r="F377">
        <v>0</v>
      </c>
      <c r="G377">
        <f>INDEX(weekly!$E$2:$E$188,MATCH('Marketing Campaigns 22.11.22'!L377,weekly!$H$2:$H$188,0))</f>
        <v>0</v>
      </c>
      <c r="H377">
        <f>INDEX(weekly!$D$2:$D$188,MATCH('Marketing Campaigns 22.11.22'!L377,weekly!$H$2:$H$188,0))</f>
        <v>0</v>
      </c>
      <c r="I377">
        <f>INDEX(weekly!$F$2:$F$188,MATCH('Marketing Campaigns 22.11.22'!L377,weekly!$H$2:$H$188,0))</f>
        <v>0</v>
      </c>
      <c r="J377">
        <v>0</v>
      </c>
      <c r="K377">
        <v>0</v>
      </c>
      <c r="L377" t="str">
        <f t="shared" si="10"/>
        <v>24-6-2021</v>
      </c>
      <c r="M377">
        <f t="shared" si="11"/>
        <v>2021</v>
      </c>
    </row>
    <row r="378" spans="1:13" x14ac:dyDescent="0.2">
      <c r="A378" s="1">
        <v>44368</v>
      </c>
      <c r="B378">
        <v>25</v>
      </c>
      <c r="C378">
        <v>6</v>
      </c>
      <c r="D378">
        <v>2</v>
      </c>
      <c r="E378" t="s">
        <v>24</v>
      </c>
      <c r="F378">
        <v>0</v>
      </c>
      <c r="G378">
        <f>INDEX(weekly!$E$2:$E$188,MATCH('Marketing Campaigns 22.11.22'!L378,weekly!$H$2:$H$188,0))</f>
        <v>0</v>
      </c>
      <c r="H378">
        <f>INDEX(weekly!$D$2:$D$188,MATCH('Marketing Campaigns 22.11.22'!L378,weekly!$H$2:$H$188,0))</f>
        <v>0</v>
      </c>
      <c r="I378">
        <f>INDEX(weekly!$F$2:$F$188,MATCH('Marketing Campaigns 22.11.22'!L378,weekly!$H$2:$H$188,0))</f>
        <v>0</v>
      </c>
      <c r="J378">
        <v>0</v>
      </c>
      <c r="K378">
        <v>0</v>
      </c>
      <c r="L378" t="str">
        <f t="shared" si="10"/>
        <v>25-6-2021</v>
      </c>
      <c r="M378">
        <f t="shared" si="11"/>
        <v>2021</v>
      </c>
    </row>
    <row r="379" spans="1:13" x14ac:dyDescent="0.2">
      <c r="A379" s="1">
        <v>44368</v>
      </c>
      <c r="B379">
        <v>25</v>
      </c>
      <c r="C379">
        <v>6</v>
      </c>
      <c r="D379">
        <v>2</v>
      </c>
      <c r="E379" t="s">
        <v>39</v>
      </c>
      <c r="F379">
        <v>0</v>
      </c>
      <c r="G379">
        <f>INDEX(weekly!$E$2:$E$188,MATCH('Marketing Campaigns 22.11.22'!L379,weekly!$H$2:$H$188,0))</f>
        <v>0</v>
      </c>
      <c r="H379">
        <f>INDEX(weekly!$D$2:$D$188,MATCH('Marketing Campaigns 22.11.22'!L379,weekly!$H$2:$H$188,0))</f>
        <v>0</v>
      </c>
      <c r="I379">
        <f>INDEX(weekly!$F$2:$F$188,MATCH('Marketing Campaigns 22.11.22'!L379,weekly!$H$2:$H$188,0))</f>
        <v>0</v>
      </c>
      <c r="J379">
        <v>0</v>
      </c>
      <c r="K379">
        <v>0</v>
      </c>
      <c r="L379" t="str">
        <f t="shared" si="10"/>
        <v>25-6-2021</v>
      </c>
      <c r="M379">
        <f t="shared" si="11"/>
        <v>2021</v>
      </c>
    </row>
    <row r="380" spans="1:13" x14ac:dyDescent="0.2">
      <c r="A380" s="1">
        <v>44368</v>
      </c>
      <c r="B380">
        <v>25</v>
      </c>
      <c r="C380">
        <v>6</v>
      </c>
      <c r="D380">
        <v>2</v>
      </c>
      <c r="E380" t="s">
        <v>40</v>
      </c>
      <c r="F380">
        <v>0</v>
      </c>
      <c r="G380">
        <f>INDEX(weekly!$E$2:$E$188,MATCH('Marketing Campaigns 22.11.22'!L380,weekly!$H$2:$H$188,0))</f>
        <v>0</v>
      </c>
      <c r="H380">
        <f>INDEX(weekly!$D$2:$D$188,MATCH('Marketing Campaigns 22.11.22'!L380,weekly!$H$2:$H$188,0))</f>
        <v>0</v>
      </c>
      <c r="I380">
        <f>INDEX(weekly!$F$2:$F$188,MATCH('Marketing Campaigns 22.11.22'!L380,weekly!$H$2:$H$188,0))</f>
        <v>0</v>
      </c>
      <c r="J380">
        <v>0</v>
      </c>
      <c r="K380">
        <v>0</v>
      </c>
      <c r="L380" t="str">
        <f t="shared" si="10"/>
        <v>25-6-2021</v>
      </c>
      <c r="M380">
        <f t="shared" si="11"/>
        <v>2021</v>
      </c>
    </row>
    <row r="381" spans="1:13" x14ac:dyDescent="0.2">
      <c r="A381" s="1">
        <v>44368</v>
      </c>
      <c r="B381">
        <v>25</v>
      </c>
      <c r="C381">
        <v>6</v>
      </c>
      <c r="D381">
        <v>2</v>
      </c>
      <c r="E381" t="s">
        <v>41</v>
      </c>
      <c r="F381">
        <v>0</v>
      </c>
      <c r="G381">
        <f>INDEX(weekly!$E$2:$E$188,MATCH('Marketing Campaigns 22.11.22'!L381,weekly!$H$2:$H$188,0))</f>
        <v>0</v>
      </c>
      <c r="H381">
        <f>INDEX(weekly!$D$2:$D$188,MATCH('Marketing Campaigns 22.11.22'!L381,weekly!$H$2:$H$188,0))</f>
        <v>0</v>
      </c>
      <c r="I381">
        <f>INDEX(weekly!$F$2:$F$188,MATCH('Marketing Campaigns 22.11.22'!L381,weekly!$H$2:$H$188,0))</f>
        <v>0</v>
      </c>
      <c r="J381">
        <v>0</v>
      </c>
      <c r="K381">
        <v>0</v>
      </c>
      <c r="L381" t="str">
        <f t="shared" si="10"/>
        <v>25-6-2021</v>
      </c>
      <c r="M381">
        <f t="shared" si="11"/>
        <v>2021</v>
      </c>
    </row>
    <row r="382" spans="1:13" x14ac:dyDescent="0.2">
      <c r="A382" s="1">
        <v>44368</v>
      </c>
      <c r="B382">
        <v>25</v>
      </c>
      <c r="C382">
        <v>6</v>
      </c>
      <c r="D382">
        <v>2</v>
      </c>
      <c r="E382" t="s">
        <v>42</v>
      </c>
      <c r="F382">
        <v>0</v>
      </c>
      <c r="G382">
        <f>INDEX(weekly!$E$2:$E$188,MATCH('Marketing Campaigns 22.11.22'!L382,weekly!$H$2:$H$188,0))</f>
        <v>0</v>
      </c>
      <c r="H382">
        <f>INDEX(weekly!$D$2:$D$188,MATCH('Marketing Campaigns 22.11.22'!L382,weekly!$H$2:$H$188,0))</f>
        <v>0</v>
      </c>
      <c r="I382">
        <f>INDEX(weekly!$F$2:$F$188,MATCH('Marketing Campaigns 22.11.22'!L382,weekly!$H$2:$H$188,0))</f>
        <v>0</v>
      </c>
      <c r="J382">
        <v>0</v>
      </c>
      <c r="K382">
        <v>0</v>
      </c>
      <c r="L382" t="str">
        <f t="shared" si="10"/>
        <v>25-6-2021</v>
      </c>
      <c r="M382">
        <f t="shared" si="11"/>
        <v>2021</v>
      </c>
    </row>
    <row r="383" spans="1:13" x14ac:dyDescent="0.2">
      <c r="A383" s="1">
        <v>44368</v>
      </c>
      <c r="B383">
        <v>25</v>
      </c>
      <c r="C383">
        <v>6</v>
      </c>
      <c r="D383">
        <v>2</v>
      </c>
      <c r="E383" t="s">
        <v>43</v>
      </c>
      <c r="F383">
        <v>0</v>
      </c>
      <c r="G383">
        <f>INDEX(weekly!$E$2:$E$188,MATCH('Marketing Campaigns 22.11.22'!L383,weekly!$H$2:$H$188,0))</f>
        <v>0</v>
      </c>
      <c r="H383">
        <f>INDEX(weekly!$D$2:$D$188,MATCH('Marketing Campaigns 22.11.22'!L383,weekly!$H$2:$H$188,0))</f>
        <v>0</v>
      </c>
      <c r="I383">
        <f>INDEX(weekly!$F$2:$F$188,MATCH('Marketing Campaigns 22.11.22'!L383,weekly!$H$2:$H$188,0))</f>
        <v>0</v>
      </c>
      <c r="J383">
        <v>0</v>
      </c>
      <c r="K383">
        <v>0</v>
      </c>
      <c r="L383" t="str">
        <f t="shared" si="10"/>
        <v>25-6-2021</v>
      </c>
      <c r="M383">
        <f t="shared" si="11"/>
        <v>2021</v>
      </c>
    </row>
    <row r="384" spans="1:13" x14ac:dyDescent="0.2">
      <c r="A384" s="1">
        <v>44368</v>
      </c>
      <c r="B384">
        <v>25</v>
      </c>
      <c r="C384">
        <v>6</v>
      </c>
      <c r="D384">
        <v>2</v>
      </c>
      <c r="E384" t="s">
        <v>44</v>
      </c>
      <c r="F384">
        <v>0</v>
      </c>
      <c r="G384">
        <f>INDEX(weekly!$E$2:$E$188,MATCH('Marketing Campaigns 22.11.22'!L384,weekly!$H$2:$H$188,0))</f>
        <v>0</v>
      </c>
      <c r="H384">
        <f>INDEX(weekly!$D$2:$D$188,MATCH('Marketing Campaigns 22.11.22'!L384,weekly!$H$2:$H$188,0))</f>
        <v>0</v>
      </c>
      <c r="I384">
        <f>INDEX(weekly!$F$2:$F$188,MATCH('Marketing Campaigns 22.11.22'!L384,weekly!$H$2:$H$188,0))</f>
        <v>0</v>
      </c>
      <c r="J384">
        <v>0</v>
      </c>
      <c r="K384">
        <v>0</v>
      </c>
      <c r="L384" t="str">
        <f t="shared" si="10"/>
        <v>25-6-2021</v>
      </c>
      <c r="M384">
        <f t="shared" si="11"/>
        <v>2021</v>
      </c>
    </row>
    <row r="385" spans="1:13" x14ac:dyDescent="0.2">
      <c r="A385" s="1">
        <v>44368</v>
      </c>
      <c r="B385">
        <v>25</v>
      </c>
      <c r="C385">
        <v>6</v>
      </c>
      <c r="D385">
        <v>2</v>
      </c>
      <c r="E385" t="s">
        <v>45</v>
      </c>
      <c r="F385">
        <v>0</v>
      </c>
      <c r="G385">
        <f>INDEX(weekly!$E$2:$E$188,MATCH('Marketing Campaigns 22.11.22'!L385,weekly!$H$2:$H$188,0))</f>
        <v>0</v>
      </c>
      <c r="H385">
        <f>INDEX(weekly!$D$2:$D$188,MATCH('Marketing Campaigns 22.11.22'!L385,weekly!$H$2:$H$188,0))</f>
        <v>0</v>
      </c>
      <c r="I385">
        <f>INDEX(weekly!$F$2:$F$188,MATCH('Marketing Campaigns 22.11.22'!L385,weekly!$H$2:$H$188,0))</f>
        <v>0</v>
      </c>
      <c r="J385">
        <v>0</v>
      </c>
      <c r="K385">
        <v>0</v>
      </c>
      <c r="L385" t="str">
        <f t="shared" si="10"/>
        <v>25-6-2021</v>
      </c>
      <c r="M385">
        <f t="shared" si="11"/>
        <v>2021</v>
      </c>
    </row>
    <row r="386" spans="1:13" x14ac:dyDescent="0.2">
      <c r="A386" s="1">
        <v>44368</v>
      </c>
      <c r="B386">
        <v>25</v>
      </c>
      <c r="C386">
        <v>6</v>
      </c>
      <c r="D386">
        <v>2</v>
      </c>
      <c r="E386" t="s">
        <v>46</v>
      </c>
      <c r="F386">
        <v>0</v>
      </c>
      <c r="G386">
        <f>INDEX(weekly!$E$2:$E$188,MATCH('Marketing Campaigns 22.11.22'!L386,weekly!$H$2:$H$188,0))</f>
        <v>0</v>
      </c>
      <c r="H386">
        <f>INDEX(weekly!$D$2:$D$188,MATCH('Marketing Campaigns 22.11.22'!L386,weekly!$H$2:$H$188,0))</f>
        <v>0</v>
      </c>
      <c r="I386">
        <f>INDEX(weekly!$F$2:$F$188,MATCH('Marketing Campaigns 22.11.22'!L386,weekly!$H$2:$H$188,0))</f>
        <v>0</v>
      </c>
      <c r="J386">
        <v>0</v>
      </c>
      <c r="K386">
        <v>0</v>
      </c>
      <c r="L386" t="str">
        <f t="shared" si="10"/>
        <v>25-6-2021</v>
      </c>
      <c r="M386">
        <f t="shared" si="11"/>
        <v>2021</v>
      </c>
    </row>
    <row r="387" spans="1:13" x14ac:dyDescent="0.2">
      <c r="A387" s="1">
        <v>44368</v>
      </c>
      <c r="B387">
        <v>25</v>
      </c>
      <c r="C387">
        <v>6</v>
      </c>
      <c r="D387">
        <v>2</v>
      </c>
      <c r="E387" t="s">
        <v>47</v>
      </c>
      <c r="F387">
        <v>0</v>
      </c>
      <c r="G387">
        <f>INDEX(weekly!$E$2:$E$188,MATCH('Marketing Campaigns 22.11.22'!L387,weekly!$H$2:$H$188,0))</f>
        <v>0</v>
      </c>
      <c r="H387">
        <f>INDEX(weekly!$D$2:$D$188,MATCH('Marketing Campaigns 22.11.22'!L387,weekly!$H$2:$H$188,0))</f>
        <v>0</v>
      </c>
      <c r="I387">
        <f>INDEX(weekly!$F$2:$F$188,MATCH('Marketing Campaigns 22.11.22'!L387,weekly!$H$2:$H$188,0))</f>
        <v>0</v>
      </c>
      <c r="J387">
        <v>0</v>
      </c>
      <c r="K387">
        <v>0</v>
      </c>
      <c r="L387" t="str">
        <f t="shared" si="10"/>
        <v>25-6-2021</v>
      </c>
      <c r="M387">
        <f t="shared" si="11"/>
        <v>2021</v>
      </c>
    </row>
    <row r="388" spans="1:13" x14ac:dyDescent="0.2">
      <c r="A388" s="1">
        <v>44368</v>
      </c>
      <c r="B388">
        <v>25</v>
      </c>
      <c r="C388">
        <v>6</v>
      </c>
      <c r="D388">
        <v>2</v>
      </c>
      <c r="E388" t="s">
        <v>48</v>
      </c>
      <c r="F388">
        <v>0</v>
      </c>
      <c r="G388">
        <f>INDEX(weekly!$E$2:$E$188,MATCH('Marketing Campaigns 22.11.22'!L388,weekly!$H$2:$H$188,0))</f>
        <v>0</v>
      </c>
      <c r="H388">
        <f>INDEX(weekly!$D$2:$D$188,MATCH('Marketing Campaigns 22.11.22'!L388,weekly!$H$2:$H$188,0))</f>
        <v>0</v>
      </c>
      <c r="I388">
        <f>INDEX(weekly!$F$2:$F$188,MATCH('Marketing Campaigns 22.11.22'!L388,weekly!$H$2:$H$188,0))</f>
        <v>0</v>
      </c>
      <c r="J388">
        <v>0</v>
      </c>
      <c r="K388">
        <v>0</v>
      </c>
      <c r="L388" t="str">
        <f t="shared" ref="L388:L451" si="12">B388&amp;"-"&amp;C388&amp;"-"&amp;M388</f>
        <v>25-6-2021</v>
      </c>
      <c r="M388">
        <f t="shared" ref="M388:M451" si="13">YEAR(A388)</f>
        <v>2021</v>
      </c>
    </row>
    <row r="389" spans="1:13" x14ac:dyDescent="0.2">
      <c r="A389" s="1">
        <v>44368</v>
      </c>
      <c r="B389">
        <v>25</v>
      </c>
      <c r="C389">
        <v>6</v>
      </c>
      <c r="D389">
        <v>2</v>
      </c>
      <c r="E389" t="s">
        <v>49</v>
      </c>
      <c r="F389">
        <v>0</v>
      </c>
      <c r="G389">
        <f>INDEX(weekly!$E$2:$E$188,MATCH('Marketing Campaigns 22.11.22'!L389,weekly!$H$2:$H$188,0))</f>
        <v>0</v>
      </c>
      <c r="H389">
        <f>INDEX(weekly!$D$2:$D$188,MATCH('Marketing Campaigns 22.11.22'!L389,weekly!$H$2:$H$188,0))</f>
        <v>0</v>
      </c>
      <c r="I389">
        <f>INDEX(weekly!$F$2:$F$188,MATCH('Marketing Campaigns 22.11.22'!L389,weekly!$H$2:$H$188,0))</f>
        <v>0</v>
      </c>
      <c r="J389">
        <v>0</v>
      </c>
      <c r="K389">
        <v>0</v>
      </c>
      <c r="L389" t="str">
        <f t="shared" si="12"/>
        <v>25-6-2021</v>
      </c>
      <c r="M389">
        <f t="shared" si="13"/>
        <v>2021</v>
      </c>
    </row>
    <row r="390" spans="1:13" x14ac:dyDescent="0.2">
      <c r="A390" s="1">
        <v>44368</v>
      </c>
      <c r="B390">
        <v>25</v>
      </c>
      <c r="C390">
        <v>6</v>
      </c>
      <c r="D390">
        <v>2</v>
      </c>
      <c r="E390" t="s">
        <v>50</v>
      </c>
      <c r="F390">
        <v>0</v>
      </c>
      <c r="G390">
        <f>INDEX(weekly!$E$2:$E$188,MATCH('Marketing Campaigns 22.11.22'!L390,weekly!$H$2:$H$188,0))</f>
        <v>0</v>
      </c>
      <c r="H390">
        <f>INDEX(weekly!$D$2:$D$188,MATCH('Marketing Campaigns 22.11.22'!L390,weekly!$H$2:$H$188,0))</f>
        <v>0</v>
      </c>
      <c r="I390">
        <f>INDEX(weekly!$F$2:$F$188,MATCH('Marketing Campaigns 22.11.22'!L390,weekly!$H$2:$H$188,0))</f>
        <v>0</v>
      </c>
      <c r="J390">
        <v>0</v>
      </c>
      <c r="K390">
        <v>0</v>
      </c>
      <c r="L390" t="str">
        <f t="shared" si="12"/>
        <v>25-6-2021</v>
      </c>
      <c r="M390">
        <f t="shared" si="13"/>
        <v>2021</v>
      </c>
    </row>
    <row r="391" spans="1:13" x14ac:dyDescent="0.2">
      <c r="A391" s="1">
        <v>44368</v>
      </c>
      <c r="B391">
        <v>25</v>
      </c>
      <c r="C391">
        <v>6</v>
      </c>
      <c r="D391">
        <v>2</v>
      </c>
      <c r="E391" t="s">
        <v>51</v>
      </c>
      <c r="F391">
        <v>0</v>
      </c>
      <c r="G391">
        <f>INDEX(weekly!$E$2:$E$188,MATCH('Marketing Campaigns 22.11.22'!L391,weekly!$H$2:$H$188,0))</f>
        <v>0</v>
      </c>
      <c r="H391">
        <f>INDEX(weekly!$D$2:$D$188,MATCH('Marketing Campaigns 22.11.22'!L391,weekly!$H$2:$H$188,0))</f>
        <v>0</v>
      </c>
      <c r="I391">
        <f>INDEX(weekly!$F$2:$F$188,MATCH('Marketing Campaigns 22.11.22'!L391,weekly!$H$2:$H$188,0))</f>
        <v>0</v>
      </c>
      <c r="J391">
        <v>0</v>
      </c>
      <c r="K391">
        <v>0</v>
      </c>
      <c r="L391" t="str">
        <f t="shared" si="12"/>
        <v>25-6-2021</v>
      </c>
      <c r="M391">
        <f t="shared" si="13"/>
        <v>2021</v>
      </c>
    </row>
    <row r="392" spans="1:13" x14ac:dyDescent="0.2">
      <c r="A392" s="1">
        <v>44368</v>
      </c>
      <c r="B392">
        <v>25</v>
      </c>
      <c r="C392">
        <v>6</v>
      </c>
      <c r="D392">
        <v>2</v>
      </c>
      <c r="E392" t="s">
        <v>52</v>
      </c>
      <c r="F392">
        <v>0</v>
      </c>
      <c r="G392">
        <f>INDEX(weekly!$E$2:$E$188,MATCH('Marketing Campaigns 22.11.22'!L392,weekly!$H$2:$H$188,0))</f>
        <v>0</v>
      </c>
      <c r="H392">
        <f>INDEX(weekly!$D$2:$D$188,MATCH('Marketing Campaigns 22.11.22'!L392,weekly!$H$2:$H$188,0))</f>
        <v>0</v>
      </c>
      <c r="I392">
        <f>INDEX(weekly!$F$2:$F$188,MATCH('Marketing Campaigns 22.11.22'!L392,weekly!$H$2:$H$188,0))</f>
        <v>0</v>
      </c>
      <c r="J392">
        <v>0</v>
      </c>
      <c r="K392">
        <v>0</v>
      </c>
      <c r="L392" t="str">
        <f t="shared" si="12"/>
        <v>25-6-2021</v>
      </c>
      <c r="M392">
        <f t="shared" si="13"/>
        <v>2021</v>
      </c>
    </row>
    <row r="393" spans="1:13" x14ac:dyDescent="0.2">
      <c r="A393" s="1">
        <v>44375</v>
      </c>
      <c r="B393">
        <v>26</v>
      </c>
      <c r="C393">
        <v>6</v>
      </c>
      <c r="D393">
        <v>2</v>
      </c>
      <c r="E393" t="s">
        <v>24</v>
      </c>
      <c r="F393">
        <v>0</v>
      </c>
      <c r="G393">
        <f>INDEX(weekly!$E$2:$E$188,MATCH('Marketing Campaigns 22.11.22'!L393,weekly!$H$2:$H$188,0))</f>
        <v>0</v>
      </c>
      <c r="H393">
        <f>INDEX(weekly!$D$2:$D$188,MATCH('Marketing Campaigns 22.11.22'!L393,weekly!$H$2:$H$188,0))</f>
        <v>0</v>
      </c>
      <c r="I393">
        <f>INDEX(weekly!$F$2:$F$188,MATCH('Marketing Campaigns 22.11.22'!L393,weekly!$H$2:$H$188,0))</f>
        <v>0</v>
      </c>
      <c r="J393">
        <v>0</v>
      </c>
      <c r="K393">
        <v>0</v>
      </c>
      <c r="L393" t="str">
        <f t="shared" si="12"/>
        <v>26-6-2021</v>
      </c>
      <c r="M393">
        <f t="shared" si="13"/>
        <v>2021</v>
      </c>
    </row>
    <row r="394" spans="1:13" x14ac:dyDescent="0.2">
      <c r="A394" s="1">
        <v>44375</v>
      </c>
      <c r="B394">
        <v>26</v>
      </c>
      <c r="C394">
        <v>6</v>
      </c>
      <c r="D394">
        <v>2</v>
      </c>
      <c r="E394" t="s">
        <v>39</v>
      </c>
      <c r="F394">
        <v>0</v>
      </c>
      <c r="G394">
        <f>INDEX(weekly!$E$2:$E$188,MATCH('Marketing Campaigns 22.11.22'!L394,weekly!$H$2:$H$188,0))</f>
        <v>0</v>
      </c>
      <c r="H394">
        <f>INDEX(weekly!$D$2:$D$188,MATCH('Marketing Campaigns 22.11.22'!L394,weekly!$H$2:$H$188,0))</f>
        <v>0</v>
      </c>
      <c r="I394">
        <f>INDEX(weekly!$F$2:$F$188,MATCH('Marketing Campaigns 22.11.22'!L394,weekly!$H$2:$H$188,0))</f>
        <v>0</v>
      </c>
      <c r="J394">
        <v>0</v>
      </c>
      <c r="K394">
        <v>0</v>
      </c>
      <c r="L394" t="str">
        <f t="shared" si="12"/>
        <v>26-6-2021</v>
      </c>
      <c r="M394">
        <f t="shared" si="13"/>
        <v>2021</v>
      </c>
    </row>
    <row r="395" spans="1:13" x14ac:dyDescent="0.2">
      <c r="A395" s="1">
        <v>44375</v>
      </c>
      <c r="B395">
        <v>26</v>
      </c>
      <c r="C395">
        <v>6</v>
      </c>
      <c r="D395">
        <v>2</v>
      </c>
      <c r="E395" t="s">
        <v>40</v>
      </c>
      <c r="F395">
        <v>0</v>
      </c>
      <c r="G395">
        <f>INDEX(weekly!$E$2:$E$188,MATCH('Marketing Campaigns 22.11.22'!L395,weekly!$H$2:$H$188,0))</f>
        <v>0</v>
      </c>
      <c r="H395">
        <f>INDEX(weekly!$D$2:$D$188,MATCH('Marketing Campaigns 22.11.22'!L395,weekly!$H$2:$H$188,0))</f>
        <v>0</v>
      </c>
      <c r="I395">
        <f>INDEX(weekly!$F$2:$F$188,MATCH('Marketing Campaigns 22.11.22'!L395,weekly!$H$2:$H$188,0))</f>
        <v>0</v>
      </c>
      <c r="J395">
        <v>0</v>
      </c>
      <c r="K395">
        <v>0</v>
      </c>
      <c r="L395" t="str">
        <f t="shared" si="12"/>
        <v>26-6-2021</v>
      </c>
      <c r="M395">
        <f t="shared" si="13"/>
        <v>2021</v>
      </c>
    </row>
    <row r="396" spans="1:13" x14ac:dyDescent="0.2">
      <c r="A396" s="1">
        <v>44375</v>
      </c>
      <c r="B396">
        <v>26</v>
      </c>
      <c r="C396">
        <v>6</v>
      </c>
      <c r="D396">
        <v>2</v>
      </c>
      <c r="E396" t="s">
        <v>41</v>
      </c>
      <c r="F396">
        <v>0</v>
      </c>
      <c r="G396">
        <f>INDEX(weekly!$E$2:$E$188,MATCH('Marketing Campaigns 22.11.22'!L396,weekly!$H$2:$H$188,0))</f>
        <v>0</v>
      </c>
      <c r="H396">
        <f>INDEX(weekly!$D$2:$D$188,MATCH('Marketing Campaigns 22.11.22'!L396,weekly!$H$2:$H$188,0))</f>
        <v>0</v>
      </c>
      <c r="I396">
        <f>INDEX(weekly!$F$2:$F$188,MATCH('Marketing Campaigns 22.11.22'!L396,weekly!$H$2:$H$188,0))</f>
        <v>0</v>
      </c>
      <c r="J396">
        <v>0</v>
      </c>
      <c r="K396">
        <v>0</v>
      </c>
      <c r="L396" t="str">
        <f t="shared" si="12"/>
        <v>26-6-2021</v>
      </c>
      <c r="M396">
        <f t="shared" si="13"/>
        <v>2021</v>
      </c>
    </row>
    <row r="397" spans="1:13" x14ac:dyDescent="0.2">
      <c r="A397" s="1">
        <v>44375</v>
      </c>
      <c r="B397">
        <v>26</v>
      </c>
      <c r="C397">
        <v>6</v>
      </c>
      <c r="D397">
        <v>2</v>
      </c>
      <c r="E397" t="s">
        <v>42</v>
      </c>
      <c r="F397">
        <v>0</v>
      </c>
      <c r="G397">
        <f>INDEX(weekly!$E$2:$E$188,MATCH('Marketing Campaigns 22.11.22'!L397,weekly!$H$2:$H$188,0))</f>
        <v>0</v>
      </c>
      <c r="H397">
        <f>INDEX(weekly!$D$2:$D$188,MATCH('Marketing Campaigns 22.11.22'!L397,weekly!$H$2:$H$188,0))</f>
        <v>0</v>
      </c>
      <c r="I397">
        <f>INDEX(weekly!$F$2:$F$188,MATCH('Marketing Campaigns 22.11.22'!L397,weekly!$H$2:$H$188,0))</f>
        <v>0</v>
      </c>
      <c r="J397">
        <v>0</v>
      </c>
      <c r="K397">
        <v>0</v>
      </c>
      <c r="L397" t="str">
        <f t="shared" si="12"/>
        <v>26-6-2021</v>
      </c>
      <c r="M397">
        <f t="shared" si="13"/>
        <v>2021</v>
      </c>
    </row>
    <row r="398" spans="1:13" x14ac:dyDescent="0.2">
      <c r="A398" s="1">
        <v>44375</v>
      </c>
      <c r="B398">
        <v>26</v>
      </c>
      <c r="C398">
        <v>6</v>
      </c>
      <c r="D398">
        <v>2</v>
      </c>
      <c r="E398" t="s">
        <v>43</v>
      </c>
      <c r="F398">
        <v>0</v>
      </c>
      <c r="G398">
        <f>INDEX(weekly!$E$2:$E$188,MATCH('Marketing Campaigns 22.11.22'!L398,weekly!$H$2:$H$188,0))</f>
        <v>0</v>
      </c>
      <c r="H398">
        <f>INDEX(weekly!$D$2:$D$188,MATCH('Marketing Campaigns 22.11.22'!L398,weekly!$H$2:$H$188,0))</f>
        <v>0</v>
      </c>
      <c r="I398">
        <f>INDEX(weekly!$F$2:$F$188,MATCH('Marketing Campaigns 22.11.22'!L398,weekly!$H$2:$H$188,0))</f>
        <v>0</v>
      </c>
      <c r="J398">
        <v>0</v>
      </c>
      <c r="K398">
        <v>0</v>
      </c>
      <c r="L398" t="str">
        <f t="shared" si="12"/>
        <v>26-6-2021</v>
      </c>
      <c r="M398">
        <f t="shared" si="13"/>
        <v>2021</v>
      </c>
    </row>
    <row r="399" spans="1:13" x14ac:dyDescent="0.2">
      <c r="A399" s="1">
        <v>44375</v>
      </c>
      <c r="B399">
        <v>26</v>
      </c>
      <c r="C399">
        <v>6</v>
      </c>
      <c r="D399">
        <v>2</v>
      </c>
      <c r="E399" t="s">
        <v>44</v>
      </c>
      <c r="F399">
        <v>0</v>
      </c>
      <c r="G399">
        <f>INDEX(weekly!$E$2:$E$188,MATCH('Marketing Campaigns 22.11.22'!L399,weekly!$H$2:$H$188,0))</f>
        <v>0</v>
      </c>
      <c r="H399">
        <f>INDEX(weekly!$D$2:$D$188,MATCH('Marketing Campaigns 22.11.22'!L399,weekly!$H$2:$H$188,0))</f>
        <v>0</v>
      </c>
      <c r="I399">
        <f>INDEX(weekly!$F$2:$F$188,MATCH('Marketing Campaigns 22.11.22'!L399,weekly!$H$2:$H$188,0))</f>
        <v>0</v>
      </c>
      <c r="J399">
        <v>0</v>
      </c>
      <c r="K399">
        <v>0</v>
      </c>
      <c r="L399" t="str">
        <f t="shared" si="12"/>
        <v>26-6-2021</v>
      </c>
      <c r="M399">
        <f t="shared" si="13"/>
        <v>2021</v>
      </c>
    </row>
    <row r="400" spans="1:13" x14ac:dyDescent="0.2">
      <c r="A400" s="1">
        <v>44375</v>
      </c>
      <c r="B400">
        <v>26</v>
      </c>
      <c r="C400">
        <v>6</v>
      </c>
      <c r="D400">
        <v>2</v>
      </c>
      <c r="E400" t="s">
        <v>45</v>
      </c>
      <c r="F400">
        <v>0</v>
      </c>
      <c r="G400">
        <f>INDEX(weekly!$E$2:$E$188,MATCH('Marketing Campaigns 22.11.22'!L400,weekly!$H$2:$H$188,0))</f>
        <v>0</v>
      </c>
      <c r="H400">
        <f>INDEX(weekly!$D$2:$D$188,MATCH('Marketing Campaigns 22.11.22'!L400,weekly!$H$2:$H$188,0))</f>
        <v>0</v>
      </c>
      <c r="I400">
        <f>INDEX(weekly!$F$2:$F$188,MATCH('Marketing Campaigns 22.11.22'!L400,weekly!$H$2:$H$188,0))</f>
        <v>0</v>
      </c>
      <c r="J400">
        <v>0</v>
      </c>
      <c r="K400">
        <v>0</v>
      </c>
      <c r="L400" t="str">
        <f t="shared" si="12"/>
        <v>26-6-2021</v>
      </c>
      <c r="M400">
        <f t="shared" si="13"/>
        <v>2021</v>
      </c>
    </row>
    <row r="401" spans="1:13" x14ac:dyDescent="0.2">
      <c r="A401" s="1">
        <v>44375</v>
      </c>
      <c r="B401">
        <v>26</v>
      </c>
      <c r="C401">
        <v>6</v>
      </c>
      <c r="D401">
        <v>2</v>
      </c>
      <c r="E401" t="s">
        <v>46</v>
      </c>
      <c r="F401">
        <v>0</v>
      </c>
      <c r="G401">
        <f>INDEX(weekly!$E$2:$E$188,MATCH('Marketing Campaigns 22.11.22'!L401,weekly!$H$2:$H$188,0))</f>
        <v>0</v>
      </c>
      <c r="H401">
        <f>INDEX(weekly!$D$2:$D$188,MATCH('Marketing Campaigns 22.11.22'!L401,weekly!$H$2:$H$188,0))</f>
        <v>0</v>
      </c>
      <c r="I401">
        <f>INDEX(weekly!$F$2:$F$188,MATCH('Marketing Campaigns 22.11.22'!L401,weekly!$H$2:$H$188,0))</f>
        <v>0</v>
      </c>
      <c r="J401">
        <v>0</v>
      </c>
      <c r="K401">
        <v>0</v>
      </c>
      <c r="L401" t="str">
        <f t="shared" si="12"/>
        <v>26-6-2021</v>
      </c>
      <c r="M401">
        <f t="shared" si="13"/>
        <v>2021</v>
      </c>
    </row>
    <row r="402" spans="1:13" x14ac:dyDescent="0.2">
      <c r="A402" s="1">
        <v>44375</v>
      </c>
      <c r="B402">
        <v>26</v>
      </c>
      <c r="C402">
        <v>6</v>
      </c>
      <c r="D402">
        <v>2</v>
      </c>
      <c r="E402" t="s">
        <v>47</v>
      </c>
      <c r="F402">
        <v>0</v>
      </c>
      <c r="G402">
        <f>INDEX(weekly!$E$2:$E$188,MATCH('Marketing Campaigns 22.11.22'!L402,weekly!$H$2:$H$188,0))</f>
        <v>0</v>
      </c>
      <c r="H402">
        <f>INDEX(weekly!$D$2:$D$188,MATCH('Marketing Campaigns 22.11.22'!L402,weekly!$H$2:$H$188,0))</f>
        <v>0</v>
      </c>
      <c r="I402">
        <f>INDEX(weekly!$F$2:$F$188,MATCH('Marketing Campaigns 22.11.22'!L402,weekly!$H$2:$H$188,0))</f>
        <v>0</v>
      </c>
      <c r="J402">
        <v>0</v>
      </c>
      <c r="K402">
        <v>0</v>
      </c>
      <c r="L402" t="str">
        <f t="shared" si="12"/>
        <v>26-6-2021</v>
      </c>
      <c r="M402">
        <f t="shared" si="13"/>
        <v>2021</v>
      </c>
    </row>
    <row r="403" spans="1:13" x14ac:dyDescent="0.2">
      <c r="A403" s="1">
        <v>44375</v>
      </c>
      <c r="B403">
        <v>26</v>
      </c>
      <c r="C403">
        <v>6</v>
      </c>
      <c r="D403">
        <v>2</v>
      </c>
      <c r="E403" t="s">
        <v>48</v>
      </c>
      <c r="F403">
        <v>0</v>
      </c>
      <c r="G403">
        <f>INDEX(weekly!$E$2:$E$188,MATCH('Marketing Campaigns 22.11.22'!L403,weekly!$H$2:$H$188,0))</f>
        <v>0</v>
      </c>
      <c r="H403">
        <f>INDEX(weekly!$D$2:$D$188,MATCH('Marketing Campaigns 22.11.22'!L403,weekly!$H$2:$H$188,0))</f>
        <v>0</v>
      </c>
      <c r="I403">
        <f>INDEX(weekly!$F$2:$F$188,MATCH('Marketing Campaigns 22.11.22'!L403,weekly!$H$2:$H$188,0))</f>
        <v>0</v>
      </c>
      <c r="J403">
        <v>0</v>
      </c>
      <c r="K403">
        <v>0</v>
      </c>
      <c r="L403" t="str">
        <f t="shared" si="12"/>
        <v>26-6-2021</v>
      </c>
      <c r="M403">
        <f t="shared" si="13"/>
        <v>2021</v>
      </c>
    </row>
    <row r="404" spans="1:13" x14ac:dyDescent="0.2">
      <c r="A404" s="1">
        <v>44375</v>
      </c>
      <c r="B404">
        <v>26</v>
      </c>
      <c r="C404">
        <v>6</v>
      </c>
      <c r="D404">
        <v>2</v>
      </c>
      <c r="E404" t="s">
        <v>49</v>
      </c>
      <c r="F404">
        <v>0</v>
      </c>
      <c r="G404">
        <f>INDEX(weekly!$E$2:$E$188,MATCH('Marketing Campaigns 22.11.22'!L404,weekly!$H$2:$H$188,0))</f>
        <v>0</v>
      </c>
      <c r="H404">
        <f>INDEX(weekly!$D$2:$D$188,MATCH('Marketing Campaigns 22.11.22'!L404,weekly!$H$2:$H$188,0))</f>
        <v>0</v>
      </c>
      <c r="I404">
        <f>INDEX(weekly!$F$2:$F$188,MATCH('Marketing Campaigns 22.11.22'!L404,weekly!$H$2:$H$188,0))</f>
        <v>0</v>
      </c>
      <c r="J404">
        <v>0</v>
      </c>
      <c r="K404">
        <v>0</v>
      </c>
      <c r="L404" t="str">
        <f t="shared" si="12"/>
        <v>26-6-2021</v>
      </c>
      <c r="M404">
        <f t="shared" si="13"/>
        <v>2021</v>
      </c>
    </row>
    <row r="405" spans="1:13" x14ac:dyDescent="0.2">
      <c r="A405" s="1">
        <v>44375</v>
      </c>
      <c r="B405">
        <v>26</v>
      </c>
      <c r="C405">
        <v>6</v>
      </c>
      <c r="D405">
        <v>2</v>
      </c>
      <c r="E405" t="s">
        <v>50</v>
      </c>
      <c r="F405">
        <v>0</v>
      </c>
      <c r="G405">
        <f>INDEX(weekly!$E$2:$E$188,MATCH('Marketing Campaigns 22.11.22'!L405,weekly!$H$2:$H$188,0))</f>
        <v>0</v>
      </c>
      <c r="H405">
        <f>INDEX(weekly!$D$2:$D$188,MATCH('Marketing Campaigns 22.11.22'!L405,weekly!$H$2:$H$188,0))</f>
        <v>0</v>
      </c>
      <c r="I405">
        <f>INDEX(weekly!$F$2:$F$188,MATCH('Marketing Campaigns 22.11.22'!L405,weekly!$H$2:$H$188,0))</f>
        <v>0</v>
      </c>
      <c r="J405">
        <v>0</v>
      </c>
      <c r="K405">
        <v>0</v>
      </c>
      <c r="L405" t="str">
        <f t="shared" si="12"/>
        <v>26-6-2021</v>
      </c>
      <c r="M405">
        <f t="shared" si="13"/>
        <v>2021</v>
      </c>
    </row>
    <row r="406" spans="1:13" x14ac:dyDescent="0.2">
      <c r="A406" s="1">
        <v>44375</v>
      </c>
      <c r="B406">
        <v>26</v>
      </c>
      <c r="C406">
        <v>6</v>
      </c>
      <c r="D406">
        <v>2</v>
      </c>
      <c r="E406" t="s">
        <v>51</v>
      </c>
      <c r="F406">
        <v>0</v>
      </c>
      <c r="G406">
        <f>INDEX(weekly!$E$2:$E$188,MATCH('Marketing Campaigns 22.11.22'!L406,weekly!$H$2:$H$188,0))</f>
        <v>0</v>
      </c>
      <c r="H406">
        <f>INDEX(weekly!$D$2:$D$188,MATCH('Marketing Campaigns 22.11.22'!L406,weekly!$H$2:$H$188,0))</f>
        <v>0</v>
      </c>
      <c r="I406">
        <f>INDEX(weekly!$F$2:$F$188,MATCH('Marketing Campaigns 22.11.22'!L406,weekly!$H$2:$H$188,0))</f>
        <v>0</v>
      </c>
      <c r="J406">
        <v>0</v>
      </c>
      <c r="K406">
        <v>0</v>
      </c>
      <c r="L406" t="str">
        <f t="shared" si="12"/>
        <v>26-6-2021</v>
      </c>
      <c r="M406">
        <f t="shared" si="13"/>
        <v>2021</v>
      </c>
    </row>
    <row r="407" spans="1:13" x14ac:dyDescent="0.2">
      <c r="A407" s="1">
        <v>44375</v>
      </c>
      <c r="B407">
        <v>26</v>
      </c>
      <c r="C407">
        <v>6</v>
      </c>
      <c r="D407">
        <v>2</v>
      </c>
      <c r="E407" t="s">
        <v>52</v>
      </c>
      <c r="F407">
        <v>0</v>
      </c>
      <c r="G407">
        <f>INDEX(weekly!$E$2:$E$188,MATCH('Marketing Campaigns 22.11.22'!L407,weekly!$H$2:$H$188,0))</f>
        <v>0</v>
      </c>
      <c r="H407">
        <f>INDEX(weekly!$D$2:$D$188,MATCH('Marketing Campaigns 22.11.22'!L407,weekly!$H$2:$H$188,0))</f>
        <v>0</v>
      </c>
      <c r="I407">
        <f>INDEX(weekly!$F$2:$F$188,MATCH('Marketing Campaigns 22.11.22'!L407,weekly!$H$2:$H$188,0))</f>
        <v>0</v>
      </c>
      <c r="J407">
        <v>0</v>
      </c>
      <c r="K407">
        <v>0</v>
      </c>
      <c r="L407" t="str">
        <f t="shared" si="12"/>
        <v>26-6-2021</v>
      </c>
      <c r="M407">
        <f t="shared" si="13"/>
        <v>2021</v>
      </c>
    </row>
    <row r="408" spans="1:13" x14ac:dyDescent="0.2">
      <c r="A408" s="1">
        <v>44382</v>
      </c>
      <c r="B408">
        <v>27</v>
      </c>
      <c r="C408">
        <v>7</v>
      </c>
      <c r="D408">
        <v>3</v>
      </c>
      <c r="E408" t="s">
        <v>24</v>
      </c>
      <c r="F408">
        <v>0</v>
      </c>
      <c r="G408">
        <f>INDEX(weekly!$E$2:$E$188,MATCH('Marketing Campaigns 22.11.22'!L408,weekly!$H$2:$H$188,0))</f>
        <v>0</v>
      </c>
      <c r="H408">
        <f>INDEX(weekly!$D$2:$D$188,MATCH('Marketing Campaigns 22.11.22'!L408,weekly!$H$2:$H$188,0))</f>
        <v>0</v>
      </c>
      <c r="I408">
        <f>INDEX(weekly!$F$2:$F$188,MATCH('Marketing Campaigns 22.11.22'!L408,weekly!$H$2:$H$188,0))</f>
        <v>0</v>
      </c>
      <c r="J408">
        <v>0</v>
      </c>
      <c r="K408">
        <v>0</v>
      </c>
      <c r="L408" t="str">
        <f t="shared" si="12"/>
        <v>27-7-2021</v>
      </c>
      <c r="M408">
        <f t="shared" si="13"/>
        <v>2021</v>
      </c>
    </row>
    <row r="409" spans="1:13" x14ac:dyDescent="0.2">
      <c r="A409" s="1">
        <v>44382</v>
      </c>
      <c r="B409">
        <v>27</v>
      </c>
      <c r="C409">
        <v>7</v>
      </c>
      <c r="D409">
        <v>3</v>
      </c>
      <c r="E409" t="s">
        <v>39</v>
      </c>
      <c r="F409">
        <v>0</v>
      </c>
      <c r="G409">
        <f>INDEX(weekly!$E$2:$E$188,MATCH('Marketing Campaigns 22.11.22'!L409,weekly!$H$2:$H$188,0))</f>
        <v>0</v>
      </c>
      <c r="H409">
        <f>INDEX(weekly!$D$2:$D$188,MATCH('Marketing Campaigns 22.11.22'!L409,weekly!$H$2:$H$188,0))</f>
        <v>0</v>
      </c>
      <c r="I409">
        <f>INDEX(weekly!$F$2:$F$188,MATCH('Marketing Campaigns 22.11.22'!L409,weekly!$H$2:$H$188,0))</f>
        <v>0</v>
      </c>
      <c r="J409">
        <v>0</v>
      </c>
      <c r="K409">
        <v>0</v>
      </c>
      <c r="L409" t="str">
        <f t="shared" si="12"/>
        <v>27-7-2021</v>
      </c>
      <c r="M409">
        <f t="shared" si="13"/>
        <v>2021</v>
      </c>
    </row>
    <row r="410" spans="1:13" x14ac:dyDescent="0.2">
      <c r="A410" s="1">
        <v>44382</v>
      </c>
      <c r="B410">
        <v>27</v>
      </c>
      <c r="C410">
        <v>7</v>
      </c>
      <c r="D410">
        <v>3</v>
      </c>
      <c r="E410" t="s">
        <v>40</v>
      </c>
      <c r="F410">
        <v>0</v>
      </c>
      <c r="G410">
        <f>INDEX(weekly!$E$2:$E$188,MATCH('Marketing Campaigns 22.11.22'!L410,weekly!$H$2:$H$188,0))</f>
        <v>0</v>
      </c>
      <c r="H410">
        <f>INDEX(weekly!$D$2:$D$188,MATCH('Marketing Campaigns 22.11.22'!L410,weekly!$H$2:$H$188,0))</f>
        <v>0</v>
      </c>
      <c r="I410">
        <f>INDEX(weekly!$F$2:$F$188,MATCH('Marketing Campaigns 22.11.22'!L410,weekly!$H$2:$H$188,0))</f>
        <v>0</v>
      </c>
      <c r="J410">
        <v>0</v>
      </c>
      <c r="K410">
        <v>0</v>
      </c>
      <c r="L410" t="str">
        <f t="shared" si="12"/>
        <v>27-7-2021</v>
      </c>
      <c r="M410">
        <f t="shared" si="13"/>
        <v>2021</v>
      </c>
    </row>
    <row r="411" spans="1:13" x14ac:dyDescent="0.2">
      <c r="A411" s="1">
        <v>44382</v>
      </c>
      <c r="B411">
        <v>27</v>
      </c>
      <c r="C411">
        <v>7</v>
      </c>
      <c r="D411">
        <v>3</v>
      </c>
      <c r="E411" t="s">
        <v>41</v>
      </c>
      <c r="F411">
        <v>0</v>
      </c>
      <c r="G411">
        <f>INDEX(weekly!$E$2:$E$188,MATCH('Marketing Campaigns 22.11.22'!L411,weekly!$H$2:$H$188,0))</f>
        <v>0</v>
      </c>
      <c r="H411">
        <f>INDEX(weekly!$D$2:$D$188,MATCH('Marketing Campaigns 22.11.22'!L411,weekly!$H$2:$H$188,0))</f>
        <v>0</v>
      </c>
      <c r="I411">
        <f>INDEX(weekly!$F$2:$F$188,MATCH('Marketing Campaigns 22.11.22'!L411,weekly!$H$2:$H$188,0))</f>
        <v>0</v>
      </c>
      <c r="J411">
        <v>0</v>
      </c>
      <c r="K411">
        <v>0</v>
      </c>
      <c r="L411" t="str">
        <f t="shared" si="12"/>
        <v>27-7-2021</v>
      </c>
      <c r="M411">
        <f t="shared" si="13"/>
        <v>2021</v>
      </c>
    </row>
    <row r="412" spans="1:13" x14ac:dyDescent="0.2">
      <c r="A412" s="1">
        <v>44382</v>
      </c>
      <c r="B412">
        <v>27</v>
      </c>
      <c r="C412">
        <v>7</v>
      </c>
      <c r="D412">
        <v>3</v>
      </c>
      <c r="E412" t="s">
        <v>42</v>
      </c>
      <c r="F412">
        <v>0</v>
      </c>
      <c r="G412">
        <f>INDEX(weekly!$E$2:$E$188,MATCH('Marketing Campaigns 22.11.22'!L412,weekly!$H$2:$H$188,0))</f>
        <v>0</v>
      </c>
      <c r="H412">
        <f>INDEX(weekly!$D$2:$D$188,MATCH('Marketing Campaigns 22.11.22'!L412,weekly!$H$2:$H$188,0))</f>
        <v>0</v>
      </c>
      <c r="I412">
        <f>INDEX(weekly!$F$2:$F$188,MATCH('Marketing Campaigns 22.11.22'!L412,weekly!$H$2:$H$188,0))</f>
        <v>0</v>
      </c>
      <c r="J412">
        <v>0</v>
      </c>
      <c r="K412">
        <v>0</v>
      </c>
      <c r="L412" t="str">
        <f t="shared" si="12"/>
        <v>27-7-2021</v>
      </c>
      <c r="M412">
        <f t="shared" si="13"/>
        <v>2021</v>
      </c>
    </row>
    <row r="413" spans="1:13" x14ac:dyDescent="0.2">
      <c r="A413" s="1">
        <v>44382</v>
      </c>
      <c r="B413">
        <v>27</v>
      </c>
      <c r="C413">
        <v>7</v>
      </c>
      <c r="D413">
        <v>3</v>
      </c>
      <c r="E413" t="s">
        <v>43</v>
      </c>
      <c r="F413">
        <v>0</v>
      </c>
      <c r="G413">
        <f>INDEX(weekly!$E$2:$E$188,MATCH('Marketing Campaigns 22.11.22'!L413,weekly!$H$2:$H$188,0))</f>
        <v>0</v>
      </c>
      <c r="H413">
        <f>INDEX(weekly!$D$2:$D$188,MATCH('Marketing Campaigns 22.11.22'!L413,weekly!$H$2:$H$188,0))</f>
        <v>0</v>
      </c>
      <c r="I413">
        <f>INDEX(weekly!$F$2:$F$188,MATCH('Marketing Campaigns 22.11.22'!L413,weekly!$H$2:$H$188,0))</f>
        <v>0</v>
      </c>
      <c r="J413">
        <v>0</v>
      </c>
      <c r="K413">
        <v>0</v>
      </c>
      <c r="L413" t="str">
        <f t="shared" si="12"/>
        <v>27-7-2021</v>
      </c>
      <c r="M413">
        <f t="shared" si="13"/>
        <v>2021</v>
      </c>
    </row>
    <row r="414" spans="1:13" x14ac:dyDescent="0.2">
      <c r="A414" s="1">
        <v>44382</v>
      </c>
      <c r="B414">
        <v>27</v>
      </c>
      <c r="C414">
        <v>7</v>
      </c>
      <c r="D414">
        <v>3</v>
      </c>
      <c r="E414" t="s">
        <v>44</v>
      </c>
      <c r="F414">
        <v>0</v>
      </c>
      <c r="G414">
        <f>INDEX(weekly!$E$2:$E$188,MATCH('Marketing Campaigns 22.11.22'!L414,weekly!$H$2:$H$188,0))</f>
        <v>0</v>
      </c>
      <c r="H414">
        <f>INDEX(weekly!$D$2:$D$188,MATCH('Marketing Campaigns 22.11.22'!L414,weekly!$H$2:$H$188,0))</f>
        <v>0</v>
      </c>
      <c r="I414">
        <f>INDEX(weekly!$F$2:$F$188,MATCH('Marketing Campaigns 22.11.22'!L414,weekly!$H$2:$H$188,0))</f>
        <v>0</v>
      </c>
      <c r="J414">
        <v>0</v>
      </c>
      <c r="K414">
        <v>0</v>
      </c>
      <c r="L414" t="str">
        <f t="shared" si="12"/>
        <v>27-7-2021</v>
      </c>
      <c r="M414">
        <f t="shared" si="13"/>
        <v>2021</v>
      </c>
    </row>
    <row r="415" spans="1:13" x14ac:dyDescent="0.2">
      <c r="A415" s="1">
        <v>44382</v>
      </c>
      <c r="B415">
        <v>27</v>
      </c>
      <c r="C415">
        <v>7</v>
      </c>
      <c r="D415">
        <v>3</v>
      </c>
      <c r="E415" t="s">
        <v>45</v>
      </c>
      <c r="F415">
        <v>0</v>
      </c>
      <c r="G415">
        <f>INDEX(weekly!$E$2:$E$188,MATCH('Marketing Campaigns 22.11.22'!L415,weekly!$H$2:$H$188,0))</f>
        <v>0</v>
      </c>
      <c r="H415">
        <f>INDEX(weekly!$D$2:$D$188,MATCH('Marketing Campaigns 22.11.22'!L415,weekly!$H$2:$H$188,0))</f>
        <v>0</v>
      </c>
      <c r="I415">
        <f>INDEX(weekly!$F$2:$F$188,MATCH('Marketing Campaigns 22.11.22'!L415,weekly!$H$2:$H$188,0))</f>
        <v>0</v>
      </c>
      <c r="J415">
        <v>0</v>
      </c>
      <c r="K415">
        <v>0</v>
      </c>
      <c r="L415" t="str">
        <f t="shared" si="12"/>
        <v>27-7-2021</v>
      </c>
      <c r="M415">
        <f t="shared" si="13"/>
        <v>2021</v>
      </c>
    </row>
    <row r="416" spans="1:13" x14ac:dyDescent="0.2">
      <c r="A416" s="1">
        <v>44382</v>
      </c>
      <c r="B416">
        <v>27</v>
      </c>
      <c r="C416">
        <v>7</v>
      </c>
      <c r="D416">
        <v>3</v>
      </c>
      <c r="E416" t="s">
        <v>46</v>
      </c>
      <c r="F416">
        <v>0</v>
      </c>
      <c r="G416">
        <f>INDEX(weekly!$E$2:$E$188,MATCH('Marketing Campaigns 22.11.22'!L416,weekly!$H$2:$H$188,0))</f>
        <v>0</v>
      </c>
      <c r="H416">
        <f>INDEX(weekly!$D$2:$D$188,MATCH('Marketing Campaigns 22.11.22'!L416,weekly!$H$2:$H$188,0))</f>
        <v>0</v>
      </c>
      <c r="I416">
        <f>INDEX(weekly!$F$2:$F$188,MATCH('Marketing Campaigns 22.11.22'!L416,weekly!$H$2:$H$188,0))</f>
        <v>0</v>
      </c>
      <c r="J416">
        <v>0</v>
      </c>
      <c r="K416">
        <v>0</v>
      </c>
      <c r="L416" t="str">
        <f t="shared" si="12"/>
        <v>27-7-2021</v>
      </c>
      <c r="M416">
        <f t="shared" si="13"/>
        <v>2021</v>
      </c>
    </row>
    <row r="417" spans="1:13" x14ac:dyDescent="0.2">
      <c r="A417" s="1">
        <v>44382</v>
      </c>
      <c r="B417">
        <v>27</v>
      </c>
      <c r="C417">
        <v>7</v>
      </c>
      <c r="D417">
        <v>3</v>
      </c>
      <c r="E417" t="s">
        <v>47</v>
      </c>
      <c r="F417">
        <v>0</v>
      </c>
      <c r="G417">
        <f>INDEX(weekly!$E$2:$E$188,MATCH('Marketing Campaigns 22.11.22'!L417,weekly!$H$2:$H$188,0))</f>
        <v>0</v>
      </c>
      <c r="H417">
        <f>INDEX(weekly!$D$2:$D$188,MATCH('Marketing Campaigns 22.11.22'!L417,weekly!$H$2:$H$188,0))</f>
        <v>0</v>
      </c>
      <c r="I417">
        <f>INDEX(weekly!$F$2:$F$188,MATCH('Marketing Campaigns 22.11.22'!L417,weekly!$H$2:$H$188,0))</f>
        <v>0</v>
      </c>
      <c r="J417">
        <v>0</v>
      </c>
      <c r="K417">
        <v>0</v>
      </c>
      <c r="L417" t="str">
        <f t="shared" si="12"/>
        <v>27-7-2021</v>
      </c>
      <c r="M417">
        <f t="shared" si="13"/>
        <v>2021</v>
      </c>
    </row>
    <row r="418" spans="1:13" x14ac:dyDescent="0.2">
      <c r="A418" s="1">
        <v>44382</v>
      </c>
      <c r="B418">
        <v>27</v>
      </c>
      <c r="C418">
        <v>7</v>
      </c>
      <c r="D418">
        <v>3</v>
      </c>
      <c r="E418" t="s">
        <v>48</v>
      </c>
      <c r="F418">
        <v>0</v>
      </c>
      <c r="G418">
        <f>INDEX(weekly!$E$2:$E$188,MATCH('Marketing Campaigns 22.11.22'!L418,weekly!$H$2:$H$188,0))</f>
        <v>0</v>
      </c>
      <c r="H418">
        <f>INDEX(weekly!$D$2:$D$188,MATCH('Marketing Campaigns 22.11.22'!L418,weekly!$H$2:$H$188,0))</f>
        <v>0</v>
      </c>
      <c r="I418">
        <f>INDEX(weekly!$F$2:$F$188,MATCH('Marketing Campaigns 22.11.22'!L418,weekly!$H$2:$H$188,0))</f>
        <v>0</v>
      </c>
      <c r="J418">
        <v>0</v>
      </c>
      <c r="K418">
        <v>0</v>
      </c>
      <c r="L418" t="str">
        <f t="shared" si="12"/>
        <v>27-7-2021</v>
      </c>
      <c r="M418">
        <f t="shared" si="13"/>
        <v>2021</v>
      </c>
    </row>
    <row r="419" spans="1:13" x14ac:dyDescent="0.2">
      <c r="A419" s="1">
        <v>44382</v>
      </c>
      <c r="B419">
        <v>27</v>
      </c>
      <c r="C419">
        <v>7</v>
      </c>
      <c r="D419">
        <v>3</v>
      </c>
      <c r="E419" t="s">
        <v>49</v>
      </c>
      <c r="F419">
        <v>0</v>
      </c>
      <c r="G419">
        <f>INDEX(weekly!$E$2:$E$188,MATCH('Marketing Campaigns 22.11.22'!L419,weekly!$H$2:$H$188,0))</f>
        <v>0</v>
      </c>
      <c r="H419">
        <f>INDEX(weekly!$D$2:$D$188,MATCH('Marketing Campaigns 22.11.22'!L419,weekly!$H$2:$H$188,0))</f>
        <v>0</v>
      </c>
      <c r="I419">
        <f>INDEX(weekly!$F$2:$F$188,MATCH('Marketing Campaigns 22.11.22'!L419,weekly!$H$2:$H$188,0))</f>
        <v>0</v>
      </c>
      <c r="J419">
        <v>0</v>
      </c>
      <c r="K419">
        <v>0</v>
      </c>
      <c r="L419" t="str">
        <f t="shared" si="12"/>
        <v>27-7-2021</v>
      </c>
      <c r="M419">
        <f t="shared" si="13"/>
        <v>2021</v>
      </c>
    </row>
    <row r="420" spans="1:13" x14ac:dyDescent="0.2">
      <c r="A420" s="1">
        <v>44382</v>
      </c>
      <c r="B420">
        <v>27</v>
      </c>
      <c r="C420">
        <v>7</v>
      </c>
      <c r="D420">
        <v>3</v>
      </c>
      <c r="E420" t="s">
        <v>50</v>
      </c>
      <c r="F420">
        <v>0</v>
      </c>
      <c r="G420">
        <f>INDEX(weekly!$E$2:$E$188,MATCH('Marketing Campaigns 22.11.22'!L420,weekly!$H$2:$H$188,0))</f>
        <v>0</v>
      </c>
      <c r="H420">
        <f>INDEX(weekly!$D$2:$D$188,MATCH('Marketing Campaigns 22.11.22'!L420,weekly!$H$2:$H$188,0))</f>
        <v>0</v>
      </c>
      <c r="I420">
        <f>INDEX(weekly!$F$2:$F$188,MATCH('Marketing Campaigns 22.11.22'!L420,weekly!$H$2:$H$188,0))</f>
        <v>0</v>
      </c>
      <c r="J420">
        <v>0</v>
      </c>
      <c r="K420">
        <v>0</v>
      </c>
      <c r="L420" t="str">
        <f t="shared" si="12"/>
        <v>27-7-2021</v>
      </c>
      <c r="M420">
        <f t="shared" si="13"/>
        <v>2021</v>
      </c>
    </row>
    <row r="421" spans="1:13" x14ac:dyDescent="0.2">
      <c r="A421" s="1">
        <v>44382</v>
      </c>
      <c r="B421">
        <v>27</v>
      </c>
      <c r="C421">
        <v>7</v>
      </c>
      <c r="D421">
        <v>3</v>
      </c>
      <c r="E421" t="s">
        <v>51</v>
      </c>
      <c r="F421">
        <v>0</v>
      </c>
      <c r="G421">
        <f>INDEX(weekly!$E$2:$E$188,MATCH('Marketing Campaigns 22.11.22'!L421,weekly!$H$2:$H$188,0))</f>
        <v>0</v>
      </c>
      <c r="H421">
        <f>INDEX(weekly!$D$2:$D$188,MATCH('Marketing Campaigns 22.11.22'!L421,weekly!$H$2:$H$188,0))</f>
        <v>0</v>
      </c>
      <c r="I421">
        <f>INDEX(weekly!$F$2:$F$188,MATCH('Marketing Campaigns 22.11.22'!L421,weekly!$H$2:$H$188,0))</f>
        <v>0</v>
      </c>
      <c r="J421">
        <v>0</v>
      </c>
      <c r="K421">
        <v>0</v>
      </c>
      <c r="L421" t="str">
        <f t="shared" si="12"/>
        <v>27-7-2021</v>
      </c>
      <c r="M421">
        <f t="shared" si="13"/>
        <v>2021</v>
      </c>
    </row>
    <row r="422" spans="1:13" x14ac:dyDescent="0.2">
      <c r="A422" s="1">
        <v>44382</v>
      </c>
      <c r="B422">
        <v>27</v>
      </c>
      <c r="C422">
        <v>7</v>
      </c>
      <c r="D422">
        <v>3</v>
      </c>
      <c r="E422" t="s">
        <v>52</v>
      </c>
      <c r="F422">
        <v>0</v>
      </c>
      <c r="G422">
        <f>INDEX(weekly!$E$2:$E$188,MATCH('Marketing Campaigns 22.11.22'!L422,weekly!$H$2:$H$188,0))</f>
        <v>0</v>
      </c>
      <c r="H422">
        <f>INDEX(weekly!$D$2:$D$188,MATCH('Marketing Campaigns 22.11.22'!L422,weekly!$H$2:$H$188,0))</f>
        <v>0</v>
      </c>
      <c r="I422">
        <f>INDEX(weekly!$F$2:$F$188,MATCH('Marketing Campaigns 22.11.22'!L422,weekly!$H$2:$H$188,0))</f>
        <v>0</v>
      </c>
      <c r="J422">
        <v>0</v>
      </c>
      <c r="K422">
        <v>0</v>
      </c>
      <c r="L422" t="str">
        <f t="shared" si="12"/>
        <v>27-7-2021</v>
      </c>
      <c r="M422">
        <f t="shared" si="13"/>
        <v>2021</v>
      </c>
    </row>
    <row r="423" spans="1:13" x14ac:dyDescent="0.2">
      <c r="A423" s="1">
        <v>44389</v>
      </c>
      <c r="B423">
        <v>28</v>
      </c>
      <c r="C423">
        <v>7</v>
      </c>
      <c r="D423">
        <v>3</v>
      </c>
      <c r="E423" t="s">
        <v>24</v>
      </c>
      <c r="F423">
        <v>0</v>
      </c>
      <c r="G423">
        <f>INDEX(weekly!$E$2:$E$188,MATCH('Marketing Campaigns 22.11.22'!L423,weekly!$H$2:$H$188,0))</f>
        <v>0</v>
      </c>
      <c r="H423">
        <f>INDEX(weekly!$D$2:$D$188,MATCH('Marketing Campaigns 22.11.22'!L423,weekly!$H$2:$H$188,0))</f>
        <v>0</v>
      </c>
      <c r="I423">
        <f>INDEX(weekly!$F$2:$F$188,MATCH('Marketing Campaigns 22.11.22'!L423,weekly!$H$2:$H$188,0))</f>
        <v>0</v>
      </c>
      <c r="J423">
        <v>0</v>
      </c>
      <c r="K423">
        <v>0</v>
      </c>
      <c r="L423" t="str">
        <f t="shared" si="12"/>
        <v>28-7-2021</v>
      </c>
      <c r="M423">
        <f t="shared" si="13"/>
        <v>2021</v>
      </c>
    </row>
    <row r="424" spans="1:13" x14ac:dyDescent="0.2">
      <c r="A424" s="1">
        <v>44389</v>
      </c>
      <c r="B424">
        <v>28</v>
      </c>
      <c r="C424">
        <v>7</v>
      </c>
      <c r="D424">
        <v>3</v>
      </c>
      <c r="E424" t="s">
        <v>39</v>
      </c>
      <c r="F424">
        <v>0</v>
      </c>
      <c r="G424">
        <f>INDEX(weekly!$E$2:$E$188,MATCH('Marketing Campaigns 22.11.22'!L424,weekly!$H$2:$H$188,0))</f>
        <v>0</v>
      </c>
      <c r="H424">
        <f>INDEX(weekly!$D$2:$D$188,MATCH('Marketing Campaigns 22.11.22'!L424,weekly!$H$2:$H$188,0))</f>
        <v>0</v>
      </c>
      <c r="I424">
        <f>INDEX(weekly!$F$2:$F$188,MATCH('Marketing Campaigns 22.11.22'!L424,weekly!$H$2:$H$188,0))</f>
        <v>0</v>
      </c>
      <c r="J424">
        <v>0</v>
      </c>
      <c r="K424">
        <v>0</v>
      </c>
      <c r="L424" t="str">
        <f t="shared" si="12"/>
        <v>28-7-2021</v>
      </c>
      <c r="M424">
        <f t="shared" si="13"/>
        <v>2021</v>
      </c>
    </row>
    <row r="425" spans="1:13" x14ac:dyDescent="0.2">
      <c r="A425" s="1">
        <v>44389</v>
      </c>
      <c r="B425">
        <v>28</v>
      </c>
      <c r="C425">
        <v>7</v>
      </c>
      <c r="D425">
        <v>3</v>
      </c>
      <c r="E425" t="s">
        <v>40</v>
      </c>
      <c r="F425">
        <v>0</v>
      </c>
      <c r="G425">
        <f>INDEX(weekly!$E$2:$E$188,MATCH('Marketing Campaigns 22.11.22'!L425,weekly!$H$2:$H$188,0))</f>
        <v>0</v>
      </c>
      <c r="H425">
        <f>INDEX(weekly!$D$2:$D$188,MATCH('Marketing Campaigns 22.11.22'!L425,weekly!$H$2:$H$188,0))</f>
        <v>0</v>
      </c>
      <c r="I425">
        <f>INDEX(weekly!$F$2:$F$188,MATCH('Marketing Campaigns 22.11.22'!L425,weekly!$H$2:$H$188,0))</f>
        <v>0</v>
      </c>
      <c r="J425">
        <v>0</v>
      </c>
      <c r="K425">
        <v>0</v>
      </c>
      <c r="L425" t="str">
        <f t="shared" si="12"/>
        <v>28-7-2021</v>
      </c>
      <c r="M425">
        <f t="shared" si="13"/>
        <v>2021</v>
      </c>
    </row>
    <row r="426" spans="1:13" x14ac:dyDescent="0.2">
      <c r="A426" s="1">
        <v>44389</v>
      </c>
      <c r="B426">
        <v>28</v>
      </c>
      <c r="C426">
        <v>7</v>
      </c>
      <c r="D426">
        <v>3</v>
      </c>
      <c r="E426" t="s">
        <v>41</v>
      </c>
      <c r="F426">
        <v>0</v>
      </c>
      <c r="G426">
        <f>INDEX(weekly!$E$2:$E$188,MATCH('Marketing Campaigns 22.11.22'!L426,weekly!$H$2:$H$188,0))</f>
        <v>0</v>
      </c>
      <c r="H426">
        <f>INDEX(weekly!$D$2:$D$188,MATCH('Marketing Campaigns 22.11.22'!L426,weekly!$H$2:$H$188,0))</f>
        <v>0</v>
      </c>
      <c r="I426">
        <f>INDEX(weekly!$F$2:$F$188,MATCH('Marketing Campaigns 22.11.22'!L426,weekly!$H$2:$H$188,0))</f>
        <v>0</v>
      </c>
      <c r="J426">
        <v>0</v>
      </c>
      <c r="K426">
        <v>0</v>
      </c>
      <c r="L426" t="str">
        <f t="shared" si="12"/>
        <v>28-7-2021</v>
      </c>
      <c r="M426">
        <f t="shared" si="13"/>
        <v>2021</v>
      </c>
    </row>
    <row r="427" spans="1:13" x14ac:dyDescent="0.2">
      <c r="A427" s="1">
        <v>44389</v>
      </c>
      <c r="B427">
        <v>28</v>
      </c>
      <c r="C427">
        <v>7</v>
      </c>
      <c r="D427">
        <v>3</v>
      </c>
      <c r="E427" t="s">
        <v>42</v>
      </c>
      <c r="F427">
        <v>0</v>
      </c>
      <c r="G427">
        <f>INDEX(weekly!$E$2:$E$188,MATCH('Marketing Campaigns 22.11.22'!L427,weekly!$H$2:$H$188,0))</f>
        <v>0</v>
      </c>
      <c r="H427">
        <f>INDEX(weekly!$D$2:$D$188,MATCH('Marketing Campaigns 22.11.22'!L427,weekly!$H$2:$H$188,0))</f>
        <v>0</v>
      </c>
      <c r="I427">
        <f>INDEX(weekly!$F$2:$F$188,MATCH('Marketing Campaigns 22.11.22'!L427,weekly!$H$2:$H$188,0))</f>
        <v>0</v>
      </c>
      <c r="J427">
        <v>0</v>
      </c>
      <c r="K427">
        <v>0</v>
      </c>
      <c r="L427" t="str">
        <f t="shared" si="12"/>
        <v>28-7-2021</v>
      </c>
      <c r="M427">
        <f t="shared" si="13"/>
        <v>2021</v>
      </c>
    </row>
    <row r="428" spans="1:13" x14ac:dyDescent="0.2">
      <c r="A428" s="1">
        <v>44389</v>
      </c>
      <c r="B428">
        <v>28</v>
      </c>
      <c r="C428">
        <v>7</v>
      </c>
      <c r="D428">
        <v>3</v>
      </c>
      <c r="E428" t="s">
        <v>43</v>
      </c>
      <c r="F428">
        <v>0</v>
      </c>
      <c r="G428">
        <f>INDEX(weekly!$E$2:$E$188,MATCH('Marketing Campaigns 22.11.22'!L428,weekly!$H$2:$H$188,0))</f>
        <v>0</v>
      </c>
      <c r="H428">
        <f>INDEX(weekly!$D$2:$D$188,MATCH('Marketing Campaigns 22.11.22'!L428,weekly!$H$2:$H$188,0))</f>
        <v>0</v>
      </c>
      <c r="I428">
        <f>INDEX(weekly!$F$2:$F$188,MATCH('Marketing Campaigns 22.11.22'!L428,weekly!$H$2:$H$188,0))</f>
        <v>0</v>
      </c>
      <c r="J428">
        <v>0</v>
      </c>
      <c r="K428">
        <v>0</v>
      </c>
      <c r="L428" t="str">
        <f t="shared" si="12"/>
        <v>28-7-2021</v>
      </c>
      <c r="M428">
        <f t="shared" si="13"/>
        <v>2021</v>
      </c>
    </row>
    <row r="429" spans="1:13" x14ac:dyDescent="0.2">
      <c r="A429" s="1">
        <v>44389</v>
      </c>
      <c r="B429">
        <v>28</v>
      </c>
      <c r="C429">
        <v>7</v>
      </c>
      <c r="D429">
        <v>3</v>
      </c>
      <c r="E429" t="s">
        <v>44</v>
      </c>
      <c r="F429">
        <v>0</v>
      </c>
      <c r="G429">
        <f>INDEX(weekly!$E$2:$E$188,MATCH('Marketing Campaigns 22.11.22'!L429,weekly!$H$2:$H$188,0))</f>
        <v>0</v>
      </c>
      <c r="H429">
        <f>INDEX(weekly!$D$2:$D$188,MATCH('Marketing Campaigns 22.11.22'!L429,weekly!$H$2:$H$188,0))</f>
        <v>0</v>
      </c>
      <c r="I429">
        <f>INDEX(weekly!$F$2:$F$188,MATCH('Marketing Campaigns 22.11.22'!L429,weekly!$H$2:$H$188,0))</f>
        <v>0</v>
      </c>
      <c r="J429">
        <v>0</v>
      </c>
      <c r="K429">
        <v>0</v>
      </c>
      <c r="L429" t="str">
        <f t="shared" si="12"/>
        <v>28-7-2021</v>
      </c>
      <c r="M429">
        <f t="shared" si="13"/>
        <v>2021</v>
      </c>
    </row>
    <row r="430" spans="1:13" x14ac:dyDescent="0.2">
      <c r="A430" s="1">
        <v>44389</v>
      </c>
      <c r="B430">
        <v>28</v>
      </c>
      <c r="C430">
        <v>7</v>
      </c>
      <c r="D430">
        <v>3</v>
      </c>
      <c r="E430" t="s">
        <v>45</v>
      </c>
      <c r="F430">
        <v>0</v>
      </c>
      <c r="G430">
        <f>INDEX(weekly!$E$2:$E$188,MATCH('Marketing Campaigns 22.11.22'!L430,weekly!$H$2:$H$188,0))</f>
        <v>0</v>
      </c>
      <c r="H430">
        <f>INDEX(weekly!$D$2:$D$188,MATCH('Marketing Campaigns 22.11.22'!L430,weekly!$H$2:$H$188,0))</f>
        <v>0</v>
      </c>
      <c r="I430">
        <f>INDEX(weekly!$F$2:$F$188,MATCH('Marketing Campaigns 22.11.22'!L430,weekly!$H$2:$H$188,0))</f>
        <v>0</v>
      </c>
      <c r="J430">
        <v>0</v>
      </c>
      <c r="K430">
        <v>0</v>
      </c>
      <c r="L430" t="str">
        <f t="shared" si="12"/>
        <v>28-7-2021</v>
      </c>
      <c r="M430">
        <f t="shared" si="13"/>
        <v>2021</v>
      </c>
    </row>
    <row r="431" spans="1:13" x14ac:dyDescent="0.2">
      <c r="A431" s="1">
        <v>44389</v>
      </c>
      <c r="B431">
        <v>28</v>
      </c>
      <c r="C431">
        <v>7</v>
      </c>
      <c r="D431">
        <v>3</v>
      </c>
      <c r="E431" t="s">
        <v>46</v>
      </c>
      <c r="F431">
        <v>0</v>
      </c>
      <c r="G431">
        <f>INDEX(weekly!$E$2:$E$188,MATCH('Marketing Campaigns 22.11.22'!L431,weekly!$H$2:$H$188,0))</f>
        <v>0</v>
      </c>
      <c r="H431">
        <f>INDEX(weekly!$D$2:$D$188,MATCH('Marketing Campaigns 22.11.22'!L431,weekly!$H$2:$H$188,0))</f>
        <v>0</v>
      </c>
      <c r="I431">
        <f>INDEX(weekly!$F$2:$F$188,MATCH('Marketing Campaigns 22.11.22'!L431,weekly!$H$2:$H$188,0))</f>
        <v>0</v>
      </c>
      <c r="J431">
        <v>0</v>
      </c>
      <c r="K431">
        <v>0</v>
      </c>
      <c r="L431" t="str">
        <f t="shared" si="12"/>
        <v>28-7-2021</v>
      </c>
      <c r="M431">
        <f t="shared" si="13"/>
        <v>2021</v>
      </c>
    </row>
    <row r="432" spans="1:13" x14ac:dyDescent="0.2">
      <c r="A432" s="1">
        <v>44389</v>
      </c>
      <c r="B432">
        <v>28</v>
      </c>
      <c r="C432">
        <v>7</v>
      </c>
      <c r="D432">
        <v>3</v>
      </c>
      <c r="E432" t="s">
        <v>47</v>
      </c>
      <c r="F432">
        <v>0</v>
      </c>
      <c r="G432">
        <f>INDEX(weekly!$E$2:$E$188,MATCH('Marketing Campaigns 22.11.22'!L432,weekly!$H$2:$H$188,0))</f>
        <v>0</v>
      </c>
      <c r="H432">
        <f>INDEX(weekly!$D$2:$D$188,MATCH('Marketing Campaigns 22.11.22'!L432,weekly!$H$2:$H$188,0))</f>
        <v>0</v>
      </c>
      <c r="I432">
        <f>INDEX(weekly!$F$2:$F$188,MATCH('Marketing Campaigns 22.11.22'!L432,weekly!$H$2:$H$188,0))</f>
        <v>0</v>
      </c>
      <c r="J432">
        <v>0</v>
      </c>
      <c r="K432">
        <v>0</v>
      </c>
      <c r="L432" t="str">
        <f t="shared" si="12"/>
        <v>28-7-2021</v>
      </c>
      <c r="M432">
        <f t="shared" si="13"/>
        <v>2021</v>
      </c>
    </row>
    <row r="433" spans="1:13" x14ac:dyDescent="0.2">
      <c r="A433" s="1">
        <v>44389</v>
      </c>
      <c r="B433">
        <v>28</v>
      </c>
      <c r="C433">
        <v>7</v>
      </c>
      <c r="D433">
        <v>3</v>
      </c>
      <c r="E433" t="s">
        <v>48</v>
      </c>
      <c r="F433">
        <v>0</v>
      </c>
      <c r="G433">
        <f>INDEX(weekly!$E$2:$E$188,MATCH('Marketing Campaigns 22.11.22'!L433,weekly!$H$2:$H$188,0))</f>
        <v>0</v>
      </c>
      <c r="H433">
        <f>INDEX(weekly!$D$2:$D$188,MATCH('Marketing Campaigns 22.11.22'!L433,weekly!$H$2:$H$188,0))</f>
        <v>0</v>
      </c>
      <c r="I433">
        <f>INDEX(weekly!$F$2:$F$188,MATCH('Marketing Campaigns 22.11.22'!L433,weekly!$H$2:$H$188,0))</f>
        <v>0</v>
      </c>
      <c r="J433">
        <v>0</v>
      </c>
      <c r="K433">
        <v>0</v>
      </c>
      <c r="L433" t="str">
        <f t="shared" si="12"/>
        <v>28-7-2021</v>
      </c>
      <c r="M433">
        <f t="shared" si="13"/>
        <v>2021</v>
      </c>
    </row>
    <row r="434" spans="1:13" x14ac:dyDescent="0.2">
      <c r="A434" s="1">
        <v>44389</v>
      </c>
      <c r="B434">
        <v>28</v>
      </c>
      <c r="C434">
        <v>7</v>
      </c>
      <c r="D434">
        <v>3</v>
      </c>
      <c r="E434" t="s">
        <v>49</v>
      </c>
      <c r="F434">
        <v>0</v>
      </c>
      <c r="G434">
        <f>INDEX(weekly!$E$2:$E$188,MATCH('Marketing Campaigns 22.11.22'!L434,weekly!$H$2:$H$188,0))</f>
        <v>0</v>
      </c>
      <c r="H434">
        <f>INDEX(weekly!$D$2:$D$188,MATCH('Marketing Campaigns 22.11.22'!L434,weekly!$H$2:$H$188,0))</f>
        <v>0</v>
      </c>
      <c r="I434">
        <f>INDEX(weekly!$F$2:$F$188,MATCH('Marketing Campaigns 22.11.22'!L434,weekly!$H$2:$H$188,0))</f>
        <v>0</v>
      </c>
      <c r="J434">
        <v>0</v>
      </c>
      <c r="K434">
        <v>0</v>
      </c>
      <c r="L434" t="str">
        <f t="shared" si="12"/>
        <v>28-7-2021</v>
      </c>
      <c r="M434">
        <f t="shared" si="13"/>
        <v>2021</v>
      </c>
    </row>
    <row r="435" spans="1:13" x14ac:dyDescent="0.2">
      <c r="A435" s="1">
        <v>44389</v>
      </c>
      <c r="B435">
        <v>28</v>
      </c>
      <c r="C435">
        <v>7</v>
      </c>
      <c r="D435">
        <v>3</v>
      </c>
      <c r="E435" t="s">
        <v>50</v>
      </c>
      <c r="F435">
        <v>0</v>
      </c>
      <c r="G435">
        <f>INDEX(weekly!$E$2:$E$188,MATCH('Marketing Campaigns 22.11.22'!L435,weekly!$H$2:$H$188,0))</f>
        <v>0</v>
      </c>
      <c r="H435">
        <f>INDEX(weekly!$D$2:$D$188,MATCH('Marketing Campaigns 22.11.22'!L435,weekly!$H$2:$H$188,0))</f>
        <v>0</v>
      </c>
      <c r="I435">
        <f>INDEX(weekly!$F$2:$F$188,MATCH('Marketing Campaigns 22.11.22'!L435,weekly!$H$2:$H$188,0))</f>
        <v>0</v>
      </c>
      <c r="J435">
        <v>0</v>
      </c>
      <c r="K435">
        <v>0</v>
      </c>
      <c r="L435" t="str">
        <f t="shared" si="12"/>
        <v>28-7-2021</v>
      </c>
      <c r="M435">
        <f t="shared" si="13"/>
        <v>2021</v>
      </c>
    </row>
    <row r="436" spans="1:13" x14ac:dyDescent="0.2">
      <c r="A436" s="1">
        <v>44389</v>
      </c>
      <c r="B436">
        <v>28</v>
      </c>
      <c r="C436">
        <v>7</v>
      </c>
      <c r="D436">
        <v>3</v>
      </c>
      <c r="E436" t="s">
        <v>51</v>
      </c>
      <c r="F436">
        <v>0</v>
      </c>
      <c r="G436">
        <f>INDEX(weekly!$E$2:$E$188,MATCH('Marketing Campaigns 22.11.22'!L436,weekly!$H$2:$H$188,0))</f>
        <v>0</v>
      </c>
      <c r="H436">
        <f>INDEX(weekly!$D$2:$D$188,MATCH('Marketing Campaigns 22.11.22'!L436,weekly!$H$2:$H$188,0))</f>
        <v>0</v>
      </c>
      <c r="I436">
        <f>INDEX(weekly!$F$2:$F$188,MATCH('Marketing Campaigns 22.11.22'!L436,weekly!$H$2:$H$188,0))</f>
        <v>0</v>
      </c>
      <c r="J436">
        <v>0</v>
      </c>
      <c r="K436">
        <v>0</v>
      </c>
      <c r="L436" t="str">
        <f t="shared" si="12"/>
        <v>28-7-2021</v>
      </c>
      <c r="M436">
        <f t="shared" si="13"/>
        <v>2021</v>
      </c>
    </row>
    <row r="437" spans="1:13" x14ac:dyDescent="0.2">
      <c r="A437" s="1">
        <v>44389</v>
      </c>
      <c r="B437">
        <v>28</v>
      </c>
      <c r="C437">
        <v>7</v>
      </c>
      <c r="D437">
        <v>3</v>
      </c>
      <c r="E437" t="s">
        <v>52</v>
      </c>
      <c r="F437">
        <v>0</v>
      </c>
      <c r="G437">
        <f>INDEX(weekly!$E$2:$E$188,MATCH('Marketing Campaigns 22.11.22'!L437,weekly!$H$2:$H$188,0))</f>
        <v>0</v>
      </c>
      <c r="H437">
        <f>INDEX(weekly!$D$2:$D$188,MATCH('Marketing Campaigns 22.11.22'!L437,weekly!$H$2:$H$188,0))</f>
        <v>0</v>
      </c>
      <c r="I437">
        <f>INDEX(weekly!$F$2:$F$188,MATCH('Marketing Campaigns 22.11.22'!L437,weekly!$H$2:$H$188,0))</f>
        <v>0</v>
      </c>
      <c r="J437">
        <v>0</v>
      </c>
      <c r="K437">
        <v>0</v>
      </c>
      <c r="L437" t="str">
        <f t="shared" si="12"/>
        <v>28-7-2021</v>
      </c>
      <c r="M437">
        <f t="shared" si="13"/>
        <v>2021</v>
      </c>
    </row>
    <row r="438" spans="1:13" x14ac:dyDescent="0.2">
      <c r="A438" s="1">
        <v>44396</v>
      </c>
      <c r="B438">
        <v>29</v>
      </c>
      <c r="C438">
        <v>7</v>
      </c>
      <c r="D438">
        <v>3</v>
      </c>
      <c r="E438" t="s">
        <v>24</v>
      </c>
      <c r="F438">
        <v>0</v>
      </c>
      <c r="G438">
        <f>INDEX(weekly!$E$2:$E$188,MATCH('Marketing Campaigns 22.11.22'!L438,weekly!$H$2:$H$188,0))</f>
        <v>0</v>
      </c>
      <c r="H438">
        <f>INDEX(weekly!$D$2:$D$188,MATCH('Marketing Campaigns 22.11.22'!L438,weekly!$H$2:$H$188,0))</f>
        <v>0</v>
      </c>
      <c r="I438">
        <f>INDEX(weekly!$F$2:$F$188,MATCH('Marketing Campaigns 22.11.22'!L438,weekly!$H$2:$H$188,0))</f>
        <v>0</v>
      </c>
      <c r="J438">
        <v>0</v>
      </c>
      <c r="K438">
        <v>0</v>
      </c>
      <c r="L438" t="str">
        <f t="shared" si="12"/>
        <v>29-7-2021</v>
      </c>
      <c r="M438">
        <f t="shared" si="13"/>
        <v>2021</v>
      </c>
    </row>
    <row r="439" spans="1:13" x14ac:dyDescent="0.2">
      <c r="A439" s="1">
        <v>44396</v>
      </c>
      <c r="B439">
        <v>29</v>
      </c>
      <c r="C439">
        <v>7</v>
      </c>
      <c r="D439">
        <v>3</v>
      </c>
      <c r="E439" t="s">
        <v>39</v>
      </c>
      <c r="F439">
        <v>0</v>
      </c>
      <c r="G439">
        <f>INDEX(weekly!$E$2:$E$188,MATCH('Marketing Campaigns 22.11.22'!L439,weekly!$H$2:$H$188,0))</f>
        <v>0</v>
      </c>
      <c r="H439">
        <f>INDEX(weekly!$D$2:$D$188,MATCH('Marketing Campaigns 22.11.22'!L439,weekly!$H$2:$H$188,0))</f>
        <v>0</v>
      </c>
      <c r="I439">
        <f>INDEX(weekly!$F$2:$F$188,MATCH('Marketing Campaigns 22.11.22'!L439,weekly!$H$2:$H$188,0))</f>
        <v>0</v>
      </c>
      <c r="J439">
        <v>0</v>
      </c>
      <c r="K439">
        <v>0</v>
      </c>
      <c r="L439" t="str">
        <f t="shared" si="12"/>
        <v>29-7-2021</v>
      </c>
      <c r="M439">
        <f t="shared" si="13"/>
        <v>2021</v>
      </c>
    </row>
    <row r="440" spans="1:13" x14ac:dyDescent="0.2">
      <c r="A440" s="1">
        <v>44396</v>
      </c>
      <c r="B440">
        <v>29</v>
      </c>
      <c r="C440">
        <v>7</v>
      </c>
      <c r="D440">
        <v>3</v>
      </c>
      <c r="E440" t="s">
        <v>40</v>
      </c>
      <c r="F440">
        <v>0</v>
      </c>
      <c r="G440">
        <f>INDEX(weekly!$E$2:$E$188,MATCH('Marketing Campaigns 22.11.22'!L440,weekly!$H$2:$H$188,0))</f>
        <v>0</v>
      </c>
      <c r="H440">
        <f>INDEX(weekly!$D$2:$D$188,MATCH('Marketing Campaigns 22.11.22'!L440,weekly!$H$2:$H$188,0))</f>
        <v>0</v>
      </c>
      <c r="I440">
        <f>INDEX(weekly!$F$2:$F$188,MATCH('Marketing Campaigns 22.11.22'!L440,weekly!$H$2:$H$188,0))</f>
        <v>0</v>
      </c>
      <c r="J440">
        <v>0</v>
      </c>
      <c r="K440">
        <v>0</v>
      </c>
      <c r="L440" t="str">
        <f t="shared" si="12"/>
        <v>29-7-2021</v>
      </c>
      <c r="M440">
        <f t="shared" si="13"/>
        <v>2021</v>
      </c>
    </row>
    <row r="441" spans="1:13" x14ac:dyDescent="0.2">
      <c r="A441" s="1">
        <v>44396</v>
      </c>
      <c r="B441">
        <v>29</v>
      </c>
      <c r="C441">
        <v>7</v>
      </c>
      <c r="D441">
        <v>3</v>
      </c>
      <c r="E441" t="s">
        <v>41</v>
      </c>
      <c r="F441">
        <v>0</v>
      </c>
      <c r="G441">
        <f>INDEX(weekly!$E$2:$E$188,MATCH('Marketing Campaigns 22.11.22'!L441,weekly!$H$2:$H$188,0))</f>
        <v>0</v>
      </c>
      <c r="H441">
        <f>INDEX(weekly!$D$2:$D$188,MATCH('Marketing Campaigns 22.11.22'!L441,weekly!$H$2:$H$188,0))</f>
        <v>0</v>
      </c>
      <c r="I441">
        <f>INDEX(weekly!$F$2:$F$188,MATCH('Marketing Campaigns 22.11.22'!L441,weekly!$H$2:$H$188,0))</f>
        <v>0</v>
      </c>
      <c r="J441">
        <v>0</v>
      </c>
      <c r="K441">
        <v>0</v>
      </c>
      <c r="L441" t="str">
        <f t="shared" si="12"/>
        <v>29-7-2021</v>
      </c>
      <c r="M441">
        <f t="shared" si="13"/>
        <v>2021</v>
      </c>
    </row>
    <row r="442" spans="1:13" x14ac:dyDescent="0.2">
      <c r="A442" s="1">
        <v>44396</v>
      </c>
      <c r="B442">
        <v>29</v>
      </c>
      <c r="C442">
        <v>7</v>
      </c>
      <c r="D442">
        <v>3</v>
      </c>
      <c r="E442" t="s">
        <v>42</v>
      </c>
      <c r="F442">
        <v>0</v>
      </c>
      <c r="G442">
        <f>INDEX(weekly!$E$2:$E$188,MATCH('Marketing Campaigns 22.11.22'!L442,weekly!$H$2:$H$188,0))</f>
        <v>0</v>
      </c>
      <c r="H442">
        <f>INDEX(weekly!$D$2:$D$188,MATCH('Marketing Campaigns 22.11.22'!L442,weekly!$H$2:$H$188,0))</f>
        <v>0</v>
      </c>
      <c r="I442">
        <f>INDEX(weekly!$F$2:$F$188,MATCH('Marketing Campaigns 22.11.22'!L442,weekly!$H$2:$H$188,0))</f>
        <v>0</v>
      </c>
      <c r="J442">
        <v>0</v>
      </c>
      <c r="K442">
        <v>0</v>
      </c>
      <c r="L442" t="str">
        <f t="shared" si="12"/>
        <v>29-7-2021</v>
      </c>
      <c r="M442">
        <f t="shared" si="13"/>
        <v>2021</v>
      </c>
    </row>
    <row r="443" spans="1:13" x14ac:dyDescent="0.2">
      <c r="A443" s="1">
        <v>44396</v>
      </c>
      <c r="B443">
        <v>29</v>
      </c>
      <c r="C443">
        <v>7</v>
      </c>
      <c r="D443">
        <v>3</v>
      </c>
      <c r="E443" t="s">
        <v>43</v>
      </c>
      <c r="F443">
        <v>0</v>
      </c>
      <c r="G443">
        <f>INDEX(weekly!$E$2:$E$188,MATCH('Marketing Campaigns 22.11.22'!L443,weekly!$H$2:$H$188,0))</f>
        <v>0</v>
      </c>
      <c r="H443">
        <f>INDEX(weekly!$D$2:$D$188,MATCH('Marketing Campaigns 22.11.22'!L443,weekly!$H$2:$H$188,0))</f>
        <v>0</v>
      </c>
      <c r="I443">
        <f>INDEX(weekly!$F$2:$F$188,MATCH('Marketing Campaigns 22.11.22'!L443,weekly!$H$2:$H$188,0))</f>
        <v>0</v>
      </c>
      <c r="J443">
        <v>0</v>
      </c>
      <c r="K443">
        <v>0</v>
      </c>
      <c r="L443" t="str">
        <f t="shared" si="12"/>
        <v>29-7-2021</v>
      </c>
      <c r="M443">
        <f t="shared" si="13"/>
        <v>2021</v>
      </c>
    </row>
    <row r="444" spans="1:13" x14ac:dyDescent="0.2">
      <c r="A444" s="1">
        <v>44396</v>
      </c>
      <c r="B444">
        <v>29</v>
      </c>
      <c r="C444">
        <v>7</v>
      </c>
      <c r="D444">
        <v>3</v>
      </c>
      <c r="E444" t="s">
        <v>44</v>
      </c>
      <c r="F444">
        <v>0</v>
      </c>
      <c r="G444">
        <f>INDEX(weekly!$E$2:$E$188,MATCH('Marketing Campaigns 22.11.22'!L444,weekly!$H$2:$H$188,0))</f>
        <v>0</v>
      </c>
      <c r="H444">
        <f>INDEX(weekly!$D$2:$D$188,MATCH('Marketing Campaigns 22.11.22'!L444,weekly!$H$2:$H$188,0))</f>
        <v>0</v>
      </c>
      <c r="I444">
        <f>INDEX(weekly!$F$2:$F$188,MATCH('Marketing Campaigns 22.11.22'!L444,weekly!$H$2:$H$188,0))</f>
        <v>0</v>
      </c>
      <c r="J444">
        <v>0</v>
      </c>
      <c r="K444">
        <v>0</v>
      </c>
      <c r="L444" t="str">
        <f t="shared" si="12"/>
        <v>29-7-2021</v>
      </c>
      <c r="M444">
        <f t="shared" si="13"/>
        <v>2021</v>
      </c>
    </row>
    <row r="445" spans="1:13" x14ac:dyDescent="0.2">
      <c r="A445" s="1">
        <v>44396</v>
      </c>
      <c r="B445">
        <v>29</v>
      </c>
      <c r="C445">
        <v>7</v>
      </c>
      <c r="D445">
        <v>3</v>
      </c>
      <c r="E445" t="s">
        <v>45</v>
      </c>
      <c r="F445">
        <v>0</v>
      </c>
      <c r="G445">
        <f>INDEX(weekly!$E$2:$E$188,MATCH('Marketing Campaigns 22.11.22'!L445,weekly!$H$2:$H$188,0))</f>
        <v>0</v>
      </c>
      <c r="H445">
        <f>INDEX(weekly!$D$2:$D$188,MATCH('Marketing Campaigns 22.11.22'!L445,weekly!$H$2:$H$188,0))</f>
        <v>0</v>
      </c>
      <c r="I445">
        <f>INDEX(weekly!$F$2:$F$188,MATCH('Marketing Campaigns 22.11.22'!L445,weekly!$H$2:$H$188,0))</f>
        <v>0</v>
      </c>
      <c r="J445">
        <v>0</v>
      </c>
      <c r="K445">
        <v>0</v>
      </c>
      <c r="L445" t="str">
        <f t="shared" si="12"/>
        <v>29-7-2021</v>
      </c>
      <c r="M445">
        <f t="shared" si="13"/>
        <v>2021</v>
      </c>
    </row>
    <row r="446" spans="1:13" x14ac:dyDescent="0.2">
      <c r="A446" s="1">
        <v>44396</v>
      </c>
      <c r="B446">
        <v>29</v>
      </c>
      <c r="C446">
        <v>7</v>
      </c>
      <c r="D446">
        <v>3</v>
      </c>
      <c r="E446" t="s">
        <v>46</v>
      </c>
      <c r="F446">
        <v>0</v>
      </c>
      <c r="G446">
        <f>INDEX(weekly!$E$2:$E$188,MATCH('Marketing Campaigns 22.11.22'!L446,weekly!$H$2:$H$188,0))</f>
        <v>0</v>
      </c>
      <c r="H446">
        <f>INDEX(weekly!$D$2:$D$188,MATCH('Marketing Campaigns 22.11.22'!L446,weekly!$H$2:$H$188,0))</f>
        <v>0</v>
      </c>
      <c r="I446">
        <f>INDEX(weekly!$F$2:$F$188,MATCH('Marketing Campaigns 22.11.22'!L446,weekly!$H$2:$H$188,0))</f>
        <v>0</v>
      </c>
      <c r="J446">
        <v>0</v>
      </c>
      <c r="K446">
        <v>0</v>
      </c>
      <c r="L446" t="str">
        <f t="shared" si="12"/>
        <v>29-7-2021</v>
      </c>
      <c r="M446">
        <f t="shared" si="13"/>
        <v>2021</v>
      </c>
    </row>
    <row r="447" spans="1:13" x14ac:dyDescent="0.2">
      <c r="A447" s="1">
        <v>44396</v>
      </c>
      <c r="B447">
        <v>29</v>
      </c>
      <c r="C447">
        <v>7</v>
      </c>
      <c r="D447">
        <v>3</v>
      </c>
      <c r="E447" t="s">
        <v>47</v>
      </c>
      <c r="F447">
        <v>0</v>
      </c>
      <c r="G447">
        <f>INDEX(weekly!$E$2:$E$188,MATCH('Marketing Campaigns 22.11.22'!L447,weekly!$H$2:$H$188,0))</f>
        <v>0</v>
      </c>
      <c r="H447">
        <f>INDEX(weekly!$D$2:$D$188,MATCH('Marketing Campaigns 22.11.22'!L447,weekly!$H$2:$H$188,0))</f>
        <v>0</v>
      </c>
      <c r="I447">
        <f>INDEX(weekly!$F$2:$F$188,MATCH('Marketing Campaigns 22.11.22'!L447,weekly!$H$2:$H$188,0))</f>
        <v>0</v>
      </c>
      <c r="J447">
        <v>0</v>
      </c>
      <c r="K447">
        <v>0</v>
      </c>
      <c r="L447" t="str">
        <f t="shared" si="12"/>
        <v>29-7-2021</v>
      </c>
      <c r="M447">
        <f t="shared" si="13"/>
        <v>2021</v>
      </c>
    </row>
    <row r="448" spans="1:13" x14ac:dyDescent="0.2">
      <c r="A448" s="1">
        <v>44396</v>
      </c>
      <c r="B448">
        <v>29</v>
      </c>
      <c r="C448">
        <v>7</v>
      </c>
      <c r="D448">
        <v>3</v>
      </c>
      <c r="E448" t="s">
        <v>48</v>
      </c>
      <c r="F448">
        <v>0</v>
      </c>
      <c r="G448">
        <f>INDEX(weekly!$E$2:$E$188,MATCH('Marketing Campaigns 22.11.22'!L448,weekly!$H$2:$H$188,0))</f>
        <v>0</v>
      </c>
      <c r="H448">
        <f>INDEX(weekly!$D$2:$D$188,MATCH('Marketing Campaigns 22.11.22'!L448,weekly!$H$2:$H$188,0))</f>
        <v>0</v>
      </c>
      <c r="I448">
        <f>INDEX(weekly!$F$2:$F$188,MATCH('Marketing Campaigns 22.11.22'!L448,weekly!$H$2:$H$188,0))</f>
        <v>0</v>
      </c>
      <c r="J448">
        <v>0</v>
      </c>
      <c r="K448">
        <v>0</v>
      </c>
      <c r="L448" t="str">
        <f t="shared" si="12"/>
        <v>29-7-2021</v>
      </c>
      <c r="M448">
        <f t="shared" si="13"/>
        <v>2021</v>
      </c>
    </row>
    <row r="449" spans="1:13" x14ac:dyDescent="0.2">
      <c r="A449" s="1">
        <v>44396</v>
      </c>
      <c r="B449">
        <v>29</v>
      </c>
      <c r="C449">
        <v>7</v>
      </c>
      <c r="D449">
        <v>3</v>
      </c>
      <c r="E449" t="s">
        <v>49</v>
      </c>
      <c r="F449">
        <v>0</v>
      </c>
      <c r="G449">
        <f>INDEX(weekly!$E$2:$E$188,MATCH('Marketing Campaigns 22.11.22'!L449,weekly!$H$2:$H$188,0))</f>
        <v>0</v>
      </c>
      <c r="H449">
        <f>INDEX(weekly!$D$2:$D$188,MATCH('Marketing Campaigns 22.11.22'!L449,weekly!$H$2:$H$188,0))</f>
        <v>0</v>
      </c>
      <c r="I449">
        <f>INDEX(weekly!$F$2:$F$188,MATCH('Marketing Campaigns 22.11.22'!L449,weekly!$H$2:$H$188,0))</f>
        <v>0</v>
      </c>
      <c r="J449">
        <v>0</v>
      </c>
      <c r="K449">
        <v>0</v>
      </c>
      <c r="L449" t="str">
        <f t="shared" si="12"/>
        <v>29-7-2021</v>
      </c>
      <c r="M449">
        <f t="shared" si="13"/>
        <v>2021</v>
      </c>
    </row>
    <row r="450" spans="1:13" x14ac:dyDescent="0.2">
      <c r="A450" s="1">
        <v>44396</v>
      </c>
      <c r="B450">
        <v>29</v>
      </c>
      <c r="C450">
        <v>7</v>
      </c>
      <c r="D450">
        <v>3</v>
      </c>
      <c r="E450" t="s">
        <v>50</v>
      </c>
      <c r="F450">
        <v>0</v>
      </c>
      <c r="G450">
        <f>INDEX(weekly!$E$2:$E$188,MATCH('Marketing Campaigns 22.11.22'!L450,weekly!$H$2:$H$188,0))</f>
        <v>0</v>
      </c>
      <c r="H450">
        <f>INDEX(weekly!$D$2:$D$188,MATCH('Marketing Campaigns 22.11.22'!L450,weekly!$H$2:$H$188,0))</f>
        <v>0</v>
      </c>
      <c r="I450">
        <f>INDEX(weekly!$F$2:$F$188,MATCH('Marketing Campaigns 22.11.22'!L450,weekly!$H$2:$H$188,0))</f>
        <v>0</v>
      </c>
      <c r="J450">
        <v>0</v>
      </c>
      <c r="K450">
        <v>0</v>
      </c>
      <c r="L450" t="str">
        <f t="shared" si="12"/>
        <v>29-7-2021</v>
      </c>
      <c r="M450">
        <f t="shared" si="13"/>
        <v>2021</v>
      </c>
    </row>
    <row r="451" spans="1:13" x14ac:dyDescent="0.2">
      <c r="A451" s="1">
        <v>44396</v>
      </c>
      <c r="B451">
        <v>29</v>
      </c>
      <c r="C451">
        <v>7</v>
      </c>
      <c r="D451">
        <v>3</v>
      </c>
      <c r="E451" t="s">
        <v>51</v>
      </c>
      <c r="F451">
        <v>0</v>
      </c>
      <c r="G451">
        <f>INDEX(weekly!$E$2:$E$188,MATCH('Marketing Campaigns 22.11.22'!L451,weekly!$H$2:$H$188,0))</f>
        <v>0</v>
      </c>
      <c r="H451">
        <f>INDEX(weekly!$D$2:$D$188,MATCH('Marketing Campaigns 22.11.22'!L451,weekly!$H$2:$H$188,0))</f>
        <v>0</v>
      </c>
      <c r="I451">
        <f>INDEX(weekly!$F$2:$F$188,MATCH('Marketing Campaigns 22.11.22'!L451,weekly!$H$2:$H$188,0))</f>
        <v>0</v>
      </c>
      <c r="J451">
        <v>0</v>
      </c>
      <c r="K451">
        <v>0</v>
      </c>
      <c r="L451" t="str">
        <f t="shared" si="12"/>
        <v>29-7-2021</v>
      </c>
      <c r="M451">
        <f t="shared" si="13"/>
        <v>2021</v>
      </c>
    </row>
    <row r="452" spans="1:13" x14ac:dyDescent="0.2">
      <c r="A452" s="1">
        <v>44396</v>
      </c>
      <c r="B452">
        <v>29</v>
      </c>
      <c r="C452">
        <v>7</v>
      </c>
      <c r="D452">
        <v>3</v>
      </c>
      <c r="E452" t="s">
        <v>52</v>
      </c>
      <c r="F452">
        <v>0</v>
      </c>
      <c r="G452">
        <f>INDEX(weekly!$E$2:$E$188,MATCH('Marketing Campaigns 22.11.22'!L452,weekly!$H$2:$H$188,0))</f>
        <v>0</v>
      </c>
      <c r="H452">
        <f>INDEX(weekly!$D$2:$D$188,MATCH('Marketing Campaigns 22.11.22'!L452,weekly!$H$2:$H$188,0))</f>
        <v>0</v>
      </c>
      <c r="I452">
        <f>INDEX(weekly!$F$2:$F$188,MATCH('Marketing Campaigns 22.11.22'!L452,weekly!$H$2:$H$188,0))</f>
        <v>0</v>
      </c>
      <c r="J452">
        <v>0</v>
      </c>
      <c r="K452">
        <v>0</v>
      </c>
      <c r="L452" t="str">
        <f t="shared" ref="L452:L515" si="14">B452&amp;"-"&amp;C452&amp;"-"&amp;M452</f>
        <v>29-7-2021</v>
      </c>
      <c r="M452">
        <f t="shared" ref="M452:M515" si="15">YEAR(A452)</f>
        <v>2021</v>
      </c>
    </row>
    <row r="453" spans="1:13" x14ac:dyDescent="0.2">
      <c r="A453" s="1">
        <v>44403</v>
      </c>
      <c r="B453">
        <v>30</v>
      </c>
      <c r="C453">
        <v>7</v>
      </c>
      <c r="D453">
        <v>3</v>
      </c>
      <c r="E453" t="s">
        <v>24</v>
      </c>
      <c r="F453">
        <v>0</v>
      </c>
      <c r="G453">
        <f>INDEX(weekly!$E$2:$E$188,MATCH('Marketing Campaigns 22.11.22'!L453,weekly!$H$2:$H$188,0))</f>
        <v>0</v>
      </c>
      <c r="H453">
        <f>INDEX(weekly!$D$2:$D$188,MATCH('Marketing Campaigns 22.11.22'!L453,weekly!$H$2:$H$188,0))</f>
        <v>0</v>
      </c>
      <c r="I453">
        <f>INDEX(weekly!$F$2:$F$188,MATCH('Marketing Campaigns 22.11.22'!L453,weekly!$H$2:$H$188,0))</f>
        <v>0</v>
      </c>
      <c r="J453">
        <v>0</v>
      </c>
      <c r="K453">
        <v>0</v>
      </c>
      <c r="L453" t="str">
        <f t="shared" si="14"/>
        <v>30-7-2021</v>
      </c>
      <c r="M453">
        <f t="shared" si="15"/>
        <v>2021</v>
      </c>
    </row>
    <row r="454" spans="1:13" x14ac:dyDescent="0.2">
      <c r="A454" s="1">
        <v>44403</v>
      </c>
      <c r="B454">
        <v>30</v>
      </c>
      <c r="C454">
        <v>7</v>
      </c>
      <c r="D454">
        <v>3</v>
      </c>
      <c r="E454" t="s">
        <v>39</v>
      </c>
      <c r="F454">
        <v>0</v>
      </c>
      <c r="G454">
        <f>INDEX(weekly!$E$2:$E$188,MATCH('Marketing Campaigns 22.11.22'!L454,weekly!$H$2:$H$188,0))</f>
        <v>0</v>
      </c>
      <c r="H454">
        <f>INDEX(weekly!$D$2:$D$188,MATCH('Marketing Campaigns 22.11.22'!L454,weekly!$H$2:$H$188,0))</f>
        <v>0</v>
      </c>
      <c r="I454">
        <f>INDEX(weekly!$F$2:$F$188,MATCH('Marketing Campaigns 22.11.22'!L454,weekly!$H$2:$H$188,0))</f>
        <v>0</v>
      </c>
      <c r="J454">
        <v>0</v>
      </c>
      <c r="K454">
        <v>0</v>
      </c>
      <c r="L454" t="str">
        <f t="shared" si="14"/>
        <v>30-7-2021</v>
      </c>
      <c r="M454">
        <f t="shared" si="15"/>
        <v>2021</v>
      </c>
    </row>
    <row r="455" spans="1:13" x14ac:dyDescent="0.2">
      <c r="A455" s="1">
        <v>44403</v>
      </c>
      <c r="B455">
        <v>30</v>
      </c>
      <c r="C455">
        <v>7</v>
      </c>
      <c r="D455">
        <v>3</v>
      </c>
      <c r="E455" t="s">
        <v>40</v>
      </c>
      <c r="F455">
        <v>0</v>
      </c>
      <c r="G455">
        <f>INDEX(weekly!$E$2:$E$188,MATCH('Marketing Campaigns 22.11.22'!L455,weekly!$H$2:$H$188,0))</f>
        <v>0</v>
      </c>
      <c r="H455">
        <f>INDEX(weekly!$D$2:$D$188,MATCH('Marketing Campaigns 22.11.22'!L455,weekly!$H$2:$H$188,0))</f>
        <v>0</v>
      </c>
      <c r="I455">
        <f>INDEX(weekly!$F$2:$F$188,MATCH('Marketing Campaigns 22.11.22'!L455,weekly!$H$2:$H$188,0))</f>
        <v>0</v>
      </c>
      <c r="J455">
        <v>0</v>
      </c>
      <c r="K455">
        <v>0</v>
      </c>
      <c r="L455" t="str">
        <f t="shared" si="14"/>
        <v>30-7-2021</v>
      </c>
      <c r="M455">
        <f t="shared" si="15"/>
        <v>2021</v>
      </c>
    </row>
    <row r="456" spans="1:13" x14ac:dyDescent="0.2">
      <c r="A456" s="1">
        <v>44403</v>
      </c>
      <c r="B456">
        <v>30</v>
      </c>
      <c r="C456">
        <v>7</v>
      </c>
      <c r="D456">
        <v>3</v>
      </c>
      <c r="E456" t="s">
        <v>41</v>
      </c>
      <c r="F456">
        <v>0</v>
      </c>
      <c r="G456">
        <f>INDEX(weekly!$E$2:$E$188,MATCH('Marketing Campaigns 22.11.22'!L456,weekly!$H$2:$H$188,0))</f>
        <v>0</v>
      </c>
      <c r="H456">
        <f>INDEX(weekly!$D$2:$D$188,MATCH('Marketing Campaigns 22.11.22'!L456,weekly!$H$2:$H$188,0))</f>
        <v>0</v>
      </c>
      <c r="I456">
        <f>INDEX(weekly!$F$2:$F$188,MATCH('Marketing Campaigns 22.11.22'!L456,weekly!$H$2:$H$188,0))</f>
        <v>0</v>
      </c>
      <c r="J456">
        <v>0</v>
      </c>
      <c r="K456">
        <v>0</v>
      </c>
      <c r="L456" t="str">
        <f t="shared" si="14"/>
        <v>30-7-2021</v>
      </c>
      <c r="M456">
        <f t="shared" si="15"/>
        <v>2021</v>
      </c>
    </row>
    <row r="457" spans="1:13" x14ac:dyDescent="0.2">
      <c r="A457" s="1">
        <v>44403</v>
      </c>
      <c r="B457">
        <v>30</v>
      </c>
      <c r="C457">
        <v>7</v>
      </c>
      <c r="D457">
        <v>3</v>
      </c>
      <c r="E457" t="s">
        <v>42</v>
      </c>
      <c r="F457">
        <v>0</v>
      </c>
      <c r="G457">
        <f>INDEX(weekly!$E$2:$E$188,MATCH('Marketing Campaigns 22.11.22'!L457,weekly!$H$2:$H$188,0))</f>
        <v>0</v>
      </c>
      <c r="H457">
        <f>INDEX(weekly!$D$2:$D$188,MATCH('Marketing Campaigns 22.11.22'!L457,weekly!$H$2:$H$188,0))</f>
        <v>0</v>
      </c>
      <c r="I457">
        <f>INDEX(weekly!$F$2:$F$188,MATCH('Marketing Campaigns 22.11.22'!L457,weekly!$H$2:$H$188,0))</f>
        <v>0</v>
      </c>
      <c r="J457">
        <v>0</v>
      </c>
      <c r="K457">
        <v>0</v>
      </c>
      <c r="L457" t="str">
        <f t="shared" si="14"/>
        <v>30-7-2021</v>
      </c>
      <c r="M457">
        <f t="shared" si="15"/>
        <v>2021</v>
      </c>
    </row>
    <row r="458" spans="1:13" x14ac:dyDescent="0.2">
      <c r="A458" s="1">
        <v>44403</v>
      </c>
      <c r="B458">
        <v>30</v>
      </c>
      <c r="C458">
        <v>7</v>
      </c>
      <c r="D458">
        <v>3</v>
      </c>
      <c r="E458" t="s">
        <v>43</v>
      </c>
      <c r="F458">
        <v>0</v>
      </c>
      <c r="G458">
        <f>INDEX(weekly!$E$2:$E$188,MATCH('Marketing Campaigns 22.11.22'!L458,weekly!$H$2:$H$188,0))</f>
        <v>0</v>
      </c>
      <c r="H458">
        <f>INDEX(weekly!$D$2:$D$188,MATCH('Marketing Campaigns 22.11.22'!L458,weekly!$H$2:$H$188,0))</f>
        <v>0</v>
      </c>
      <c r="I458">
        <f>INDEX(weekly!$F$2:$F$188,MATCH('Marketing Campaigns 22.11.22'!L458,weekly!$H$2:$H$188,0))</f>
        <v>0</v>
      </c>
      <c r="J458">
        <v>0</v>
      </c>
      <c r="K458">
        <v>0</v>
      </c>
      <c r="L458" t="str">
        <f t="shared" si="14"/>
        <v>30-7-2021</v>
      </c>
      <c r="M458">
        <f t="shared" si="15"/>
        <v>2021</v>
      </c>
    </row>
    <row r="459" spans="1:13" x14ac:dyDescent="0.2">
      <c r="A459" s="1">
        <v>44403</v>
      </c>
      <c r="B459">
        <v>30</v>
      </c>
      <c r="C459">
        <v>7</v>
      </c>
      <c r="D459">
        <v>3</v>
      </c>
      <c r="E459" t="s">
        <v>44</v>
      </c>
      <c r="F459">
        <v>0</v>
      </c>
      <c r="G459">
        <f>INDEX(weekly!$E$2:$E$188,MATCH('Marketing Campaigns 22.11.22'!L459,weekly!$H$2:$H$188,0))</f>
        <v>0</v>
      </c>
      <c r="H459">
        <f>INDEX(weekly!$D$2:$D$188,MATCH('Marketing Campaigns 22.11.22'!L459,weekly!$H$2:$H$188,0))</f>
        <v>0</v>
      </c>
      <c r="I459">
        <f>INDEX(weekly!$F$2:$F$188,MATCH('Marketing Campaigns 22.11.22'!L459,weekly!$H$2:$H$188,0))</f>
        <v>0</v>
      </c>
      <c r="J459">
        <v>0</v>
      </c>
      <c r="K459">
        <v>0</v>
      </c>
      <c r="L459" t="str">
        <f t="shared" si="14"/>
        <v>30-7-2021</v>
      </c>
      <c r="M459">
        <f t="shared" si="15"/>
        <v>2021</v>
      </c>
    </row>
    <row r="460" spans="1:13" x14ac:dyDescent="0.2">
      <c r="A460" s="1">
        <v>44403</v>
      </c>
      <c r="B460">
        <v>30</v>
      </c>
      <c r="C460">
        <v>7</v>
      </c>
      <c r="D460">
        <v>3</v>
      </c>
      <c r="E460" t="s">
        <v>45</v>
      </c>
      <c r="F460">
        <v>0</v>
      </c>
      <c r="G460">
        <f>INDEX(weekly!$E$2:$E$188,MATCH('Marketing Campaigns 22.11.22'!L460,weekly!$H$2:$H$188,0))</f>
        <v>0</v>
      </c>
      <c r="H460">
        <f>INDEX(weekly!$D$2:$D$188,MATCH('Marketing Campaigns 22.11.22'!L460,weekly!$H$2:$H$188,0))</f>
        <v>0</v>
      </c>
      <c r="I460">
        <f>INDEX(weekly!$F$2:$F$188,MATCH('Marketing Campaigns 22.11.22'!L460,weekly!$H$2:$H$188,0))</f>
        <v>0</v>
      </c>
      <c r="J460">
        <v>0</v>
      </c>
      <c r="K460">
        <v>0</v>
      </c>
      <c r="L460" t="str">
        <f t="shared" si="14"/>
        <v>30-7-2021</v>
      </c>
      <c r="M460">
        <f t="shared" si="15"/>
        <v>2021</v>
      </c>
    </row>
    <row r="461" spans="1:13" x14ac:dyDescent="0.2">
      <c r="A461" s="1">
        <v>44403</v>
      </c>
      <c r="B461">
        <v>30</v>
      </c>
      <c r="C461">
        <v>7</v>
      </c>
      <c r="D461">
        <v>3</v>
      </c>
      <c r="E461" t="s">
        <v>46</v>
      </c>
      <c r="F461">
        <v>0</v>
      </c>
      <c r="G461">
        <f>INDEX(weekly!$E$2:$E$188,MATCH('Marketing Campaigns 22.11.22'!L461,weekly!$H$2:$H$188,0))</f>
        <v>0</v>
      </c>
      <c r="H461">
        <f>INDEX(weekly!$D$2:$D$188,MATCH('Marketing Campaigns 22.11.22'!L461,weekly!$H$2:$H$188,0))</f>
        <v>0</v>
      </c>
      <c r="I461">
        <f>INDEX(weekly!$F$2:$F$188,MATCH('Marketing Campaigns 22.11.22'!L461,weekly!$H$2:$H$188,0))</f>
        <v>0</v>
      </c>
      <c r="J461">
        <v>0</v>
      </c>
      <c r="K461">
        <v>0</v>
      </c>
      <c r="L461" t="str">
        <f t="shared" si="14"/>
        <v>30-7-2021</v>
      </c>
      <c r="M461">
        <f t="shared" si="15"/>
        <v>2021</v>
      </c>
    </row>
    <row r="462" spans="1:13" x14ac:dyDescent="0.2">
      <c r="A462" s="1">
        <v>44403</v>
      </c>
      <c r="B462">
        <v>30</v>
      </c>
      <c r="C462">
        <v>7</v>
      </c>
      <c r="D462">
        <v>3</v>
      </c>
      <c r="E462" t="s">
        <v>47</v>
      </c>
      <c r="F462">
        <v>0</v>
      </c>
      <c r="G462">
        <f>INDEX(weekly!$E$2:$E$188,MATCH('Marketing Campaigns 22.11.22'!L462,weekly!$H$2:$H$188,0))</f>
        <v>0</v>
      </c>
      <c r="H462">
        <f>INDEX(weekly!$D$2:$D$188,MATCH('Marketing Campaigns 22.11.22'!L462,weekly!$H$2:$H$188,0))</f>
        <v>0</v>
      </c>
      <c r="I462">
        <f>INDEX(weekly!$F$2:$F$188,MATCH('Marketing Campaigns 22.11.22'!L462,weekly!$H$2:$H$188,0))</f>
        <v>0</v>
      </c>
      <c r="J462">
        <v>0</v>
      </c>
      <c r="K462">
        <v>0</v>
      </c>
      <c r="L462" t="str">
        <f t="shared" si="14"/>
        <v>30-7-2021</v>
      </c>
      <c r="M462">
        <f t="shared" si="15"/>
        <v>2021</v>
      </c>
    </row>
    <row r="463" spans="1:13" x14ac:dyDescent="0.2">
      <c r="A463" s="1">
        <v>44403</v>
      </c>
      <c r="B463">
        <v>30</v>
      </c>
      <c r="C463">
        <v>7</v>
      </c>
      <c r="D463">
        <v>3</v>
      </c>
      <c r="E463" t="s">
        <v>48</v>
      </c>
      <c r="F463">
        <v>0</v>
      </c>
      <c r="G463">
        <f>INDEX(weekly!$E$2:$E$188,MATCH('Marketing Campaigns 22.11.22'!L463,weekly!$H$2:$H$188,0))</f>
        <v>0</v>
      </c>
      <c r="H463">
        <f>INDEX(weekly!$D$2:$D$188,MATCH('Marketing Campaigns 22.11.22'!L463,weekly!$H$2:$H$188,0))</f>
        <v>0</v>
      </c>
      <c r="I463">
        <f>INDEX(weekly!$F$2:$F$188,MATCH('Marketing Campaigns 22.11.22'!L463,weekly!$H$2:$H$188,0))</f>
        <v>0</v>
      </c>
      <c r="J463">
        <v>0</v>
      </c>
      <c r="K463">
        <v>0</v>
      </c>
      <c r="L463" t="str">
        <f t="shared" si="14"/>
        <v>30-7-2021</v>
      </c>
      <c r="M463">
        <f t="shared" si="15"/>
        <v>2021</v>
      </c>
    </row>
    <row r="464" spans="1:13" x14ac:dyDescent="0.2">
      <c r="A464" s="1">
        <v>44403</v>
      </c>
      <c r="B464">
        <v>30</v>
      </c>
      <c r="C464">
        <v>7</v>
      </c>
      <c r="D464">
        <v>3</v>
      </c>
      <c r="E464" t="s">
        <v>49</v>
      </c>
      <c r="F464">
        <v>0</v>
      </c>
      <c r="G464">
        <f>INDEX(weekly!$E$2:$E$188,MATCH('Marketing Campaigns 22.11.22'!L464,weekly!$H$2:$H$188,0))</f>
        <v>0</v>
      </c>
      <c r="H464">
        <f>INDEX(weekly!$D$2:$D$188,MATCH('Marketing Campaigns 22.11.22'!L464,weekly!$H$2:$H$188,0))</f>
        <v>0</v>
      </c>
      <c r="I464">
        <f>INDEX(weekly!$F$2:$F$188,MATCH('Marketing Campaigns 22.11.22'!L464,weekly!$H$2:$H$188,0))</f>
        <v>0</v>
      </c>
      <c r="J464">
        <v>0</v>
      </c>
      <c r="K464">
        <v>0</v>
      </c>
      <c r="L464" t="str">
        <f t="shared" si="14"/>
        <v>30-7-2021</v>
      </c>
      <c r="M464">
        <f t="shared" si="15"/>
        <v>2021</v>
      </c>
    </row>
    <row r="465" spans="1:13" x14ac:dyDescent="0.2">
      <c r="A465" s="1">
        <v>44403</v>
      </c>
      <c r="B465">
        <v>30</v>
      </c>
      <c r="C465">
        <v>7</v>
      </c>
      <c r="D465">
        <v>3</v>
      </c>
      <c r="E465" t="s">
        <v>50</v>
      </c>
      <c r="F465">
        <v>0</v>
      </c>
      <c r="G465">
        <f>INDEX(weekly!$E$2:$E$188,MATCH('Marketing Campaigns 22.11.22'!L465,weekly!$H$2:$H$188,0))</f>
        <v>0</v>
      </c>
      <c r="H465">
        <f>INDEX(weekly!$D$2:$D$188,MATCH('Marketing Campaigns 22.11.22'!L465,weekly!$H$2:$H$188,0))</f>
        <v>0</v>
      </c>
      <c r="I465">
        <f>INDEX(weekly!$F$2:$F$188,MATCH('Marketing Campaigns 22.11.22'!L465,weekly!$H$2:$H$188,0))</f>
        <v>0</v>
      </c>
      <c r="J465">
        <v>0</v>
      </c>
      <c r="K465">
        <v>0</v>
      </c>
      <c r="L465" t="str">
        <f t="shared" si="14"/>
        <v>30-7-2021</v>
      </c>
      <c r="M465">
        <f t="shared" si="15"/>
        <v>2021</v>
      </c>
    </row>
    <row r="466" spans="1:13" x14ac:dyDescent="0.2">
      <c r="A466" s="1">
        <v>44403</v>
      </c>
      <c r="B466">
        <v>30</v>
      </c>
      <c r="C466">
        <v>7</v>
      </c>
      <c r="D466">
        <v>3</v>
      </c>
      <c r="E466" t="s">
        <v>51</v>
      </c>
      <c r="F466">
        <v>0</v>
      </c>
      <c r="G466">
        <f>INDEX(weekly!$E$2:$E$188,MATCH('Marketing Campaigns 22.11.22'!L466,weekly!$H$2:$H$188,0))</f>
        <v>0</v>
      </c>
      <c r="H466">
        <f>INDEX(weekly!$D$2:$D$188,MATCH('Marketing Campaigns 22.11.22'!L466,weekly!$H$2:$H$188,0))</f>
        <v>0</v>
      </c>
      <c r="I466">
        <f>INDEX(weekly!$F$2:$F$188,MATCH('Marketing Campaigns 22.11.22'!L466,weekly!$H$2:$H$188,0))</f>
        <v>0</v>
      </c>
      <c r="J466">
        <v>0</v>
      </c>
      <c r="K466">
        <v>0</v>
      </c>
      <c r="L466" t="str">
        <f t="shared" si="14"/>
        <v>30-7-2021</v>
      </c>
      <c r="M466">
        <f t="shared" si="15"/>
        <v>2021</v>
      </c>
    </row>
    <row r="467" spans="1:13" x14ac:dyDescent="0.2">
      <c r="A467" s="1">
        <v>44403</v>
      </c>
      <c r="B467">
        <v>30</v>
      </c>
      <c r="C467">
        <v>7</v>
      </c>
      <c r="D467">
        <v>3</v>
      </c>
      <c r="E467" t="s">
        <v>52</v>
      </c>
      <c r="F467">
        <v>0</v>
      </c>
      <c r="G467">
        <f>INDEX(weekly!$E$2:$E$188,MATCH('Marketing Campaigns 22.11.22'!L467,weekly!$H$2:$H$188,0))</f>
        <v>0</v>
      </c>
      <c r="H467">
        <f>INDEX(weekly!$D$2:$D$188,MATCH('Marketing Campaigns 22.11.22'!L467,weekly!$H$2:$H$188,0))</f>
        <v>0</v>
      </c>
      <c r="I467">
        <f>INDEX(weekly!$F$2:$F$188,MATCH('Marketing Campaigns 22.11.22'!L467,weekly!$H$2:$H$188,0))</f>
        <v>0</v>
      </c>
      <c r="J467">
        <v>0</v>
      </c>
      <c r="K467">
        <v>0</v>
      </c>
      <c r="L467" t="str">
        <f t="shared" si="14"/>
        <v>30-7-2021</v>
      </c>
      <c r="M467">
        <f t="shared" si="15"/>
        <v>2021</v>
      </c>
    </row>
    <row r="468" spans="1:13" x14ac:dyDescent="0.2">
      <c r="A468" s="1">
        <v>44410</v>
      </c>
      <c r="B468">
        <v>31</v>
      </c>
      <c r="C468">
        <v>8</v>
      </c>
      <c r="D468">
        <v>3</v>
      </c>
      <c r="E468" t="s">
        <v>24</v>
      </c>
      <c r="F468">
        <v>0</v>
      </c>
      <c r="G468">
        <f>INDEX(weekly!$E$2:$E$188,MATCH('Marketing Campaigns 22.11.22'!L468,weekly!$H$2:$H$188,0))</f>
        <v>1065.8448387096776</v>
      </c>
      <c r="H468">
        <f>INDEX(weekly!$D$2:$D$188,MATCH('Marketing Campaigns 22.11.22'!L468,weekly!$H$2:$H$188,0))</f>
        <v>409.38709677419359</v>
      </c>
      <c r="I468">
        <f>INDEX(weekly!$F$2:$F$188,MATCH('Marketing Campaigns 22.11.22'!L468,weekly!$H$2:$H$188,0))</f>
        <v>0</v>
      </c>
      <c r="J468">
        <v>0</v>
      </c>
      <c r="K468">
        <v>0</v>
      </c>
      <c r="L468" t="str">
        <f t="shared" si="14"/>
        <v>31-8-2021</v>
      </c>
      <c r="M468">
        <f t="shared" si="15"/>
        <v>2021</v>
      </c>
    </row>
    <row r="469" spans="1:13" x14ac:dyDescent="0.2">
      <c r="A469" s="1">
        <v>44410</v>
      </c>
      <c r="B469">
        <v>31</v>
      </c>
      <c r="C469">
        <v>8</v>
      </c>
      <c r="D469">
        <v>3</v>
      </c>
      <c r="E469" t="s">
        <v>39</v>
      </c>
      <c r="F469">
        <v>0</v>
      </c>
      <c r="G469">
        <f>INDEX(weekly!$E$2:$E$188,MATCH('Marketing Campaigns 22.11.22'!L469,weekly!$H$2:$H$188,0))</f>
        <v>1065.8448387096776</v>
      </c>
      <c r="H469">
        <f>INDEX(weekly!$D$2:$D$188,MATCH('Marketing Campaigns 22.11.22'!L469,weekly!$H$2:$H$188,0))</f>
        <v>409.38709677419359</v>
      </c>
      <c r="I469">
        <f>INDEX(weekly!$F$2:$F$188,MATCH('Marketing Campaigns 22.11.22'!L469,weekly!$H$2:$H$188,0))</f>
        <v>0</v>
      </c>
      <c r="J469">
        <v>0</v>
      </c>
      <c r="K469">
        <v>0</v>
      </c>
      <c r="L469" t="str">
        <f t="shared" si="14"/>
        <v>31-8-2021</v>
      </c>
      <c r="M469">
        <f t="shared" si="15"/>
        <v>2021</v>
      </c>
    </row>
    <row r="470" spans="1:13" x14ac:dyDescent="0.2">
      <c r="A470" s="1">
        <v>44410</v>
      </c>
      <c r="B470">
        <v>31</v>
      </c>
      <c r="C470">
        <v>8</v>
      </c>
      <c r="D470">
        <v>3</v>
      </c>
      <c r="E470" t="s">
        <v>40</v>
      </c>
      <c r="F470">
        <v>0</v>
      </c>
      <c r="G470">
        <f>INDEX(weekly!$E$2:$E$188,MATCH('Marketing Campaigns 22.11.22'!L470,weekly!$H$2:$H$188,0))</f>
        <v>1065.8448387096776</v>
      </c>
      <c r="H470">
        <f>INDEX(weekly!$D$2:$D$188,MATCH('Marketing Campaigns 22.11.22'!L470,weekly!$H$2:$H$188,0))</f>
        <v>409.38709677419359</v>
      </c>
      <c r="I470">
        <f>INDEX(weekly!$F$2:$F$188,MATCH('Marketing Campaigns 22.11.22'!L470,weekly!$H$2:$H$188,0))</f>
        <v>0</v>
      </c>
      <c r="J470">
        <v>0</v>
      </c>
      <c r="K470">
        <v>0</v>
      </c>
      <c r="L470" t="str">
        <f t="shared" si="14"/>
        <v>31-8-2021</v>
      </c>
      <c r="M470">
        <f t="shared" si="15"/>
        <v>2021</v>
      </c>
    </row>
    <row r="471" spans="1:13" x14ac:dyDescent="0.2">
      <c r="A471" s="1">
        <v>44410</v>
      </c>
      <c r="B471">
        <v>31</v>
      </c>
      <c r="C471">
        <v>8</v>
      </c>
      <c r="D471">
        <v>3</v>
      </c>
      <c r="E471" t="s">
        <v>41</v>
      </c>
      <c r="F471">
        <v>0</v>
      </c>
      <c r="G471">
        <f>INDEX(weekly!$E$2:$E$188,MATCH('Marketing Campaigns 22.11.22'!L471,weekly!$H$2:$H$188,0))</f>
        <v>1065.8448387096776</v>
      </c>
      <c r="H471">
        <f>INDEX(weekly!$D$2:$D$188,MATCH('Marketing Campaigns 22.11.22'!L471,weekly!$H$2:$H$188,0))</f>
        <v>409.38709677419359</v>
      </c>
      <c r="I471">
        <f>INDEX(weekly!$F$2:$F$188,MATCH('Marketing Campaigns 22.11.22'!L471,weekly!$H$2:$H$188,0))</f>
        <v>0</v>
      </c>
      <c r="J471">
        <v>0</v>
      </c>
      <c r="K471">
        <v>0</v>
      </c>
      <c r="L471" t="str">
        <f t="shared" si="14"/>
        <v>31-8-2021</v>
      </c>
      <c r="M471">
        <f t="shared" si="15"/>
        <v>2021</v>
      </c>
    </row>
    <row r="472" spans="1:13" x14ac:dyDescent="0.2">
      <c r="A472" s="1">
        <v>44410</v>
      </c>
      <c r="B472">
        <v>31</v>
      </c>
      <c r="C472">
        <v>8</v>
      </c>
      <c r="D472">
        <v>3</v>
      </c>
      <c r="E472" t="s">
        <v>42</v>
      </c>
      <c r="F472">
        <v>0</v>
      </c>
      <c r="G472">
        <f>INDEX(weekly!$E$2:$E$188,MATCH('Marketing Campaigns 22.11.22'!L472,weekly!$H$2:$H$188,0))</f>
        <v>1065.8448387096776</v>
      </c>
      <c r="H472">
        <f>INDEX(weekly!$D$2:$D$188,MATCH('Marketing Campaigns 22.11.22'!L472,weekly!$H$2:$H$188,0))</f>
        <v>409.38709677419359</v>
      </c>
      <c r="I472">
        <f>INDEX(weekly!$F$2:$F$188,MATCH('Marketing Campaigns 22.11.22'!L472,weekly!$H$2:$H$188,0))</f>
        <v>0</v>
      </c>
      <c r="J472">
        <v>0</v>
      </c>
      <c r="K472">
        <v>0</v>
      </c>
      <c r="L472" t="str">
        <f t="shared" si="14"/>
        <v>31-8-2021</v>
      </c>
      <c r="M472">
        <f t="shared" si="15"/>
        <v>2021</v>
      </c>
    </row>
    <row r="473" spans="1:13" x14ac:dyDescent="0.2">
      <c r="A473" s="1">
        <v>44410</v>
      </c>
      <c r="B473">
        <v>31</v>
      </c>
      <c r="C473">
        <v>8</v>
      </c>
      <c r="D473">
        <v>3</v>
      </c>
      <c r="E473" t="s">
        <v>43</v>
      </c>
      <c r="F473">
        <v>0</v>
      </c>
      <c r="G473">
        <f>INDEX(weekly!$E$2:$E$188,MATCH('Marketing Campaigns 22.11.22'!L473,weekly!$H$2:$H$188,0))</f>
        <v>1065.8448387096776</v>
      </c>
      <c r="H473">
        <f>INDEX(weekly!$D$2:$D$188,MATCH('Marketing Campaigns 22.11.22'!L473,weekly!$H$2:$H$188,0))</f>
        <v>409.38709677419359</v>
      </c>
      <c r="I473">
        <f>INDEX(weekly!$F$2:$F$188,MATCH('Marketing Campaigns 22.11.22'!L473,weekly!$H$2:$H$188,0))</f>
        <v>0</v>
      </c>
      <c r="J473">
        <v>0</v>
      </c>
      <c r="K473">
        <v>0</v>
      </c>
      <c r="L473" t="str">
        <f t="shared" si="14"/>
        <v>31-8-2021</v>
      </c>
      <c r="M473">
        <f t="shared" si="15"/>
        <v>2021</v>
      </c>
    </row>
    <row r="474" spans="1:13" x14ac:dyDescent="0.2">
      <c r="A474" s="1">
        <v>44410</v>
      </c>
      <c r="B474">
        <v>31</v>
      </c>
      <c r="C474">
        <v>8</v>
      </c>
      <c r="D474">
        <v>3</v>
      </c>
      <c r="E474" t="s">
        <v>44</v>
      </c>
      <c r="F474">
        <v>0</v>
      </c>
      <c r="G474">
        <f>INDEX(weekly!$E$2:$E$188,MATCH('Marketing Campaigns 22.11.22'!L474,weekly!$H$2:$H$188,0))</f>
        <v>1065.8448387096776</v>
      </c>
      <c r="H474">
        <f>INDEX(weekly!$D$2:$D$188,MATCH('Marketing Campaigns 22.11.22'!L474,weekly!$H$2:$H$188,0))</f>
        <v>409.38709677419359</v>
      </c>
      <c r="I474">
        <f>INDEX(weekly!$F$2:$F$188,MATCH('Marketing Campaigns 22.11.22'!L474,weekly!$H$2:$H$188,0))</f>
        <v>0</v>
      </c>
      <c r="J474">
        <v>0</v>
      </c>
      <c r="K474">
        <v>0</v>
      </c>
      <c r="L474" t="str">
        <f t="shared" si="14"/>
        <v>31-8-2021</v>
      </c>
      <c r="M474">
        <f t="shared" si="15"/>
        <v>2021</v>
      </c>
    </row>
    <row r="475" spans="1:13" x14ac:dyDescent="0.2">
      <c r="A475" s="1">
        <v>44410</v>
      </c>
      <c r="B475">
        <v>31</v>
      </c>
      <c r="C475">
        <v>8</v>
      </c>
      <c r="D475">
        <v>3</v>
      </c>
      <c r="E475" t="s">
        <v>45</v>
      </c>
      <c r="F475">
        <v>0</v>
      </c>
      <c r="G475">
        <f>INDEX(weekly!$E$2:$E$188,MATCH('Marketing Campaigns 22.11.22'!L475,weekly!$H$2:$H$188,0))</f>
        <v>1065.8448387096776</v>
      </c>
      <c r="H475">
        <f>INDEX(weekly!$D$2:$D$188,MATCH('Marketing Campaigns 22.11.22'!L475,weekly!$H$2:$H$188,0))</f>
        <v>409.38709677419359</v>
      </c>
      <c r="I475">
        <f>INDEX(weekly!$F$2:$F$188,MATCH('Marketing Campaigns 22.11.22'!L475,weekly!$H$2:$H$188,0))</f>
        <v>0</v>
      </c>
      <c r="J475">
        <v>0</v>
      </c>
      <c r="K475">
        <v>0</v>
      </c>
      <c r="L475" t="str">
        <f t="shared" si="14"/>
        <v>31-8-2021</v>
      </c>
      <c r="M475">
        <f t="shared" si="15"/>
        <v>2021</v>
      </c>
    </row>
    <row r="476" spans="1:13" x14ac:dyDescent="0.2">
      <c r="A476" s="1">
        <v>44410</v>
      </c>
      <c r="B476">
        <v>31</v>
      </c>
      <c r="C476">
        <v>8</v>
      </c>
      <c r="D476">
        <v>3</v>
      </c>
      <c r="E476" t="s">
        <v>46</v>
      </c>
      <c r="F476">
        <v>0</v>
      </c>
      <c r="G476">
        <f>INDEX(weekly!$E$2:$E$188,MATCH('Marketing Campaigns 22.11.22'!L476,weekly!$H$2:$H$188,0))</f>
        <v>1065.8448387096776</v>
      </c>
      <c r="H476">
        <f>INDEX(weekly!$D$2:$D$188,MATCH('Marketing Campaigns 22.11.22'!L476,weekly!$H$2:$H$188,0))</f>
        <v>409.38709677419359</v>
      </c>
      <c r="I476">
        <f>INDEX(weekly!$F$2:$F$188,MATCH('Marketing Campaigns 22.11.22'!L476,weekly!$H$2:$H$188,0))</f>
        <v>0</v>
      </c>
      <c r="J476">
        <v>0</v>
      </c>
      <c r="K476">
        <v>0</v>
      </c>
      <c r="L476" t="str">
        <f t="shared" si="14"/>
        <v>31-8-2021</v>
      </c>
      <c r="M476">
        <f t="shared" si="15"/>
        <v>2021</v>
      </c>
    </row>
    <row r="477" spans="1:13" x14ac:dyDescent="0.2">
      <c r="A477" s="1">
        <v>44410</v>
      </c>
      <c r="B477">
        <v>31</v>
      </c>
      <c r="C477">
        <v>8</v>
      </c>
      <c r="D477">
        <v>3</v>
      </c>
      <c r="E477" t="s">
        <v>47</v>
      </c>
      <c r="F477">
        <v>0</v>
      </c>
      <c r="G477">
        <f>INDEX(weekly!$E$2:$E$188,MATCH('Marketing Campaigns 22.11.22'!L477,weekly!$H$2:$H$188,0))</f>
        <v>1065.8448387096776</v>
      </c>
      <c r="H477">
        <f>INDEX(weekly!$D$2:$D$188,MATCH('Marketing Campaigns 22.11.22'!L477,weekly!$H$2:$H$188,0))</f>
        <v>409.38709677419359</v>
      </c>
      <c r="I477">
        <f>INDEX(weekly!$F$2:$F$188,MATCH('Marketing Campaigns 22.11.22'!L477,weekly!$H$2:$H$188,0))</f>
        <v>0</v>
      </c>
      <c r="J477">
        <v>0</v>
      </c>
      <c r="K477">
        <v>0</v>
      </c>
      <c r="L477" t="str">
        <f t="shared" si="14"/>
        <v>31-8-2021</v>
      </c>
      <c r="M477">
        <f t="shared" si="15"/>
        <v>2021</v>
      </c>
    </row>
    <row r="478" spans="1:13" x14ac:dyDescent="0.2">
      <c r="A478" s="1">
        <v>44410</v>
      </c>
      <c r="B478">
        <v>31</v>
      </c>
      <c r="C478">
        <v>8</v>
      </c>
      <c r="D478">
        <v>3</v>
      </c>
      <c r="E478" t="s">
        <v>48</v>
      </c>
      <c r="F478">
        <v>0</v>
      </c>
      <c r="G478">
        <f>INDEX(weekly!$E$2:$E$188,MATCH('Marketing Campaigns 22.11.22'!L478,weekly!$H$2:$H$188,0))</f>
        <v>1065.8448387096776</v>
      </c>
      <c r="H478">
        <f>INDEX(weekly!$D$2:$D$188,MATCH('Marketing Campaigns 22.11.22'!L478,weekly!$H$2:$H$188,0))</f>
        <v>409.38709677419359</v>
      </c>
      <c r="I478">
        <f>INDEX(weekly!$F$2:$F$188,MATCH('Marketing Campaigns 22.11.22'!L478,weekly!$H$2:$H$188,0))</f>
        <v>0</v>
      </c>
      <c r="J478">
        <v>0</v>
      </c>
      <c r="K478">
        <v>0</v>
      </c>
      <c r="L478" t="str">
        <f t="shared" si="14"/>
        <v>31-8-2021</v>
      </c>
      <c r="M478">
        <f t="shared" si="15"/>
        <v>2021</v>
      </c>
    </row>
    <row r="479" spans="1:13" x14ac:dyDescent="0.2">
      <c r="A479" s="1">
        <v>44410</v>
      </c>
      <c r="B479">
        <v>31</v>
      </c>
      <c r="C479">
        <v>8</v>
      </c>
      <c r="D479">
        <v>3</v>
      </c>
      <c r="E479" t="s">
        <v>49</v>
      </c>
      <c r="F479">
        <v>0</v>
      </c>
      <c r="G479">
        <f>INDEX(weekly!$E$2:$E$188,MATCH('Marketing Campaigns 22.11.22'!L479,weekly!$H$2:$H$188,0))</f>
        <v>1065.8448387096776</v>
      </c>
      <c r="H479">
        <f>INDEX(weekly!$D$2:$D$188,MATCH('Marketing Campaigns 22.11.22'!L479,weekly!$H$2:$H$188,0))</f>
        <v>409.38709677419359</v>
      </c>
      <c r="I479">
        <f>INDEX(weekly!$F$2:$F$188,MATCH('Marketing Campaigns 22.11.22'!L479,weekly!$H$2:$H$188,0))</f>
        <v>0</v>
      </c>
      <c r="J479">
        <v>0</v>
      </c>
      <c r="K479">
        <v>0</v>
      </c>
      <c r="L479" t="str">
        <f t="shared" si="14"/>
        <v>31-8-2021</v>
      </c>
      <c r="M479">
        <f t="shared" si="15"/>
        <v>2021</v>
      </c>
    </row>
    <row r="480" spans="1:13" x14ac:dyDescent="0.2">
      <c r="A480" s="1">
        <v>44410</v>
      </c>
      <c r="B480">
        <v>31</v>
      </c>
      <c r="C480">
        <v>8</v>
      </c>
      <c r="D480">
        <v>3</v>
      </c>
      <c r="E480" t="s">
        <v>50</v>
      </c>
      <c r="F480">
        <v>0</v>
      </c>
      <c r="G480">
        <f>INDEX(weekly!$E$2:$E$188,MATCH('Marketing Campaigns 22.11.22'!L480,weekly!$H$2:$H$188,0))</f>
        <v>1065.8448387096776</v>
      </c>
      <c r="H480">
        <f>INDEX(weekly!$D$2:$D$188,MATCH('Marketing Campaigns 22.11.22'!L480,weekly!$H$2:$H$188,0))</f>
        <v>409.38709677419359</v>
      </c>
      <c r="I480">
        <f>INDEX(weekly!$F$2:$F$188,MATCH('Marketing Campaigns 22.11.22'!L480,weekly!$H$2:$H$188,0))</f>
        <v>0</v>
      </c>
      <c r="J480">
        <v>0</v>
      </c>
      <c r="K480">
        <v>0</v>
      </c>
      <c r="L480" t="str">
        <f t="shared" si="14"/>
        <v>31-8-2021</v>
      </c>
      <c r="M480">
        <f t="shared" si="15"/>
        <v>2021</v>
      </c>
    </row>
    <row r="481" spans="1:13" x14ac:dyDescent="0.2">
      <c r="A481" s="1">
        <v>44410</v>
      </c>
      <c r="B481">
        <v>31</v>
      </c>
      <c r="C481">
        <v>8</v>
      </c>
      <c r="D481">
        <v>3</v>
      </c>
      <c r="E481" t="s">
        <v>51</v>
      </c>
      <c r="F481">
        <v>0</v>
      </c>
      <c r="G481">
        <f>INDEX(weekly!$E$2:$E$188,MATCH('Marketing Campaigns 22.11.22'!L481,weekly!$H$2:$H$188,0))</f>
        <v>1065.8448387096776</v>
      </c>
      <c r="H481">
        <f>INDEX(weekly!$D$2:$D$188,MATCH('Marketing Campaigns 22.11.22'!L481,weekly!$H$2:$H$188,0))</f>
        <v>409.38709677419359</v>
      </c>
      <c r="I481">
        <f>INDEX(weekly!$F$2:$F$188,MATCH('Marketing Campaigns 22.11.22'!L481,weekly!$H$2:$H$188,0))</f>
        <v>0</v>
      </c>
      <c r="J481">
        <v>0</v>
      </c>
      <c r="K481">
        <v>0</v>
      </c>
      <c r="L481" t="str">
        <f t="shared" si="14"/>
        <v>31-8-2021</v>
      </c>
      <c r="M481">
        <f t="shared" si="15"/>
        <v>2021</v>
      </c>
    </row>
    <row r="482" spans="1:13" x14ac:dyDescent="0.2">
      <c r="A482" s="1">
        <v>44410</v>
      </c>
      <c r="B482">
        <v>31</v>
      </c>
      <c r="C482">
        <v>8</v>
      </c>
      <c r="D482">
        <v>3</v>
      </c>
      <c r="E482" t="s">
        <v>52</v>
      </c>
      <c r="F482">
        <v>0</v>
      </c>
      <c r="G482">
        <f>INDEX(weekly!$E$2:$E$188,MATCH('Marketing Campaigns 22.11.22'!L482,weekly!$H$2:$H$188,0))</f>
        <v>1065.8448387096776</v>
      </c>
      <c r="H482">
        <f>INDEX(weekly!$D$2:$D$188,MATCH('Marketing Campaigns 22.11.22'!L482,weekly!$H$2:$H$188,0))</f>
        <v>409.38709677419359</v>
      </c>
      <c r="I482">
        <f>INDEX(weekly!$F$2:$F$188,MATCH('Marketing Campaigns 22.11.22'!L482,weekly!$H$2:$H$188,0))</f>
        <v>0</v>
      </c>
      <c r="J482">
        <v>0</v>
      </c>
      <c r="K482">
        <v>0</v>
      </c>
      <c r="L482" t="str">
        <f t="shared" si="14"/>
        <v>31-8-2021</v>
      </c>
      <c r="M482">
        <f t="shared" si="15"/>
        <v>2021</v>
      </c>
    </row>
    <row r="483" spans="1:13" x14ac:dyDescent="0.2">
      <c r="A483" s="1">
        <v>44417</v>
      </c>
      <c r="B483">
        <v>32</v>
      </c>
      <c r="C483">
        <v>8</v>
      </c>
      <c r="D483">
        <v>3</v>
      </c>
      <c r="E483" t="s">
        <v>24</v>
      </c>
      <c r="F483">
        <v>0</v>
      </c>
      <c r="G483">
        <f>INDEX(weekly!$E$2:$E$188,MATCH('Marketing Campaigns 22.11.22'!L483,weekly!$H$2:$H$188,0))</f>
        <v>1065.8448387096776</v>
      </c>
      <c r="H483">
        <f>INDEX(weekly!$D$2:$D$188,MATCH('Marketing Campaigns 22.11.22'!L483,weekly!$H$2:$H$188,0))</f>
        <v>409.38709677419359</v>
      </c>
      <c r="I483">
        <f>INDEX(weekly!$F$2:$F$188,MATCH('Marketing Campaigns 22.11.22'!L483,weekly!$H$2:$H$188,0))</f>
        <v>0</v>
      </c>
      <c r="J483">
        <v>0</v>
      </c>
      <c r="K483">
        <v>0</v>
      </c>
      <c r="L483" t="str">
        <f t="shared" si="14"/>
        <v>32-8-2021</v>
      </c>
      <c r="M483">
        <f t="shared" si="15"/>
        <v>2021</v>
      </c>
    </row>
    <row r="484" spans="1:13" x14ac:dyDescent="0.2">
      <c r="A484" s="1">
        <v>44417</v>
      </c>
      <c r="B484">
        <v>32</v>
      </c>
      <c r="C484">
        <v>8</v>
      </c>
      <c r="D484">
        <v>3</v>
      </c>
      <c r="E484" t="s">
        <v>39</v>
      </c>
      <c r="F484">
        <v>0</v>
      </c>
      <c r="G484">
        <f>INDEX(weekly!$E$2:$E$188,MATCH('Marketing Campaigns 22.11.22'!L484,weekly!$H$2:$H$188,0))</f>
        <v>1065.8448387096776</v>
      </c>
      <c r="H484">
        <f>INDEX(weekly!$D$2:$D$188,MATCH('Marketing Campaigns 22.11.22'!L484,weekly!$H$2:$H$188,0))</f>
        <v>409.38709677419359</v>
      </c>
      <c r="I484">
        <f>INDEX(weekly!$F$2:$F$188,MATCH('Marketing Campaigns 22.11.22'!L484,weekly!$H$2:$H$188,0))</f>
        <v>0</v>
      </c>
      <c r="J484">
        <v>0</v>
      </c>
      <c r="K484">
        <v>0</v>
      </c>
      <c r="L484" t="str">
        <f t="shared" si="14"/>
        <v>32-8-2021</v>
      </c>
      <c r="M484">
        <f t="shared" si="15"/>
        <v>2021</v>
      </c>
    </row>
    <row r="485" spans="1:13" x14ac:dyDescent="0.2">
      <c r="A485" s="1">
        <v>44417</v>
      </c>
      <c r="B485">
        <v>32</v>
      </c>
      <c r="C485">
        <v>8</v>
      </c>
      <c r="D485">
        <v>3</v>
      </c>
      <c r="E485" t="s">
        <v>40</v>
      </c>
      <c r="F485">
        <v>0</v>
      </c>
      <c r="G485">
        <f>INDEX(weekly!$E$2:$E$188,MATCH('Marketing Campaigns 22.11.22'!L485,weekly!$H$2:$H$188,0))</f>
        <v>1065.8448387096776</v>
      </c>
      <c r="H485">
        <f>INDEX(weekly!$D$2:$D$188,MATCH('Marketing Campaigns 22.11.22'!L485,weekly!$H$2:$H$188,0))</f>
        <v>409.38709677419359</v>
      </c>
      <c r="I485">
        <f>INDEX(weekly!$F$2:$F$188,MATCH('Marketing Campaigns 22.11.22'!L485,weekly!$H$2:$H$188,0))</f>
        <v>0</v>
      </c>
      <c r="J485">
        <v>0</v>
      </c>
      <c r="K485">
        <v>0</v>
      </c>
      <c r="L485" t="str">
        <f t="shared" si="14"/>
        <v>32-8-2021</v>
      </c>
      <c r="M485">
        <f t="shared" si="15"/>
        <v>2021</v>
      </c>
    </row>
    <row r="486" spans="1:13" x14ac:dyDescent="0.2">
      <c r="A486" s="1">
        <v>44417</v>
      </c>
      <c r="B486">
        <v>32</v>
      </c>
      <c r="C486">
        <v>8</v>
      </c>
      <c r="D486">
        <v>3</v>
      </c>
      <c r="E486" t="s">
        <v>41</v>
      </c>
      <c r="F486">
        <v>0</v>
      </c>
      <c r="G486">
        <f>INDEX(weekly!$E$2:$E$188,MATCH('Marketing Campaigns 22.11.22'!L486,weekly!$H$2:$H$188,0))</f>
        <v>1065.8448387096776</v>
      </c>
      <c r="H486">
        <f>INDEX(weekly!$D$2:$D$188,MATCH('Marketing Campaigns 22.11.22'!L486,weekly!$H$2:$H$188,0))</f>
        <v>409.38709677419359</v>
      </c>
      <c r="I486">
        <f>INDEX(weekly!$F$2:$F$188,MATCH('Marketing Campaigns 22.11.22'!L486,weekly!$H$2:$H$188,0))</f>
        <v>0</v>
      </c>
      <c r="J486">
        <v>0</v>
      </c>
      <c r="K486">
        <v>0</v>
      </c>
      <c r="L486" t="str">
        <f t="shared" si="14"/>
        <v>32-8-2021</v>
      </c>
      <c r="M486">
        <f t="shared" si="15"/>
        <v>2021</v>
      </c>
    </row>
    <row r="487" spans="1:13" x14ac:dyDescent="0.2">
      <c r="A487" s="1">
        <v>44417</v>
      </c>
      <c r="B487">
        <v>32</v>
      </c>
      <c r="C487">
        <v>8</v>
      </c>
      <c r="D487">
        <v>3</v>
      </c>
      <c r="E487" t="s">
        <v>42</v>
      </c>
      <c r="F487">
        <v>0</v>
      </c>
      <c r="G487">
        <f>INDEX(weekly!$E$2:$E$188,MATCH('Marketing Campaigns 22.11.22'!L487,weekly!$H$2:$H$188,0))</f>
        <v>1065.8448387096776</v>
      </c>
      <c r="H487">
        <f>INDEX(weekly!$D$2:$D$188,MATCH('Marketing Campaigns 22.11.22'!L487,weekly!$H$2:$H$188,0))</f>
        <v>409.38709677419359</v>
      </c>
      <c r="I487">
        <f>INDEX(weekly!$F$2:$F$188,MATCH('Marketing Campaigns 22.11.22'!L487,weekly!$H$2:$H$188,0))</f>
        <v>0</v>
      </c>
      <c r="J487">
        <v>0</v>
      </c>
      <c r="K487">
        <v>0</v>
      </c>
      <c r="L487" t="str">
        <f t="shared" si="14"/>
        <v>32-8-2021</v>
      </c>
      <c r="M487">
        <f t="shared" si="15"/>
        <v>2021</v>
      </c>
    </row>
    <row r="488" spans="1:13" x14ac:dyDescent="0.2">
      <c r="A488" s="1">
        <v>44417</v>
      </c>
      <c r="B488">
        <v>32</v>
      </c>
      <c r="C488">
        <v>8</v>
      </c>
      <c r="D488">
        <v>3</v>
      </c>
      <c r="E488" t="s">
        <v>43</v>
      </c>
      <c r="F488">
        <v>0</v>
      </c>
      <c r="G488">
        <f>INDEX(weekly!$E$2:$E$188,MATCH('Marketing Campaigns 22.11.22'!L488,weekly!$H$2:$H$188,0))</f>
        <v>1065.8448387096776</v>
      </c>
      <c r="H488">
        <f>INDEX(weekly!$D$2:$D$188,MATCH('Marketing Campaigns 22.11.22'!L488,weekly!$H$2:$H$188,0))</f>
        <v>409.38709677419359</v>
      </c>
      <c r="I488">
        <f>INDEX(weekly!$F$2:$F$188,MATCH('Marketing Campaigns 22.11.22'!L488,weekly!$H$2:$H$188,0))</f>
        <v>0</v>
      </c>
      <c r="J488">
        <v>0</v>
      </c>
      <c r="K488">
        <v>0</v>
      </c>
      <c r="L488" t="str">
        <f t="shared" si="14"/>
        <v>32-8-2021</v>
      </c>
      <c r="M488">
        <f t="shared" si="15"/>
        <v>2021</v>
      </c>
    </row>
    <row r="489" spans="1:13" x14ac:dyDescent="0.2">
      <c r="A489" s="1">
        <v>44417</v>
      </c>
      <c r="B489">
        <v>32</v>
      </c>
      <c r="C489">
        <v>8</v>
      </c>
      <c r="D489">
        <v>3</v>
      </c>
      <c r="E489" t="s">
        <v>44</v>
      </c>
      <c r="F489">
        <v>0</v>
      </c>
      <c r="G489">
        <f>INDEX(weekly!$E$2:$E$188,MATCH('Marketing Campaigns 22.11.22'!L489,weekly!$H$2:$H$188,0))</f>
        <v>1065.8448387096776</v>
      </c>
      <c r="H489">
        <f>INDEX(weekly!$D$2:$D$188,MATCH('Marketing Campaigns 22.11.22'!L489,weekly!$H$2:$H$188,0))</f>
        <v>409.38709677419359</v>
      </c>
      <c r="I489">
        <f>INDEX(weekly!$F$2:$F$188,MATCH('Marketing Campaigns 22.11.22'!L489,weekly!$H$2:$H$188,0))</f>
        <v>0</v>
      </c>
      <c r="J489">
        <v>0</v>
      </c>
      <c r="K489">
        <v>0</v>
      </c>
      <c r="L489" t="str">
        <f t="shared" si="14"/>
        <v>32-8-2021</v>
      </c>
      <c r="M489">
        <f t="shared" si="15"/>
        <v>2021</v>
      </c>
    </row>
    <row r="490" spans="1:13" x14ac:dyDescent="0.2">
      <c r="A490" s="1">
        <v>44417</v>
      </c>
      <c r="B490">
        <v>32</v>
      </c>
      <c r="C490">
        <v>8</v>
      </c>
      <c r="D490">
        <v>3</v>
      </c>
      <c r="E490" t="s">
        <v>45</v>
      </c>
      <c r="F490">
        <v>0</v>
      </c>
      <c r="G490">
        <f>INDEX(weekly!$E$2:$E$188,MATCH('Marketing Campaigns 22.11.22'!L490,weekly!$H$2:$H$188,0))</f>
        <v>1065.8448387096776</v>
      </c>
      <c r="H490">
        <f>INDEX(weekly!$D$2:$D$188,MATCH('Marketing Campaigns 22.11.22'!L490,weekly!$H$2:$H$188,0))</f>
        <v>409.38709677419359</v>
      </c>
      <c r="I490">
        <f>INDEX(weekly!$F$2:$F$188,MATCH('Marketing Campaigns 22.11.22'!L490,weekly!$H$2:$H$188,0))</f>
        <v>0</v>
      </c>
      <c r="J490">
        <v>0</v>
      </c>
      <c r="K490">
        <v>0</v>
      </c>
      <c r="L490" t="str">
        <f t="shared" si="14"/>
        <v>32-8-2021</v>
      </c>
      <c r="M490">
        <f t="shared" si="15"/>
        <v>2021</v>
      </c>
    </row>
    <row r="491" spans="1:13" x14ac:dyDescent="0.2">
      <c r="A491" s="1">
        <v>44417</v>
      </c>
      <c r="B491">
        <v>32</v>
      </c>
      <c r="C491">
        <v>8</v>
      </c>
      <c r="D491">
        <v>3</v>
      </c>
      <c r="E491" t="s">
        <v>46</v>
      </c>
      <c r="F491">
        <v>0</v>
      </c>
      <c r="G491">
        <f>INDEX(weekly!$E$2:$E$188,MATCH('Marketing Campaigns 22.11.22'!L491,weekly!$H$2:$H$188,0))</f>
        <v>1065.8448387096776</v>
      </c>
      <c r="H491">
        <f>INDEX(weekly!$D$2:$D$188,MATCH('Marketing Campaigns 22.11.22'!L491,weekly!$H$2:$H$188,0))</f>
        <v>409.38709677419359</v>
      </c>
      <c r="I491">
        <f>INDEX(weekly!$F$2:$F$188,MATCH('Marketing Campaigns 22.11.22'!L491,weekly!$H$2:$H$188,0))</f>
        <v>0</v>
      </c>
      <c r="J491">
        <v>0</v>
      </c>
      <c r="K491">
        <v>0</v>
      </c>
      <c r="L491" t="str">
        <f t="shared" si="14"/>
        <v>32-8-2021</v>
      </c>
      <c r="M491">
        <f t="shared" si="15"/>
        <v>2021</v>
      </c>
    </row>
    <row r="492" spans="1:13" x14ac:dyDescent="0.2">
      <c r="A492" s="1">
        <v>44417</v>
      </c>
      <c r="B492">
        <v>32</v>
      </c>
      <c r="C492">
        <v>8</v>
      </c>
      <c r="D492">
        <v>3</v>
      </c>
      <c r="E492" t="s">
        <v>47</v>
      </c>
      <c r="F492">
        <v>0</v>
      </c>
      <c r="G492">
        <f>INDEX(weekly!$E$2:$E$188,MATCH('Marketing Campaigns 22.11.22'!L492,weekly!$H$2:$H$188,0))</f>
        <v>1065.8448387096776</v>
      </c>
      <c r="H492">
        <f>INDEX(weekly!$D$2:$D$188,MATCH('Marketing Campaigns 22.11.22'!L492,weekly!$H$2:$H$188,0))</f>
        <v>409.38709677419359</v>
      </c>
      <c r="I492">
        <f>INDEX(weekly!$F$2:$F$188,MATCH('Marketing Campaigns 22.11.22'!L492,weekly!$H$2:$H$188,0))</f>
        <v>0</v>
      </c>
      <c r="J492">
        <v>0</v>
      </c>
      <c r="K492">
        <v>0</v>
      </c>
      <c r="L492" t="str">
        <f t="shared" si="14"/>
        <v>32-8-2021</v>
      </c>
      <c r="M492">
        <f t="shared" si="15"/>
        <v>2021</v>
      </c>
    </row>
    <row r="493" spans="1:13" x14ac:dyDescent="0.2">
      <c r="A493" s="1">
        <v>44417</v>
      </c>
      <c r="B493">
        <v>32</v>
      </c>
      <c r="C493">
        <v>8</v>
      </c>
      <c r="D493">
        <v>3</v>
      </c>
      <c r="E493" t="s">
        <v>48</v>
      </c>
      <c r="F493">
        <v>0</v>
      </c>
      <c r="G493">
        <f>INDEX(weekly!$E$2:$E$188,MATCH('Marketing Campaigns 22.11.22'!L493,weekly!$H$2:$H$188,0))</f>
        <v>1065.8448387096776</v>
      </c>
      <c r="H493">
        <f>INDEX(weekly!$D$2:$D$188,MATCH('Marketing Campaigns 22.11.22'!L493,weekly!$H$2:$H$188,0))</f>
        <v>409.38709677419359</v>
      </c>
      <c r="I493">
        <f>INDEX(weekly!$F$2:$F$188,MATCH('Marketing Campaigns 22.11.22'!L493,weekly!$H$2:$H$188,0))</f>
        <v>0</v>
      </c>
      <c r="J493">
        <v>0</v>
      </c>
      <c r="K493">
        <v>0</v>
      </c>
      <c r="L493" t="str">
        <f t="shared" si="14"/>
        <v>32-8-2021</v>
      </c>
      <c r="M493">
        <f t="shared" si="15"/>
        <v>2021</v>
      </c>
    </row>
    <row r="494" spans="1:13" x14ac:dyDescent="0.2">
      <c r="A494" s="1">
        <v>44417</v>
      </c>
      <c r="B494">
        <v>32</v>
      </c>
      <c r="C494">
        <v>8</v>
      </c>
      <c r="D494">
        <v>3</v>
      </c>
      <c r="E494" t="s">
        <v>49</v>
      </c>
      <c r="F494">
        <v>0</v>
      </c>
      <c r="G494">
        <f>INDEX(weekly!$E$2:$E$188,MATCH('Marketing Campaigns 22.11.22'!L494,weekly!$H$2:$H$188,0))</f>
        <v>1065.8448387096776</v>
      </c>
      <c r="H494">
        <f>INDEX(weekly!$D$2:$D$188,MATCH('Marketing Campaigns 22.11.22'!L494,weekly!$H$2:$H$188,0))</f>
        <v>409.38709677419359</v>
      </c>
      <c r="I494">
        <f>INDEX(weekly!$F$2:$F$188,MATCH('Marketing Campaigns 22.11.22'!L494,weekly!$H$2:$H$188,0))</f>
        <v>0</v>
      </c>
      <c r="J494">
        <v>0</v>
      </c>
      <c r="K494">
        <v>0</v>
      </c>
      <c r="L494" t="str">
        <f t="shared" si="14"/>
        <v>32-8-2021</v>
      </c>
      <c r="M494">
        <f t="shared" si="15"/>
        <v>2021</v>
      </c>
    </row>
    <row r="495" spans="1:13" x14ac:dyDescent="0.2">
      <c r="A495" s="1">
        <v>44417</v>
      </c>
      <c r="B495">
        <v>32</v>
      </c>
      <c r="C495">
        <v>8</v>
      </c>
      <c r="D495">
        <v>3</v>
      </c>
      <c r="E495" t="s">
        <v>50</v>
      </c>
      <c r="F495">
        <v>0</v>
      </c>
      <c r="G495">
        <f>INDEX(weekly!$E$2:$E$188,MATCH('Marketing Campaigns 22.11.22'!L495,weekly!$H$2:$H$188,0))</f>
        <v>1065.8448387096776</v>
      </c>
      <c r="H495">
        <f>INDEX(weekly!$D$2:$D$188,MATCH('Marketing Campaigns 22.11.22'!L495,weekly!$H$2:$H$188,0))</f>
        <v>409.38709677419359</v>
      </c>
      <c r="I495">
        <f>INDEX(weekly!$F$2:$F$188,MATCH('Marketing Campaigns 22.11.22'!L495,weekly!$H$2:$H$188,0))</f>
        <v>0</v>
      </c>
      <c r="J495">
        <v>0</v>
      </c>
      <c r="K495">
        <v>0</v>
      </c>
      <c r="L495" t="str">
        <f t="shared" si="14"/>
        <v>32-8-2021</v>
      </c>
      <c r="M495">
        <f t="shared" si="15"/>
        <v>2021</v>
      </c>
    </row>
    <row r="496" spans="1:13" x14ac:dyDescent="0.2">
      <c r="A496" s="1">
        <v>44417</v>
      </c>
      <c r="B496">
        <v>32</v>
      </c>
      <c r="C496">
        <v>8</v>
      </c>
      <c r="D496">
        <v>3</v>
      </c>
      <c r="E496" t="s">
        <v>51</v>
      </c>
      <c r="F496">
        <v>0</v>
      </c>
      <c r="G496">
        <f>INDEX(weekly!$E$2:$E$188,MATCH('Marketing Campaigns 22.11.22'!L496,weekly!$H$2:$H$188,0))</f>
        <v>1065.8448387096776</v>
      </c>
      <c r="H496">
        <f>INDEX(weekly!$D$2:$D$188,MATCH('Marketing Campaigns 22.11.22'!L496,weekly!$H$2:$H$188,0))</f>
        <v>409.38709677419359</v>
      </c>
      <c r="I496">
        <f>INDEX(weekly!$F$2:$F$188,MATCH('Marketing Campaigns 22.11.22'!L496,weekly!$H$2:$H$188,0))</f>
        <v>0</v>
      </c>
      <c r="J496">
        <v>0</v>
      </c>
      <c r="K496">
        <v>0</v>
      </c>
      <c r="L496" t="str">
        <f t="shared" si="14"/>
        <v>32-8-2021</v>
      </c>
      <c r="M496">
        <f t="shared" si="15"/>
        <v>2021</v>
      </c>
    </row>
    <row r="497" spans="1:13" x14ac:dyDescent="0.2">
      <c r="A497" s="1">
        <v>44417</v>
      </c>
      <c r="B497">
        <v>32</v>
      </c>
      <c r="C497">
        <v>8</v>
      </c>
      <c r="D497">
        <v>3</v>
      </c>
      <c r="E497" t="s">
        <v>52</v>
      </c>
      <c r="F497">
        <v>0</v>
      </c>
      <c r="G497">
        <f>INDEX(weekly!$E$2:$E$188,MATCH('Marketing Campaigns 22.11.22'!L497,weekly!$H$2:$H$188,0))</f>
        <v>1065.8448387096776</v>
      </c>
      <c r="H497">
        <f>INDEX(weekly!$D$2:$D$188,MATCH('Marketing Campaigns 22.11.22'!L497,weekly!$H$2:$H$188,0))</f>
        <v>409.38709677419359</v>
      </c>
      <c r="I497">
        <f>INDEX(weekly!$F$2:$F$188,MATCH('Marketing Campaigns 22.11.22'!L497,weekly!$H$2:$H$188,0))</f>
        <v>0</v>
      </c>
      <c r="J497">
        <v>0</v>
      </c>
      <c r="K497">
        <v>0</v>
      </c>
      <c r="L497" t="str">
        <f t="shared" si="14"/>
        <v>32-8-2021</v>
      </c>
      <c r="M497">
        <f t="shared" si="15"/>
        <v>2021</v>
      </c>
    </row>
    <row r="498" spans="1:13" x14ac:dyDescent="0.2">
      <c r="A498" s="1">
        <v>44424</v>
      </c>
      <c r="B498">
        <v>33</v>
      </c>
      <c r="C498">
        <v>8</v>
      </c>
      <c r="D498">
        <v>3</v>
      </c>
      <c r="E498" t="s">
        <v>24</v>
      </c>
      <c r="F498">
        <v>0</v>
      </c>
      <c r="G498">
        <f>INDEX(weekly!$E$2:$E$188,MATCH('Marketing Campaigns 22.11.22'!L498,weekly!$H$2:$H$188,0))</f>
        <v>1065.8448387096776</v>
      </c>
      <c r="H498">
        <f>INDEX(weekly!$D$2:$D$188,MATCH('Marketing Campaigns 22.11.22'!L498,weekly!$H$2:$H$188,0))</f>
        <v>409.38709677419359</v>
      </c>
      <c r="I498">
        <f>INDEX(weekly!$F$2:$F$188,MATCH('Marketing Campaigns 22.11.22'!L498,weekly!$H$2:$H$188,0))</f>
        <v>0</v>
      </c>
      <c r="J498">
        <v>0</v>
      </c>
      <c r="K498">
        <v>0</v>
      </c>
      <c r="L498" t="str">
        <f t="shared" si="14"/>
        <v>33-8-2021</v>
      </c>
      <c r="M498">
        <f t="shared" si="15"/>
        <v>2021</v>
      </c>
    </row>
    <row r="499" spans="1:13" x14ac:dyDescent="0.2">
      <c r="A499" s="1">
        <v>44424</v>
      </c>
      <c r="B499">
        <v>33</v>
      </c>
      <c r="C499">
        <v>8</v>
      </c>
      <c r="D499">
        <v>3</v>
      </c>
      <c r="E499" t="s">
        <v>39</v>
      </c>
      <c r="F499">
        <v>0</v>
      </c>
      <c r="G499">
        <f>INDEX(weekly!$E$2:$E$188,MATCH('Marketing Campaigns 22.11.22'!L499,weekly!$H$2:$H$188,0))</f>
        <v>1065.8448387096776</v>
      </c>
      <c r="H499">
        <f>INDEX(weekly!$D$2:$D$188,MATCH('Marketing Campaigns 22.11.22'!L499,weekly!$H$2:$H$188,0))</f>
        <v>409.38709677419359</v>
      </c>
      <c r="I499">
        <f>INDEX(weekly!$F$2:$F$188,MATCH('Marketing Campaigns 22.11.22'!L499,weekly!$H$2:$H$188,0))</f>
        <v>0</v>
      </c>
      <c r="J499">
        <v>0</v>
      </c>
      <c r="K499">
        <v>0</v>
      </c>
      <c r="L499" t="str">
        <f t="shared" si="14"/>
        <v>33-8-2021</v>
      </c>
      <c r="M499">
        <f t="shared" si="15"/>
        <v>2021</v>
      </c>
    </row>
    <row r="500" spans="1:13" x14ac:dyDescent="0.2">
      <c r="A500" s="1">
        <v>44424</v>
      </c>
      <c r="B500">
        <v>33</v>
      </c>
      <c r="C500">
        <v>8</v>
      </c>
      <c r="D500">
        <v>3</v>
      </c>
      <c r="E500" t="s">
        <v>40</v>
      </c>
      <c r="F500">
        <v>0</v>
      </c>
      <c r="G500">
        <f>INDEX(weekly!$E$2:$E$188,MATCH('Marketing Campaigns 22.11.22'!L500,weekly!$H$2:$H$188,0))</f>
        <v>1065.8448387096776</v>
      </c>
      <c r="H500">
        <f>INDEX(weekly!$D$2:$D$188,MATCH('Marketing Campaigns 22.11.22'!L500,weekly!$H$2:$H$188,0))</f>
        <v>409.38709677419359</v>
      </c>
      <c r="I500">
        <f>INDEX(weekly!$F$2:$F$188,MATCH('Marketing Campaigns 22.11.22'!L500,weekly!$H$2:$H$188,0))</f>
        <v>0</v>
      </c>
      <c r="J500">
        <v>0</v>
      </c>
      <c r="K500">
        <v>0</v>
      </c>
      <c r="L500" t="str">
        <f t="shared" si="14"/>
        <v>33-8-2021</v>
      </c>
      <c r="M500">
        <f t="shared" si="15"/>
        <v>2021</v>
      </c>
    </row>
    <row r="501" spans="1:13" x14ac:dyDescent="0.2">
      <c r="A501" s="1">
        <v>44424</v>
      </c>
      <c r="B501">
        <v>33</v>
      </c>
      <c r="C501">
        <v>8</v>
      </c>
      <c r="D501">
        <v>3</v>
      </c>
      <c r="E501" t="s">
        <v>41</v>
      </c>
      <c r="F501">
        <v>0</v>
      </c>
      <c r="G501">
        <f>INDEX(weekly!$E$2:$E$188,MATCH('Marketing Campaigns 22.11.22'!L501,weekly!$H$2:$H$188,0))</f>
        <v>1065.8448387096776</v>
      </c>
      <c r="H501">
        <f>INDEX(weekly!$D$2:$D$188,MATCH('Marketing Campaigns 22.11.22'!L501,weekly!$H$2:$H$188,0))</f>
        <v>409.38709677419359</v>
      </c>
      <c r="I501">
        <f>INDEX(weekly!$F$2:$F$188,MATCH('Marketing Campaigns 22.11.22'!L501,weekly!$H$2:$H$188,0))</f>
        <v>0</v>
      </c>
      <c r="J501">
        <v>0</v>
      </c>
      <c r="K501">
        <v>0</v>
      </c>
      <c r="L501" t="str">
        <f t="shared" si="14"/>
        <v>33-8-2021</v>
      </c>
      <c r="M501">
        <f t="shared" si="15"/>
        <v>2021</v>
      </c>
    </row>
    <row r="502" spans="1:13" x14ac:dyDescent="0.2">
      <c r="A502" s="1">
        <v>44424</v>
      </c>
      <c r="B502">
        <v>33</v>
      </c>
      <c r="C502">
        <v>8</v>
      </c>
      <c r="D502">
        <v>3</v>
      </c>
      <c r="E502" t="s">
        <v>42</v>
      </c>
      <c r="F502">
        <v>0</v>
      </c>
      <c r="G502">
        <f>INDEX(weekly!$E$2:$E$188,MATCH('Marketing Campaigns 22.11.22'!L502,weekly!$H$2:$H$188,0))</f>
        <v>1065.8448387096776</v>
      </c>
      <c r="H502">
        <f>INDEX(weekly!$D$2:$D$188,MATCH('Marketing Campaigns 22.11.22'!L502,weekly!$H$2:$H$188,0))</f>
        <v>409.38709677419359</v>
      </c>
      <c r="I502">
        <f>INDEX(weekly!$F$2:$F$188,MATCH('Marketing Campaigns 22.11.22'!L502,weekly!$H$2:$H$188,0))</f>
        <v>0</v>
      </c>
      <c r="J502">
        <v>0</v>
      </c>
      <c r="K502">
        <v>0</v>
      </c>
      <c r="L502" t="str">
        <f t="shared" si="14"/>
        <v>33-8-2021</v>
      </c>
      <c r="M502">
        <f t="shared" si="15"/>
        <v>2021</v>
      </c>
    </row>
    <row r="503" spans="1:13" x14ac:dyDescent="0.2">
      <c r="A503" s="1">
        <v>44424</v>
      </c>
      <c r="B503">
        <v>33</v>
      </c>
      <c r="C503">
        <v>8</v>
      </c>
      <c r="D503">
        <v>3</v>
      </c>
      <c r="E503" t="s">
        <v>43</v>
      </c>
      <c r="F503">
        <v>0</v>
      </c>
      <c r="G503">
        <f>INDEX(weekly!$E$2:$E$188,MATCH('Marketing Campaigns 22.11.22'!L503,weekly!$H$2:$H$188,0))</f>
        <v>1065.8448387096776</v>
      </c>
      <c r="H503">
        <f>INDEX(weekly!$D$2:$D$188,MATCH('Marketing Campaigns 22.11.22'!L503,weekly!$H$2:$H$188,0))</f>
        <v>409.38709677419359</v>
      </c>
      <c r="I503">
        <f>INDEX(weekly!$F$2:$F$188,MATCH('Marketing Campaigns 22.11.22'!L503,weekly!$H$2:$H$188,0))</f>
        <v>0</v>
      </c>
      <c r="J503">
        <v>0</v>
      </c>
      <c r="K503">
        <v>0</v>
      </c>
      <c r="L503" t="str">
        <f t="shared" si="14"/>
        <v>33-8-2021</v>
      </c>
      <c r="M503">
        <f t="shared" si="15"/>
        <v>2021</v>
      </c>
    </row>
    <row r="504" spans="1:13" x14ac:dyDescent="0.2">
      <c r="A504" s="1">
        <v>44424</v>
      </c>
      <c r="B504">
        <v>33</v>
      </c>
      <c r="C504">
        <v>8</v>
      </c>
      <c r="D504">
        <v>3</v>
      </c>
      <c r="E504" t="s">
        <v>44</v>
      </c>
      <c r="F504">
        <v>0</v>
      </c>
      <c r="G504">
        <f>INDEX(weekly!$E$2:$E$188,MATCH('Marketing Campaigns 22.11.22'!L504,weekly!$H$2:$H$188,0))</f>
        <v>1065.8448387096776</v>
      </c>
      <c r="H504">
        <f>INDEX(weekly!$D$2:$D$188,MATCH('Marketing Campaigns 22.11.22'!L504,weekly!$H$2:$H$188,0))</f>
        <v>409.38709677419359</v>
      </c>
      <c r="I504">
        <f>INDEX(weekly!$F$2:$F$188,MATCH('Marketing Campaigns 22.11.22'!L504,weekly!$H$2:$H$188,0))</f>
        <v>0</v>
      </c>
      <c r="J504">
        <v>0</v>
      </c>
      <c r="K504">
        <v>0</v>
      </c>
      <c r="L504" t="str">
        <f t="shared" si="14"/>
        <v>33-8-2021</v>
      </c>
      <c r="M504">
        <f t="shared" si="15"/>
        <v>2021</v>
      </c>
    </row>
    <row r="505" spans="1:13" x14ac:dyDescent="0.2">
      <c r="A505" s="1">
        <v>44424</v>
      </c>
      <c r="B505">
        <v>33</v>
      </c>
      <c r="C505">
        <v>8</v>
      </c>
      <c r="D505">
        <v>3</v>
      </c>
      <c r="E505" t="s">
        <v>45</v>
      </c>
      <c r="F505">
        <v>0</v>
      </c>
      <c r="G505">
        <f>INDEX(weekly!$E$2:$E$188,MATCH('Marketing Campaigns 22.11.22'!L505,weekly!$H$2:$H$188,0))</f>
        <v>1065.8448387096776</v>
      </c>
      <c r="H505">
        <f>INDEX(weekly!$D$2:$D$188,MATCH('Marketing Campaigns 22.11.22'!L505,weekly!$H$2:$H$188,0))</f>
        <v>409.38709677419359</v>
      </c>
      <c r="I505">
        <f>INDEX(weekly!$F$2:$F$188,MATCH('Marketing Campaigns 22.11.22'!L505,weekly!$H$2:$H$188,0))</f>
        <v>0</v>
      </c>
      <c r="J505">
        <v>0</v>
      </c>
      <c r="K505">
        <v>0</v>
      </c>
      <c r="L505" t="str">
        <f t="shared" si="14"/>
        <v>33-8-2021</v>
      </c>
      <c r="M505">
        <f t="shared" si="15"/>
        <v>2021</v>
      </c>
    </row>
    <row r="506" spans="1:13" x14ac:dyDescent="0.2">
      <c r="A506" s="1">
        <v>44424</v>
      </c>
      <c r="B506">
        <v>33</v>
      </c>
      <c r="C506">
        <v>8</v>
      </c>
      <c r="D506">
        <v>3</v>
      </c>
      <c r="E506" t="s">
        <v>46</v>
      </c>
      <c r="F506">
        <v>0</v>
      </c>
      <c r="G506">
        <f>INDEX(weekly!$E$2:$E$188,MATCH('Marketing Campaigns 22.11.22'!L506,weekly!$H$2:$H$188,0))</f>
        <v>1065.8448387096776</v>
      </c>
      <c r="H506">
        <f>INDEX(weekly!$D$2:$D$188,MATCH('Marketing Campaigns 22.11.22'!L506,weekly!$H$2:$H$188,0))</f>
        <v>409.38709677419359</v>
      </c>
      <c r="I506">
        <f>INDEX(weekly!$F$2:$F$188,MATCH('Marketing Campaigns 22.11.22'!L506,weekly!$H$2:$H$188,0))</f>
        <v>0</v>
      </c>
      <c r="J506">
        <v>0</v>
      </c>
      <c r="K506">
        <v>0</v>
      </c>
      <c r="L506" t="str">
        <f t="shared" si="14"/>
        <v>33-8-2021</v>
      </c>
      <c r="M506">
        <f t="shared" si="15"/>
        <v>2021</v>
      </c>
    </row>
    <row r="507" spans="1:13" x14ac:dyDescent="0.2">
      <c r="A507" s="1">
        <v>44424</v>
      </c>
      <c r="B507">
        <v>33</v>
      </c>
      <c r="C507">
        <v>8</v>
      </c>
      <c r="D507">
        <v>3</v>
      </c>
      <c r="E507" t="s">
        <v>47</v>
      </c>
      <c r="F507">
        <v>0</v>
      </c>
      <c r="G507">
        <f>INDEX(weekly!$E$2:$E$188,MATCH('Marketing Campaigns 22.11.22'!L507,weekly!$H$2:$H$188,0))</f>
        <v>1065.8448387096776</v>
      </c>
      <c r="H507">
        <f>INDEX(weekly!$D$2:$D$188,MATCH('Marketing Campaigns 22.11.22'!L507,weekly!$H$2:$H$188,0))</f>
        <v>409.38709677419359</v>
      </c>
      <c r="I507">
        <f>INDEX(weekly!$F$2:$F$188,MATCH('Marketing Campaigns 22.11.22'!L507,weekly!$H$2:$H$188,0))</f>
        <v>0</v>
      </c>
      <c r="J507">
        <v>0</v>
      </c>
      <c r="K507">
        <v>0</v>
      </c>
      <c r="L507" t="str">
        <f t="shared" si="14"/>
        <v>33-8-2021</v>
      </c>
      <c r="M507">
        <f t="shared" si="15"/>
        <v>2021</v>
      </c>
    </row>
    <row r="508" spans="1:13" x14ac:dyDescent="0.2">
      <c r="A508" s="1">
        <v>44424</v>
      </c>
      <c r="B508">
        <v>33</v>
      </c>
      <c r="C508">
        <v>8</v>
      </c>
      <c r="D508">
        <v>3</v>
      </c>
      <c r="E508" t="s">
        <v>48</v>
      </c>
      <c r="F508">
        <v>0</v>
      </c>
      <c r="G508">
        <f>INDEX(weekly!$E$2:$E$188,MATCH('Marketing Campaigns 22.11.22'!L508,weekly!$H$2:$H$188,0))</f>
        <v>1065.8448387096776</v>
      </c>
      <c r="H508">
        <f>INDEX(weekly!$D$2:$D$188,MATCH('Marketing Campaigns 22.11.22'!L508,weekly!$H$2:$H$188,0))</f>
        <v>409.38709677419359</v>
      </c>
      <c r="I508">
        <f>INDEX(weekly!$F$2:$F$188,MATCH('Marketing Campaigns 22.11.22'!L508,weekly!$H$2:$H$188,0))</f>
        <v>0</v>
      </c>
      <c r="J508">
        <v>0</v>
      </c>
      <c r="K508">
        <v>0</v>
      </c>
      <c r="L508" t="str">
        <f t="shared" si="14"/>
        <v>33-8-2021</v>
      </c>
      <c r="M508">
        <f t="shared" si="15"/>
        <v>2021</v>
      </c>
    </row>
    <row r="509" spans="1:13" x14ac:dyDescent="0.2">
      <c r="A509" s="1">
        <v>44424</v>
      </c>
      <c r="B509">
        <v>33</v>
      </c>
      <c r="C509">
        <v>8</v>
      </c>
      <c r="D509">
        <v>3</v>
      </c>
      <c r="E509" t="s">
        <v>49</v>
      </c>
      <c r="F509">
        <v>0</v>
      </c>
      <c r="G509">
        <f>INDEX(weekly!$E$2:$E$188,MATCH('Marketing Campaigns 22.11.22'!L509,weekly!$H$2:$H$188,0))</f>
        <v>1065.8448387096776</v>
      </c>
      <c r="H509">
        <f>INDEX(weekly!$D$2:$D$188,MATCH('Marketing Campaigns 22.11.22'!L509,weekly!$H$2:$H$188,0))</f>
        <v>409.38709677419359</v>
      </c>
      <c r="I509">
        <f>INDEX(weekly!$F$2:$F$188,MATCH('Marketing Campaigns 22.11.22'!L509,weekly!$H$2:$H$188,0))</f>
        <v>0</v>
      </c>
      <c r="J509">
        <v>0</v>
      </c>
      <c r="K509">
        <v>0</v>
      </c>
      <c r="L509" t="str">
        <f t="shared" si="14"/>
        <v>33-8-2021</v>
      </c>
      <c r="M509">
        <f t="shared" si="15"/>
        <v>2021</v>
      </c>
    </row>
    <row r="510" spans="1:13" x14ac:dyDescent="0.2">
      <c r="A510" s="1">
        <v>44424</v>
      </c>
      <c r="B510">
        <v>33</v>
      </c>
      <c r="C510">
        <v>8</v>
      </c>
      <c r="D510">
        <v>3</v>
      </c>
      <c r="E510" t="s">
        <v>50</v>
      </c>
      <c r="F510">
        <v>0</v>
      </c>
      <c r="G510">
        <f>INDEX(weekly!$E$2:$E$188,MATCH('Marketing Campaigns 22.11.22'!L510,weekly!$H$2:$H$188,0))</f>
        <v>1065.8448387096776</v>
      </c>
      <c r="H510">
        <f>INDEX(weekly!$D$2:$D$188,MATCH('Marketing Campaigns 22.11.22'!L510,weekly!$H$2:$H$188,0))</f>
        <v>409.38709677419359</v>
      </c>
      <c r="I510">
        <f>INDEX(weekly!$F$2:$F$188,MATCH('Marketing Campaigns 22.11.22'!L510,weekly!$H$2:$H$188,0))</f>
        <v>0</v>
      </c>
      <c r="J510">
        <v>0</v>
      </c>
      <c r="K510">
        <v>0</v>
      </c>
      <c r="L510" t="str">
        <f t="shared" si="14"/>
        <v>33-8-2021</v>
      </c>
      <c r="M510">
        <f t="shared" si="15"/>
        <v>2021</v>
      </c>
    </row>
    <row r="511" spans="1:13" x14ac:dyDescent="0.2">
      <c r="A511" s="1">
        <v>44424</v>
      </c>
      <c r="B511">
        <v>33</v>
      </c>
      <c r="C511">
        <v>8</v>
      </c>
      <c r="D511">
        <v>3</v>
      </c>
      <c r="E511" t="s">
        <v>51</v>
      </c>
      <c r="F511">
        <v>0</v>
      </c>
      <c r="G511">
        <f>INDEX(weekly!$E$2:$E$188,MATCH('Marketing Campaigns 22.11.22'!L511,weekly!$H$2:$H$188,0))</f>
        <v>1065.8448387096776</v>
      </c>
      <c r="H511">
        <f>INDEX(weekly!$D$2:$D$188,MATCH('Marketing Campaigns 22.11.22'!L511,weekly!$H$2:$H$188,0))</f>
        <v>409.38709677419359</v>
      </c>
      <c r="I511">
        <f>INDEX(weekly!$F$2:$F$188,MATCH('Marketing Campaigns 22.11.22'!L511,weekly!$H$2:$H$188,0))</f>
        <v>0</v>
      </c>
      <c r="J511">
        <v>0</v>
      </c>
      <c r="K511">
        <v>0</v>
      </c>
      <c r="L511" t="str">
        <f t="shared" si="14"/>
        <v>33-8-2021</v>
      </c>
      <c r="M511">
        <f t="shared" si="15"/>
        <v>2021</v>
      </c>
    </row>
    <row r="512" spans="1:13" x14ac:dyDescent="0.2">
      <c r="A512" s="1">
        <v>44424</v>
      </c>
      <c r="B512">
        <v>33</v>
      </c>
      <c r="C512">
        <v>8</v>
      </c>
      <c r="D512">
        <v>3</v>
      </c>
      <c r="E512" t="s">
        <v>52</v>
      </c>
      <c r="F512">
        <v>0</v>
      </c>
      <c r="G512">
        <f>INDEX(weekly!$E$2:$E$188,MATCH('Marketing Campaigns 22.11.22'!L512,weekly!$H$2:$H$188,0))</f>
        <v>1065.8448387096776</v>
      </c>
      <c r="H512">
        <f>INDEX(weekly!$D$2:$D$188,MATCH('Marketing Campaigns 22.11.22'!L512,weekly!$H$2:$H$188,0))</f>
        <v>409.38709677419359</v>
      </c>
      <c r="I512">
        <f>INDEX(weekly!$F$2:$F$188,MATCH('Marketing Campaigns 22.11.22'!L512,weekly!$H$2:$H$188,0))</f>
        <v>0</v>
      </c>
      <c r="J512">
        <v>0</v>
      </c>
      <c r="K512">
        <v>0</v>
      </c>
      <c r="L512" t="str">
        <f t="shared" si="14"/>
        <v>33-8-2021</v>
      </c>
      <c r="M512">
        <f t="shared" si="15"/>
        <v>2021</v>
      </c>
    </row>
    <row r="513" spans="1:13" x14ac:dyDescent="0.2">
      <c r="A513" s="1">
        <v>44431</v>
      </c>
      <c r="B513">
        <v>34</v>
      </c>
      <c r="C513">
        <v>8</v>
      </c>
      <c r="D513">
        <v>3</v>
      </c>
      <c r="E513" t="s">
        <v>24</v>
      </c>
      <c r="F513">
        <v>0</v>
      </c>
      <c r="G513">
        <f>INDEX(weekly!$E$2:$E$188,MATCH('Marketing Campaigns 22.11.22'!L513,weekly!$H$2:$H$188,0))</f>
        <v>1065.8448387096776</v>
      </c>
      <c r="H513">
        <f>INDEX(weekly!$D$2:$D$188,MATCH('Marketing Campaigns 22.11.22'!L513,weekly!$H$2:$H$188,0))</f>
        <v>409.38709677419359</v>
      </c>
      <c r="I513">
        <f>INDEX(weekly!$F$2:$F$188,MATCH('Marketing Campaigns 22.11.22'!L513,weekly!$H$2:$H$188,0))</f>
        <v>0</v>
      </c>
      <c r="J513">
        <v>0</v>
      </c>
      <c r="K513">
        <v>0</v>
      </c>
      <c r="L513" t="str">
        <f t="shared" si="14"/>
        <v>34-8-2021</v>
      </c>
      <c r="M513">
        <f t="shared" si="15"/>
        <v>2021</v>
      </c>
    </row>
    <row r="514" spans="1:13" x14ac:dyDescent="0.2">
      <c r="A514" s="1">
        <v>44431</v>
      </c>
      <c r="B514">
        <v>34</v>
      </c>
      <c r="C514">
        <v>8</v>
      </c>
      <c r="D514">
        <v>3</v>
      </c>
      <c r="E514" t="s">
        <v>39</v>
      </c>
      <c r="F514">
        <v>0</v>
      </c>
      <c r="G514">
        <f>INDEX(weekly!$E$2:$E$188,MATCH('Marketing Campaigns 22.11.22'!L514,weekly!$H$2:$H$188,0))</f>
        <v>1065.8448387096776</v>
      </c>
      <c r="H514">
        <f>INDEX(weekly!$D$2:$D$188,MATCH('Marketing Campaigns 22.11.22'!L514,weekly!$H$2:$H$188,0))</f>
        <v>409.38709677419359</v>
      </c>
      <c r="I514">
        <f>INDEX(weekly!$F$2:$F$188,MATCH('Marketing Campaigns 22.11.22'!L514,weekly!$H$2:$H$188,0))</f>
        <v>0</v>
      </c>
      <c r="J514">
        <v>0</v>
      </c>
      <c r="K514">
        <v>0</v>
      </c>
      <c r="L514" t="str">
        <f t="shared" si="14"/>
        <v>34-8-2021</v>
      </c>
      <c r="M514">
        <f t="shared" si="15"/>
        <v>2021</v>
      </c>
    </row>
    <row r="515" spans="1:13" x14ac:dyDescent="0.2">
      <c r="A515" s="1">
        <v>44431</v>
      </c>
      <c r="B515">
        <v>34</v>
      </c>
      <c r="C515">
        <v>8</v>
      </c>
      <c r="D515">
        <v>3</v>
      </c>
      <c r="E515" t="s">
        <v>40</v>
      </c>
      <c r="F515">
        <v>0</v>
      </c>
      <c r="G515">
        <f>INDEX(weekly!$E$2:$E$188,MATCH('Marketing Campaigns 22.11.22'!L515,weekly!$H$2:$H$188,0))</f>
        <v>1065.8448387096776</v>
      </c>
      <c r="H515">
        <f>INDEX(weekly!$D$2:$D$188,MATCH('Marketing Campaigns 22.11.22'!L515,weekly!$H$2:$H$188,0))</f>
        <v>409.38709677419359</v>
      </c>
      <c r="I515">
        <f>INDEX(weekly!$F$2:$F$188,MATCH('Marketing Campaigns 22.11.22'!L515,weekly!$H$2:$H$188,0))</f>
        <v>0</v>
      </c>
      <c r="J515">
        <v>0</v>
      </c>
      <c r="K515">
        <v>0</v>
      </c>
      <c r="L515" t="str">
        <f t="shared" si="14"/>
        <v>34-8-2021</v>
      </c>
      <c r="M515">
        <f t="shared" si="15"/>
        <v>2021</v>
      </c>
    </row>
    <row r="516" spans="1:13" x14ac:dyDescent="0.2">
      <c r="A516" s="1">
        <v>44431</v>
      </c>
      <c r="B516">
        <v>34</v>
      </c>
      <c r="C516">
        <v>8</v>
      </c>
      <c r="D516">
        <v>3</v>
      </c>
      <c r="E516" t="s">
        <v>41</v>
      </c>
      <c r="F516">
        <v>0</v>
      </c>
      <c r="G516">
        <f>INDEX(weekly!$E$2:$E$188,MATCH('Marketing Campaigns 22.11.22'!L516,weekly!$H$2:$H$188,0))</f>
        <v>1065.8448387096776</v>
      </c>
      <c r="H516">
        <f>INDEX(weekly!$D$2:$D$188,MATCH('Marketing Campaigns 22.11.22'!L516,weekly!$H$2:$H$188,0))</f>
        <v>409.38709677419359</v>
      </c>
      <c r="I516">
        <f>INDEX(weekly!$F$2:$F$188,MATCH('Marketing Campaigns 22.11.22'!L516,weekly!$H$2:$H$188,0))</f>
        <v>0</v>
      </c>
      <c r="J516">
        <v>0</v>
      </c>
      <c r="K516">
        <v>0</v>
      </c>
      <c r="L516" t="str">
        <f t="shared" ref="L516:L579" si="16">B516&amp;"-"&amp;C516&amp;"-"&amp;M516</f>
        <v>34-8-2021</v>
      </c>
      <c r="M516">
        <f t="shared" ref="M516:M579" si="17">YEAR(A516)</f>
        <v>2021</v>
      </c>
    </row>
    <row r="517" spans="1:13" x14ac:dyDescent="0.2">
      <c r="A517" s="1">
        <v>44431</v>
      </c>
      <c r="B517">
        <v>34</v>
      </c>
      <c r="C517">
        <v>8</v>
      </c>
      <c r="D517">
        <v>3</v>
      </c>
      <c r="E517" t="s">
        <v>42</v>
      </c>
      <c r="F517">
        <v>0</v>
      </c>
      <c r="G517">
        <f>INDEX(weekly!$E$2:$E$188,MATCH('Marketing Campaigns 22.11.22'!L517,weekly!$H$2:$H$188,0))</f>
        <v>1065.8448387096776</v>
      </c>
      <c r="H517">
        <f>INDEX(weekly!$D$2:$D$188,MATCH('Marketing Campaigns 22.11.22'!L517,weekly!$H$2:$H$188,0))</f>
        <v>409.38709677419359</v>
      </c>
      <c r="I517">
        <f>INDEX(weekly!$F$2:$F$188,MATCH('Marketing Campaigns 22.11.22'!L517,weekly!$H$2:$H$188,0))</f>
        <v>0</v>
      </c>
      <c r="J517">
        <v>0</v>
      </c>
      <c r="K517">
        <v>0</v>
      </c>
      <c r="L517" t="str">
        <f t="shared" si="16"/>
        <v>34-8-2021</v>
      </c>
      <c r="M517">
        <f t="shared" si="17"/>
        <v>2021</v>
      </c>
    </row>
    <row r="518" spans="1:13" x14ac:dyDescent="0.2">
      <c r="A518" s="1">
        <v>44431</v>
      </c>
      <c r="B518">
        <v>34</v>
      </c>
      <c r="C518">
        <v>8</v>
      </c>
      <c r="D518">
        <v>3</v>
      </c>
      <c r="E518" t="s">
        <v>43</v>
      </c>
      <c r="F518">
        <v>0</v>
      </c>
      <c r="G518">
        <f>INDEX(weekly!$E$2:$E$188,MATCH('Marketing Campaigns 22.11.22'!L518,weekly!$H$2:$H$188,0))</f>
        <v>1065.8448387096776</v>
      </c>
      <c r="H518">
        <f>INDEX(weekly!$D$2:$D$188,MATCH('Marketing Campaigns 22.11.22'!L518,weekly!$H$2:$H$188,0))</f>
        <v>409.38709677419359</v>
      </c>
      <c r="I518">
        <f>INDEX(weekly!$F$2:$F$188,MATCH('Marketing Campaigns 22.11.22'!L518,weekly!$H$2:$H$188,0))</f>
        <v>0</v>
      </c>
      <c r="J518">
        <v>0</v>
      </c>
      <c r="K518">
        <v>0</v>
      </c>
      <c r="L518" t="str">
        <f t="shared" si="16"/>
        <v>34-8-2021</v>
      </c>
      <c r="M518">
        <f t="shared" si="17"/>
        <v>2021</v>
      </c>
    </row>
    <row r="519" spans="1:13" x14ac:dyDescent="0.2">
      <c r="A519" s="1">
        <v>44431</v>
      </c>
      <c r="B519">
        <v>34</v>
      </c>
      <c r="C519">
        <v>8</v>
      </c>
      <c r="D519">
        <v>3</v>
      </c>
      <c r="E519" t="s">
        <v>44</v>
      </c>
      <c r="F519">
        <v>0</v>
      </c>
      <c r="G519">
        <f>INDEX(weekly!$E$2:$E$188,MATCH('Marketing Campaigns 22.11.22'!L519,weekly!$H$2:$H$188,0))</f>
        <v>1065.8448387096776</v>
      </c>
      <c r="H519">
        <f>INDEX(weekly!$D$2:$D$188,MATCH('Marketing Campaigns 22.11.22'!L519,weekly!$H$2:$H$188,0))</f>
        <v>409.38709677419359</v>
      </c>
      <c r="I519">
        <f>INDEX(weekly!$F$2:$F$188,MATCH('Marketing Campaigns 22.11.22'!L519,weekly!$H$2:$H$188,0))</f>
        <v>0</v>
      </c>
      <c r="J519">
        <v>0</v>
      </c>
      <c r="K519">
        <v>0</v>
      </c>
      <c r="L519" t="str">
        <f t="shared" si="16"/>
        <v>34-8-2021</v>
      </c>
      <c r="M519">
        <f t="shared" si="17"/>
        <v>2021</v>
      </c>
    </row>
    <row r="520" spans="1:13" x14ac:dyDescent="0.2">
      <c r="A520" s="1">
        <v>44431</v>
      </c>
      <c r="B520">
        <v>34</v>
      </c>
      <c r="C520">
        <v>8</v>
      </c>
      <c r="D520">
        <v>3</v>
      </c>
      <c r="E520" t="s">
        <v>45</v>
      </c>
      <c r="F520">
        <v>0</v>
      </c>
      <c r="G520">
        <f>INDEX(weekly!$E$2:$E$188,MATCH('Marketing Campaigns 22.11.22'!L520,weekly!$H$2:$H$188,0))</f>
        <v>1065.8448387096776</v>
      </c>
      <c r="H520">
        <f>INDEX(weekly!$D$2:$D$188,MATCH('Marketing Campaigns 22.11.22'!L520,weekly!$H$2:$H$188,0))</f>
        <v>409.38709677419359</v>
      </c>
      <c r="I520">
        <f>INDEX(weekly!$F$2:$F$188,MATCH('Marketing Campaigns 22.11.22'!L520,weekly!$H$2:$H$188,0))</f>
        <v>0</v>
      </c>
      <c r="J520">
        <v>0</v>
      </c>
      <c r="K520">
        <v>0</v>
      </c>
      <c r="L520" t="str">
        <f t="shared" si="16"/>
        <v>34-8-2021</v>
      </c>
      <c r="M520">
        <f t="shared" si="17"/>
        <v>2021</v>
      </c>
    </row>
    <row r="521" spans="1:13" x14ac:dyDescent="0.2">
      <c r="A521" s="1">
        <v>44431</v>
      </c>
      <c r="B521">
        <v>34</v>
      </c>
      <c r="C521">
        <v>8</v>
      </c>
      <c r="D521">
        <v>3</v>
      </c>
      <c r="E521" t="s">
        <v>46</v>
      </c>
      <c r="F521">
        <v>0</v>
      </c>
      <c r="G521">
        <f>INDEX(weekly!$E$2:$E$188,MATCH('Marketing Campaigns 22.11.22'!L521,weekly!$H$2:$H$188,0))</f>
        <v>1065.8448387096776</v>
      </c>
      <c r="H521">
        <f>INDEX(weekly!$D$2:$D$188,MATCH('Marketing Campaigns 22.11.22'!L521,weekly!$H$2:$H$188,0))</f>
        <v>409.38709677419359</v>
      </c>
      <c r="I521">
        <f>INDEX(weekly!$F$2:$F$188,MATCH('Marketing Campaigns 22.11.22'!L521,weekly!$H$2:$H$188,0))</f>
        <v>0</v>
      </c>
      <c r="J521">
        <v>0</v>
      </c>
      <c r="K521">
        <v>0</v>
      </c>
      <c r="L521" t="str">
        <f t="shared" si="16"/>
        <v>34-8-2021</v>
      </c>
      <c r="M521">
        <f t="shared" si="17"/>
        <v>2021</v>
      </c>
    </row>
    <row r="522" spans="1:13" x14ac:dyDescent="0.2">
      <c r="A522" s="1">
        <v>44431</v>
      </c>
      <c r="B522">
        <v>34</v>
      </c>
      <c r="C522">
        <v>8</v>
      </c>
      <c r="D522">
        <v>3</v>
      </c>
      <c r="E522" t="s">
        <v>47</v>
      </c>
      <c r="F522">
        <v>0</v>
      </c>
      <c r="G522">
        <f>INDEX(weekly!$E$2:$E$188,MATCH('Marketing Campaigns 22.11.22'!L522,weekly!$H$2:$H$188,0))</f>
        <v>1065.8448387096776</v>
      </c>
      <c r="H522">
        <f>INDEX(weekly!$D$2:$D$188,MATCH('Marketing Campaigns 22.11.22'!L522,weekly!$H$2:$H$188,0))</f>
        <v>409.38709677419359</v>
      </c>
      <c r="I522">
        <f>INDEX(weekly!$F$2:$F$188,MATCH('Marketing Campaigns 22.11.22'!L522,weekly!$H$2:$H$188,0))</f>
        <v>0</v>
      </c>
      <c r="J522">
        <v>0</v>
      </c>
      <c r="K522">
        <v>0</v>
      </c>
      <c r="L522" t="str">
        <f t="shared" si="16"/>
        <v>34-8-2021</v>
      </c>
      <c r="M522">
        <f t="shared" si="17"/>
        <v>2021</v>
      </c>
    </row>
    <row r="523" spans="1:13" x14ac:dyDescent="0.2">
      <c r="A523" s="1">
        <v>44431</v>
      </c>
      <c r="B523">
        <v>34</v>
      </c>
      <c r="C523">
        <v>8</v>
      </c>
      <c r="D523">
        <v>3</v>
      </c>
      <c r="E523" t="s">
        <v>48</v>
      </c>
      <c r="F523">
        <v>0</v>
      </c>
      <c r="G523">
        <f>INDEX(weekly!$E$2:$E$188,MATCH('Marketing Campaigns 22.11.22'!L523,weekly!$H$2:$H$188,0))</f>
        <v>1065.8448387096776</v>
      </c>
      <c r="H523">
        <f>INDEX(weekly!$D$2:$D$188,MATCH('Marketing Campaigns 22.11.22'!L523,weekly!$H$2:$H$188,0))</f>
        <v>409.38709677419359</v>
      </c>
      <c r="I523">
        <f>INDEX(weekly!$F$2:$F$188,MATCH('Marketing Campaigns 22.11.22'!L523,weekly!$H$2:$H$188,0))</f>
        <v>0</v>
      </c>
      <c r="J523">
        <v>0</v>
      </c>
      <c r="K523">
        <v>0</v>
      </c>
      <c r="L523" t="str">
        <f t="shared" si="16"/>
        <v>34-8-2021</v>
      </c>
      <c r="M523">
        <f t="shared" si="17"/>
        <v>2021</v>
      </c>
    </row>
    <row r="524" spans="1:13" x14ac:dyDescent="0.2">
      <c r="A524" s="1">
        <v>44431</v>
      </c>
      <c r="B524">
        <v>34</v>
      </c>
      <c r="C524">
        <v>8</v>
      </c>
      <c r="D524">
        <v>3</v>
      </c>
      <c r="E524" t="s">
        <v>49</v>
      </c>
      <c r="F524">
        <v>0</v>
      </c>
      <c r="G524">
        <f>INDEX(weekly!$E$2:$E$188,MATCH('Marketing Campaigns 22.11.22'!L524,weekly!$H$2:$H$188,0))</f>
        <v>1065.8448387096776</v>
      </c>
      <c r="H524">
        <f>INDEX(weekly!$D$2:$D$188,MATCH('Marketing Campaigns 22.11.22'!L524,weekly!$H$2:$H$188,0))</f>
        <v>409.38709677419359</v>
      </c>
      <c r="I524">
        <f>INDEX(weekly!$F$2:$F$188,MATCH('Marketing Campaigns 22.11.22'!L524,weekly!$H$2:$H$188,0))</f>
        <v>0</v>
      </c>
      <c r="J524">
        <v>0</v>
      </c>
      <c r="K524">
        <v>0</v>
      </c>
      <c r="L524" t="str">
        <f t="shared" si="16"/>
        <v>34-8-2021</v>
      </c>
      <c r="M524">
        <f t="shared" si="17"/>
        <v>2021</v>
      </c>
    </row>
    <row r="525" spans="1:13" x14ac:dyDescent="0.2">
      <c r="A525" s="1">
        <v>44431</v>
      </c>
      <c r="B525">
        <v>34</v>
      </c>
      <c r="C525">
        <v>8</v>
      </c>
      <c r="D525">
        <v>3</v>
      </c>
      <c r="E525" t="s">
        <v>50</v>
      </c>
      <c r="F525">
        <v>0</v>
      </c>
      <c r="G525">
        <f>INDEX(weekly!$E$2:$E$188,MATCH('Marketing Campaigns 22.11.22'!L525,weekly!$H$2:$H$188,0))</f>
        <v>1065.8448387096776</v>
      </c>
      <c r="H525">
        <f>INDEX(weekly!$D$2:$D$188,MATCH('Marketing Campaigns 22.11.22'!L525,weekly!$H$2:$H$188,0))</f>
        <v>409.38709677419359</v>
      </c>
      <c r="I525">
        <f>INDEX(weekly!$F$2:$F$188,MATCH('Marketing Campaigns 22.11.22'!L525,weekly!$H$2:$H$188,0))</f>
        <v>0</v>
      </c>
      <c r="J525">
        <v>0</v>
      </c>
      <c r="K525">
        <v>0</v>
      </c>
      <c r="L525" t="str">
        <f t="shared" si="16"/>
        <v>34-8-2021</v>
      </c>
      <c r="M525">
        <f t="shared" si="17"/>
        <v>2021</v>
      </c>
    </row>
    <row r="526" spans="1:13" x14ac:dyDescent="0.2">
      <c r="A526" s="1">
        <v>44431</v>
      </c>
      <c r="B526">
        <v>34</v>
      </c>
      <c r="C526">
        <v>8</v>
      </c>
      <c r="D526">
        <v>3</v>
      </c>
      <c r="E526" t="s">
        <v>51</v>
      </c>
      <c r="F526">
        <v>0</v>
      </c>
      <c r="G526">
        <f>INDEX(weekly!$E$2:$E$188,MATCH('Marketing Campaigns 22.11.22'!L526,weekly!$H$2:$H$188,0))</f>
        <v>1065.8448387096776</v>
      </c>
      <c r="H526">
        <f>INDEX(weekly!$D$2:$D$188,MATCH('Marketing Campaigns 22.11.22'!L526,weekly!$H$2:$H$188,0))</f>
        <v>409.38709677419359</v>
      </c>
      <c r="I526">
        <f>INDEX(weekly!$F$2:$F$188,MATCH('Marketing Campaigns 22.11.22'!L526,weekly!$H$2:$H$188,0))</f>
        <v>0</v>
      </c>
      <c r="J526">
        <v>0</v>
      </c>
      <c r="K526">
        <v>0</v>
      </c>
      <c r="L526" t="str">
        <f t="shared" si="16"/>
        <v>34-8-2021</v>
      </c>
      <c r="M526">
        <f t="shared" si="17"/>
        <v>2021</v>
      </c>
    </row>
    <row r="527" spans="1:13" x14ac:dyDescent="0.2">
      <c r="A527" s="1">
        <v>44431</v>
      </c>
      <c r="B527">
        <v>34</v>
      </c>
      <c r="C527">
        <v>8</v>
      </c>
      <c r="D527">
        <v>3</v>
      </c>
      <c r="E527" t="s">
        <v>52</v>
      </c>
      <c r="F527">
        <v>0</v>
      </c>
      <c r="G527">
        <f>INDEX(weekly!$E$2:$E$188,MATCH('Marketing Campaigns 22.11.22'!L527,weekly!$H$2:$H$188,0))</f>
        <v>1065.8448387096776</v>
      </c>
      <c r="H527">
        <f>INDEX(weekly!$D$2:$D$188,MATCH('Marketing Campaigns 22.11.22'!L527,weekly!$H$2:$H$188,0))</f>
        <v>409.38709677419359</v>
      </c>
      <c r="I527">
        <f>INDEX(weekly!$F$2:$F$188,MATCH('Marketing Campaigns 22.11.22'!L527,weekly!$H$2:$H$188,0))</f>
        <v>0</v>
      </c>
      <c r="J527">
        <v>0</v>
      </c>
      <c r="K527">
        <v>0</v>
      </c>
      <c r="L527" t="str">
        <f t="shared" si="16"/>
        <v>34-8-2021</v>
      </c>
      <c r="M527">
        <f t="shared" si="17"/>
        <v>2021</v>
      </c>
    </row>
    <row r="528" spans="1:13" x14ac:dyDescent="0.2">
      <c r="A528" s="1">
        <v>44438</v>
      </c>
      <c r="B528">
        <v>35</v>
      </c>
      <c r="C528">
        <v>8</v>
      </c>
      <c r="D528">
        <v>3</v>
      </c>
      <c r="E528" t="s">
        <v>24</v>
      </c>
      <c r="F528">
        <v>0</v>
      </c>
      <c r="G528">
        <f>INDEX(weekly!$E$2:$E$188,MATCH('Marketing Campaigns 22.11.22'!L528,weekly!$H$2:$H$188,0))</f>
        <v>304.52709677419358</v>
      </c>
      <c r="H528">
        <f>INDEX(weekly!$D$2:$D$188,MATCH('Marketing Campaigns 22.11.22'!L528,weekly!$H$2:$H$188,0))</f>
        <v>116.96774193548387</v>
      </c>
      <c r="I528">
        <f>INDEX(weekly!$F$2:$F$188,MATCH('Marketing Campaigns 22.11.22'!L528,weekly!$H$2:$H$188,0))</f>
        <v>0</v>
      </c>
      <c r="J528">
        <v>0</v>
      </c>
      <c r="K528">
        <v>0</v>
      </c>
      <c r="L528" t="str">
        <f t="shared" si="16"/>
        <v>35-8-2021</v>
      </c>
      <c r="M528">
        <f t="shared" si="17"/>
        <v>2021</v>
      </c>
    </row>
    <row r="529" spans="1:13" x14ac:dyDescent="0.2">
      <c r="A529" s="1">
        <v>44438</v>
      </c>
      <c r="B529">
        <v>35</v>
      </c>
      <c r="C529">
        <v>8</v>
      </c>
      <c r="D529">
        <v>3</v>
      </c>
      <c r="E529" t="s">
        <v>39</v>
      </c>
      <c r="F529">
        <v>0</v>
      </c>
      <c r="G529">
        <f>INDEX(weekly!$E$2:$E$188,MATCH('Marketing Campaigns 22.11.22'!L529,weekly!$H$2:$H$188,0))</f>
        <v>304.52709677419358</v>
      </c>
      <c r="H529">
        <f>INDEX(weekly!$D$2:$D$188,MATCH('Marketing Campaigns 22.11.22'!L529,weekly!$H$2:$H$188,0))</f>
        <v>116.96774193548387</v>
      </c>
      <c r="I529">
        <f>INDEX(weekly!$F$2:$F$188,MATCH('Marketing Campaigns 22.11.22'!L529,weekly!$H$2:$H$188,0))</f>
        <v>0</v>
      </c>
      <c r="J529">
        <v>0</v>
      </c>
      <c r="K529">
        <v>0</v>
      </c>
      <c r="L529" t="str">
        <f t="shared" si="16"/>
        <v>35-8-2021</v>
      </c>
      <c r="M529">
        <f t="shared" si="17"/>
        <v>2021</v>
      </c>
    </row>
    <row r="530" spans="1:13" x14ac:dyDescent="0.2">
      <c r="A530" s="1">
        <v>44438</v>
      </c>
      <c r="B530">
        <v>35</v>
      </c>
      <c r="C530">
        <v>8</v>
      </c>
      <c r="D530">
        <v>3</v>
      </c>
      <c r="E530" t="s">
        <v>40</v>
      </c>
      <c r="F530">
        <v>0</v>
      </c>
      <c r="G530">
        <f>INDEX(weekly!$E$2:$E$188,MATCH('Marketing Campaigns 22.11.22'!L530,weekly!$H$2:$H$188,0))</f>
        <v>304.52709677419358</v>
      </c>
      <c r="H530">
        <f>INDEX(weekly!$D$2:$D$188,MATCH('Marketing Campaigns 22.11.22'!L530,weekly!$H$2:$H$188,0))</f>
        <v>116.96774193548387</v>
      </c>
      <c r="I530">
        <f>INDEX(weekly!$F$2:$F$188,MATCH('Marketing Campaigns 22.11.22'!L530,weekly!$H$2:$H$188,0))</f>
        <v>0</v>
      </c>
      <c r="J530">
        <v>0</v>
      </c>
      <c r="K530">
        <v>0</v>
      </c>
      <c r="L530" t="str">
        <f t="shared" si="16"/>
        <v>35-8-2021</v>
      </c>
      <c r="M530">
        <f t="shared" si="17"/>
        <v>2021</v>
      </c>
    </row>
    <row r="531" spans="1:13" x14ac:dyDescent="0.2">
      <c r="A531" s="1">
        <v>44438</v>
      </c>
      <c r="B531">
        <v>35</v>
      </c>
      <c r="C531">
        <v>8</v>
      </c>
      <c r="D531">
        <v>3</v>
      </c>
      <c r="E531" t="s">
        <v>41</v>
      </c>
      <c r="F531">
        <v>0</v>
      </c>
      <c r="G531">
        <f>INDEX(weekly!$E$2:$E$188,MATCH('Marketing Campaigns 22.11.22'!L531,weekly!$H$2:$H$188,0))</f>
        <v>304.52709677419358</v>
      </c>
      <c r="H531">
        <f>INDEX(weekly!$D$2:$D$188,MATCH('Marketing Campaigns 22.11.22'!L531,weekly!$H$2:$H$188,0))</f>
        <v>116.96774193548387</v>
      </c>
      <c r="I531">
        <f>INDEX(weekly!$F$2:$F$188,MATCH('Marketing Campaigns 22.11.22'!L531,weekly!$H$2:$H$188,0))</f>
        <v>0</v>
      </c>
      <c r="J531">
        <v>0</v>
      </c>
      <c r="K531">
        <v>0</v>
      </c>
      <c r="L531" t="str">
        <f t="shared" si="16"/>
        <v>35-8-2021</v>
      </c>
      <c r="M531">
        <f t="shared" si="17"/>
        <v>2021</v>
      </c>
    </row>
    <row r="532" spans="1:13" x14ac:dyDescent="0.2">
      <c r="A532" s="1">
        <v>44438</v>
      </c>
      <c r="B532">
        <v>35</v>
      </c>
      <c r="C532">
        <v>8</v>
      </c>
      <c r="D532">
        <v>3</v>
      </c>
      <c r="E532" t="s">
        <v>42</v>
      </c>
      <c r="F532">
        <v>0</v>
      </c>
      <c r="G532">
        <f>INDEX(weekly!$E$2:$E$188,MATCH('Marketing Campaigns 22.11.22'!L532,weekly!$H$2:$H$188,0))</f>
        <v>304.52709677419358</v>
      </c>
      <c r="H532">
        <f>INDEX(weekly!$D$2:$D$188,MATCH('Marketing Campaigns 22.11.22'!L532,weekly!$H$2:$H$188,0))</f>
        <v>116.96774193548387</v>
      </c>
      <c r="I532">
        <f>INDEX(weekly!$F$2:$F$188,MATCH('Marketing Campaigns 22.11.22'!L532,weekly!$H$2:$H$188,0))</f>
        <v>0</v>
      </c>
      <c r="J532">
        <v>0</v>
      </c>
      <c r="K532">
        <v>0</v>
      </c>
      <c r="L532" t="str">
        <f t="shared" si="16"/>
        <v>35-8-2021</v>
      </c>
      <c r="M532">
        <f t="shared" si="17"/>
        <v>2021</v>
      </c>
    </row>
    <row r="533" spans="1:13" x14ac:dyDescent="0.2">
      <c r="A533" s="1">
        <v>44438</v>
      </c>
      <c r="B533">
        <v>35</v>
      </c>
      <c r="C533">
        <v>8</v>
      </c>
      <c r="D533">
        <v>3</v>
      </c>
      <c r="E533" t="s">
        <v>43</v>
      </c>
      <c r="F533">
        <v>0</v>
      </c>
      <c r="G533">
        <f>INDEX(weekly!$E$2:$E$188,MATCH('Marketing Campaigns 22.11.22'!L533,weekly!$H$2:$H$188,0))</f>
        <v>304.52709677419358</v>
      </c>
      <c r="H533">
        <f>INDEX(weekly!$D$2:$D$188,MATCH('Marketing Campaigns 22.11.22'!L533,weekly!$H$2:$H$188,0))</f>
        <v>116.96774193548387</v>
      </c>
      <c r="I533">
        <f>INDEX(weekly!$F$2:$F$188,MATCH('Marketing Campaigns 22.11.22'!L533,weekly!$H$2:$H$188,0))</f>
        <v>0</v>
      </c>
      <c r="J533">
        <v>0</v>
      </c>
      <c r="K533">
        <v>0</v>
      </c>
      <c r="L533" t="str">
        <f t="shared" si="16"/>
        <v>35-8-2021</v>
      </c>
      <c r="M533">
        <f t="shared" si="17"/>
        <v>2021</v>
      </c>
    </row>
    <row r="534" spans="1:13" x14ac:dyDescent="0.2">
      <c r="A534" s="1">
        <v>44438</v>
      </c>
      <c r="B534">
        <v>35</v>
      </c>
      <c r="C534">
        <v>8</v>
      </c>
      <c r="D534">
        <v>3</v>
      </c>
      <c r="E534" t="s">
        <v>44</v>
      </c>
      <c r="F534">
        <v>0</v>
      </c>
      <c r="G534">
        <f>INDEX(weekly!$E$2:$E$188,MATCH('Marketing Campaigns 22.11.22'!L534,weekly!$H$2:$H$188,0))</f>
        <v>304.52709677419358</v>
      </c>
      <c r="H534">
        <f>INDEX(weekly!$D$2:$D$188,MATCH('Marketing Campaigns 22.11.22'!L534,weekly!$H$2:$H$188,0))</f>
        <v>116.96774193548387</v>
      </c>
      <c r="I534">
        <f>INDEX(weekly!$F$2:$F$188,MATCH('Marketing Campaigns 22.11.22'!L534,weekly!$H$2:$H$188,0))</f>
        <v>0</v>
      </c>
      <c r="J534">
        <v>0</v>
      </c>
      <c r="K534">
        <v>0</v>
      </c>
      <c r="L534" t="str">
        <f t="shared" si="16"/>
        <v>35-8-2021</v>
      </c>
      <c r="M534">
        <f t="shared" si="17"/>
        <v>2021</v>
      </c>
    </row>
    <row r="535" spans="1:13" x14ac:dyDescent="0.2">
      <c r="A535" s="1">
        <v>44438</v>
      </c>
      <c r="B535">
        <v>35</v>
      </c>
      <c r="C535">
        <v>8</v>
      </c>
      <c r="D535">
        <v>3</v>
      </c>
      <c r="E535" t="s">
        <v>45</v>
      </c>
      <c r="F535">
        <v>0</v>
      </c>
      <c r="G535">
        <f>INDEX(weekly!$E$2:$E$188,MATCH('Marketing Campaigns 22.11.22'!L535,weekly!$H$2:$H$188,0))</f>
        <v>304.52709677419358</v>
      </c>
      <c r="H535">
        <f>INDEX(weekly!$D$2:$D$188,MATCH('Marketing Campaigns 22.11.22'!L535,weekly!$H$2:$H$188,0))</f>
        <v>116.96774193548387</v>
      </c>
      <c r="I535">
        <f>INDEX(weekly!$F$2:$F$188,MATCH('Marketing Campaigns 22.11.22'!L535,weekly!$H$2:$H$188,0))</f>
        <v>0</v>
      </c>
      <c r="J535">
        <v>0</v>
      </c>
      <c r="K535">
        <v>0</v>
      </c>
      <c r="L535" t="str">
        <f t="shared" si="16"/>
        <v>35-8-2021</v>
      </c>
      <c r="M535">
        <f t="shared" si="17"/>
        <v>2021</v>
      </c>
    </row>
    <row r="536" spans="1:13" x14ac:dyDescent="0.2">
      <c r="A536" s="1">
        <v>44438</v>
      </c>
      <c r="B536">
        <v>35</v>
      </c>
      <c r="C536">
        <v>8</v>
      </c>
      <c r="D536">
        <v>3</v>
      </c>
      <c r="E536" t="s">
        <v>46</v>
      </c>
      <c r="F536">
        <v>0</v>
      </c>
      <c r="G536">
        <f>INDEX(weekly!$E$2:$E$188,MATCH('Marketing Campaigns 22.11.22'!L536,weekly!$H$2:$H$188,0))</f>
        <v>304.52709677419358</v>
      </c>
      <c r="H536">
        <f>INDEX(weekly!$D$2:$D$188,MATCH('Marketing Campaigns 22.11.22'!L536,weekly!$H$2:$H$188,0))</f>
        <v>116.96774193548387</v>
      </c>
      <c r="I536">
        <f>INDEX(weekly!$F$2:$F$188,MATCH('Marketing Campaigns 22.11.22'!L536,weekly!$H$2:$H$188,0))</f>
        <v>0</v>
      </c>
      <c r="J536">
        <v>0</v>
      </c>
      <c r="K536">
        <v>0</v>
      </c>
      <c r="L536" t="str">
        <f t="shared" si="16"/>
        <v>35-8-2021</v>
      </c>
      <c r="M536">
        <f t="shared" si="17"/>
        <v>2021</v>
      </c>
    </row>
    <row r="537" spans="1:13" x14ac:dyDescent="0.2">
      <c r="A537" s="1">
        <v>44438</v>
      </c>
      <c r="B537">
        <v>35</v>
      </c>
      <c r="C537">
        <v>8</v>
      </c>
      <c r="D537">
        <v>3</v>
      </c>
      <c r="E537" t="s">
        <v>47</v>
      </c>
      <c r="F537">
        <v>0</v>
      </c>
      <c r="G537">
        <f>INDEX(weekly!$E$2:$E$188,MATCH('Marketing Campaigns 22.11.22'!L537,weekly!$H$2:$H$188,0))</f>
        <v>304.52709677419358</v>
      </c>
      <c r="H537">
        <f>INDEX(weekly!$D$2:$D$188,MATCH('Marketing Campaigns 22.11.22'!L537,weekly!$H$2:$H$188,0))</f>
        <v>116.96774193548387</v>
      </c>
      <c r="I537">
        <f>INDEX(weekly!$F$2:$F$188,MATCH('Marketing Campaigns 22.11.22'!L537,weekly!$H$2:$H$188,0))</f>
        <v>0</v>
      </c>
      <c r="J537">
        <v>0</v>
      </c>
      <c r="K537">
        <v>0</v>
      </c>
      <c r="L537" t="str">
        <f t="shared" si="16"/>
        <v>35-8-2021</v>
      </c>
      <c r="M537">
        <f t="shared" si="17"/>
        <v>2021</v>
      </c>
    </row>
    <row r="538" spans="1:13" x14ac:dyDescent="0.2">
      <c r="A538" s="1">
        <v>44438</v>
      </c>
      <c r="B538">
        <v>35</v>
      </c>
      <c r="C538">
        <v>8</v>
      </c>
      <c r="D538">
        <v>3</v>
      </c>
      <c r="E538" t="s">
        <v>48</v>
      </c>
      <c r="F538">
        <v>0</v>
      </c>
      <c r="G538">
        <f>INDEX(weekly!$E$2:$E$188,MATCH('Marketing Campaigns 22.11.22'!L538,weekly!$H$2:$H$188,0))</f>
        <v>304.52709677419358</v>
      </c>
      <c r="H538">
        <f>INDEX(weekly!$D$2:$D$188,MATCH('Marketing Campaigns 22.11.22'!L538,weekly!$H$2:$H$188,0))</f>
        <v>116.96774193548387</v>
      </c>
      <c r="I538">
        <f>INDEX(weekly!$F$2:$F$188,MATCH('Marketing Campaigns 22.11.22'!L538,weekly!$H$2:$H$188,0))</f>
        <v>0</v>
      </c>
      <c r="J538">
        <v>0</v>
      </c>
      <c r="K538">
        <v>0</v>
      </c>
      <c r="L538" t="str">
        <f t="shared" si="16"/>
        <v>35-8-2021</v>
      </c>
      <c r="M538">
        <f t="shared" si="17"/>
        <v>2021</v>
      </c>
    </row>
    <row r="539" spans="1:13" x14ac:dyDescent="0.2">
      <c r="A539" s="1">
        <v>44438</v>
      </c>
      <c r="B539">
        <v>35</v>
      </c>
      <c r="C539">
        <v>8</v>
      </c>
      <c r="D539">
        <v>3</v>
      </c>
      <c r="E539" t="s">
        <v>49</v>
      </c>
      <c r="F539">
        <v>0</v>
      </c>
      <c r="G539">
        <f>INDEX(weekly!$E$2:$E$188,MATCH('Marketing Campaigns 22.11.22'!L539,weekly!$H$2:$H$188,0))</f>
        <v>304.52709677419358</v>
      </c>
      <c r="H539">
        <f>INDEX(weekly!$D$2:$D$188,MATCH('Marketing Campaigns 22.11.22'!L539,weekly!$H$2:$H$188,0))</f>
        <v>116.96774193548387</v>
      </c>
      <c r="I539">
        <f>INDEX(weekly!$F$2:$F$188,MATCH('Marketing Campaigns 22.11.22'!L539,weekly!$H$2:$H$188,0))</f>
        <v>0</v>
      </c>
      <c r="J539">
        <v>0</v>
      </c>
      <c r="K539">
        <v>0</v>
      </c>
      <c r="L539" t="str">
        <f t="shared" si="16"/>
        <v>35-8-2021</v>
      </c>
      <c r="M539">
        <f t="shared" si="17"/>
        <v>2021</v>
      </c>
    </row>
    <row r="540" spans="1:13" x14ac:dyDescent="0.2">
      <c r="A540" s="1">
        <v>44438</v>
      </c>
      <c r="B540">
        <v>35</v>
      </c>
      <c r="C540">
        <v>8</v>
      </c>
      <c r="D540">
        <v>3</v>
      </c>
      <c r="E540" t="s">
        <v>50</v>
      </c>
      <c r="F540">
        <v>0</v>
      </c>
      <c r="G540">
        <f>INDEX(weekly!$E$2:$E$188,MATCH('Marketing Campaigns 22.11.22'!L540,weekly!$H$2:$H$188,0))</f>
        <v>304.52709677419358</v>
      </c>
      <c r="H540">
        <f>INDEX(weekly!$D$2:$D$188,MATCH('Marketing Campaigns 22.11.22'!L540,weekly!$H$2:$H$188,0))</f>
        <v>116.96774193548387</v>
      </c>
      <c r="I540">
        <f>INDEX(weekly!$F$2:$F$188,MATCH('Marketing Campaigns 22.11.22'!L540,weekly!$H$2:$H$188,0))</f>
        <v>0</v>
      </c>
      <c r="J540">
        <v>0</v>
      </c>
      <c r="K540">
        <v>0</v>
      </c>
      <c r="L540" t="str">
        <f t="shared" si="16"/>
        <v>35-8-2021</v>
      </c>
      <c r="M540">
        <f t="shared" si="17"/>
        <v>2021</v>
      </c>
    </row>
    <row r="541" spans="1:13" x14ac:dyDescent="0.2">
      <c r="A541" s="1">
        <v>44438</v>
      </c>
      <c r="B541">
        <v>35</v>
      </c>
      <c r="C541">
        <v>8</v>
      </c>
      <c r="D541">
        <v>3</v>
      </c>
      <c r="E541" t="s">
        <v>51</v>
      </c>
      <c r="F541">
        <v>0</v>
      </c>
      <c r="G541">
        <f>INDEX(weekly!$E$2:$E$188,MATCH('Marketing Campaigns 22.11.22'!L541,weekly!$H$2:$H$188,0))</f>
        <v>304.52709677419358</v>
      </c>
      <c r="H541">
        <f>INDEX(weekly!$D$2:$D$188,MATCH('Marketing Campaigns 22.11.22'!L541,weekly!$H$2:$H$188,0))</f>
        <v>116.96774193548387</v>
      </c>
      <c r="I541">
        <f>INDEX(weekly!$F$2:$F$188,MATCH('Marketing Campaigns 22.11.22'!L541,weekly!$H$2:$H$188,0))</f>
        <v>0</v>
      </c>
      <c r="J541">
        <v>0</v>
      </c>
      <c r="K541">
        <v>0</v>
      </c>
      <c r="L541" t="str">
        <f t="shared" si="16"/>
        <v>35-8-2021</v>
      </c>
      <c r="M541">
        <f t="shared" si="17"/>
        <v>2021</v>
      </c>
    </row>
    <row r="542" spans="1:13" x14ac:dyDescent="0.2">
      <c r="A542" s="1">
        <v>44438</v>
      </c>
      <c r="B542">
        <v>35</v>
      </c>
      <c r="C542">
        <v>8</v>
      </c>
      <c r="D542">
        <v>3</v>
      </c>
      <c r="E542" t="s">
        <v>52</v>
      </c>
      <c r="F542">
        <v>0</v>
      </c>
      <c r="G542">
        <f>INDEX(weekly!$E$2:$E$188,MATCH('Marketing Campaigns 22.11.22'!L542,weekly!$H$2:$H$188,0))</f>
        <v>304.52709677419358</v>
      </c>
      <c r="H542">
        <f>INDEX(weekly!$D$2:$D$188,MATCH('Marketing Campaigns 22.11.22'!L542,weekly!$H$2:$H$188,0))</f>
        <v>116.96774193548387</v>
      </c>
      <c r="I542">
        <f>INDEX(weekly!$F$2:$F$188,MATCH('Marketing Campaigns 22.11.22'!L542,weekly!$H$2:$H$188,0))</f>
        <v>0</v>
      </c>
      <c r="J542">
        <v>0</v>
      </c>
      <c r="K542">
        <v>0</v>
      </c>
      <c r="L542" t="str">
        <f t="shared" si="16"/>
        <v>35-8-2021</v>
      </c>
      <c r="M542">
        <f t="shared" si="17"/>
        <v>2021</v>
      </c>
    </row>
    <row r="543" spans="1:13" x14ac:dyDescent="0.2">
      <c r="A543" s="1">
        <v>44445</v>
      </c>
      <c r="B543">
        <v>36</v>
      </c>
      <c r="C543">
        <v>9</v>
      </c>
      <c r="D543">
        <v>3</v>
      </c>
      <c r="E543" t="s">
        <v>24</v>
      </c>
      <c r="F543">
        <v>0</v>
      </c>
      <c r="G543">
        <f>INDEX(weekly!$E$2:$E$188,MATCH('Marketing Campaigns 22.11.22'!L543,weekly!$H$2:$H$188,0))</f>
        <v>1664.6</v>
      </c>
      <c r="H543">
        <f>INDEX(weekly!$D$2:$D$188,MATCH('Marketing Campaigns 22.11.22'!L543,weekly!$H$2:$H$188,0))</f>
        <v>1187.4333333333334</v>
      </c>
      <c r="I543">
        <f>INDEX(weekly!$F$2:$F$188,MATCH('Marketing Campaigns 22.11.22'!L543,weekly!$H$2:$H$188,0))</f>
        <v>0</v>
      </c>
      <c r="J543">
        <v>0</v>
      </c>
      <c r="K543">
        <v>0</v>
      </c>
      <c r="L543" t="str">
        <f t="shared" si="16"/>
        <v>36-9-2021</v>
      </c>
      <c r="M543">
        <f t="shared" si="17"/>
        <v>2021</v>
      </c>
    </row>
    <row r="544" spans="1:13" x14ac:dyDescent="0.2">
      <c r="A544" s="1">
        <v>44445</v>
      </c>
      <c r="B544">
        <v>36</v>
      </c>
      <c r="C544">
        <v>9</v>
      </c>
      <c r="D544">
        <v>3</v>
      </c>
      <c r="E544" t="s">
        <v>39</v>
      </c>
      <c r="F544">
        <v>0</v>
      </c>
      <c r="G544">
        <f>INDEX(weekly!$E$2:$E$188,MATCH('Marketing Campaigns 22.11.22'!L544,weekly!$H$2:$H$188,0))</f>
        <v>1664.6</v>
      </c>
      <c r="H544">
        <f>INDEX(weekly!$D$2:$D$188,MATCH('Marketing Campaigns 22.11.22'!L544,weekly!$H$2:$H$188,0))</f>
        <v>1187.4333333333334</v>
      </c>
      <c r="I544">
        <f>INDEX(weekly!$F$2:$F$188,MATCH('Marketing Campaigns 22.11.22'!L544,weekly!$H$2:$H$188,0))</f>
        <v>0</v>
      </c>
      <c r="J544">
        <v>0</v>
      </c>
      <c r="K544">
        <v>0</v>
      </c>
      <c r="L544" t="str">
        <f t="shared" si="16"/>
        <v>36-9-2021</v>
      </c>
      <c r="M544">
        <f t="shared" si="17"/>
        <v>2021</v>
      </c>
    </row>
    <row r="545" spans="1:13" x14ac:dyDescent="0.2">
      <c r="A545" s="1">
        <v>44445</v>
      </c>
      <c r="B545">
        <v>36</v>
      </c>
      <c r="C545">
        <v>9</v>
      </c>
      <c r="D545">
        <v>3</v>
      </c>
      <c r="E545" t="s">
        <v>40</v>
      </c>
      <c r="F545">
        <v>0</v>
      </c>
      <c r="G545">
        <f>INDEX(weekly!$E$2:$E$188,MATCH('Marketing Campaigns 22.11.22'!L545,weekly!$H$2:$H$188,0))</f>
        <v>1664.6</v>
      </c>
      <c r="H545">
        <f>INDEX(weekly!$D$2:$D$188,MATCH('Marketing Campaigns 22.11.22'!L545,weekly!$H$2:$H$188,0))</f>
        <v>1187.4333333333334</v>
      </c>
      <c r="I545">
        <f>INDEX(weekly!$F$2:$F$188,MATCH('Marketing Campaigns 22.11.22'!L545,weekly!$H$2:$H$188,0))</f>
        <v>0</v>
      </c>
      <c r="J545">
        <v>0</v>
      </c>
      <c r="K545">
        <v>0</v>
      </c>
      <c r="L545" t="str">
        <f t="shared" si="16"/>
        <v>36-9-2021</v>
      </c>
      <c r="M545">
        <f t="shared" si="17"/>
        <v>2021</v>
      </c>
    </row>
    <row r="546" spans="1:13" x14ac:dyDescent="0.2">
      <c r="A546" s="1">
        <v>44445</v>
      </c>
      <c r="B546">
        <v>36</v>
      </c>
      <c r="C546">
        <v>9</v>
      </c>
      <c r="D546">
        <v>3</v>
      </c>
      <c r="E546" t="s">
        <v>41</v>
      </c>
      <c r="F546">
        <v>0</v>
      </c>
      <c r="G546">
        <f>INDEX(weekly!$E$2:$E$188,MATCH('Marketing Campaigns 22.11.22'!L546,weekly!$H$2:$H$188,0))</f>
        <v>1664.6</v>
      </c>
      <c r="H546">
        <f>INDEX(weekly!$D$2:$D$188,MATCH('Marketing Campaigns 22.11.22'!L546,weekly!$H$2:$H$188,0))</f>
        <v>1187.4333333333334</v>
      </c>
      <c r="I546">
        <f>INDEX(weekly!$F$2:$F$188,MATCH('Marketing Campaigns 22.11.22'!L546,weekly!$H$2:$H$188,0))</f>
        <v>0</v>
      </c>
      <c r="J546">
        <v>0</v>
      </c>
      <c r="K546">
        <v>0</v>
      </c>
      <c r="L546" t="str">
        <f t="shared" si="16"/>
        <v>36-9-2021</v>
      </c>
      <c r="M546">
        <f t="shared" si="17"/>
        <v>2021</v>
      </c>
    </row>
    <row r="547" spans="1:13" x14ac:dyDescent="0.2">
      <c r="A547" s="1">
        <v>44445</v>
      </c>
      <c r="B547">
        <v>36</v>
      </c>
      <c r="C547">
        <v>9</v>
      </c>
      <c r="D547">
        <v>3</v>
      </c>
      <c r="E547" t="s">
        <v>42</v>
      </c>
      <c r="F547">
        <v>0</v>
      </c>
      <c r="G547">
        <f>INDEX(weekly!$E$2:$E$188,MATCH('Marketing Campaigns 22.11.22'!L547,weekly!$H$2:$H$188,0))</f>
        <v>1664.6</v>
      </c>
      <c r="H547">
        <f>INDEX(weekly!$D$2:$D$188,MATCH('Marketing Campaigns 22.11.22'!L547,weekly!$H$2:$H$188,0))</f>
        <v>1187.4333333333334</v>
      </c>
      <c r="I547">
        <f>INDEX(weekly!$F$2:$F$188,MATCH('Marketing Campaigns 22.11.22'!L547,weekly!$H$2:$H$188,0))</f>
        <v>0</v>
      </c>
      <c r="J547">
        <v>0</v>
      </c>
      <c r="K547">
        <v>0</v>
      </c>
      <c r="L547" t="str">
        <f t="shared" si="16"/>
        <v>36-9-2021</v>
      </c>
      <c r="M547">
        <f t="shared" si="17"/>
        <v>2021</v>
      </c>
    </row>
    <row r="548" spans="1:13" x14ac:dyDescent="0.2">
      <c r="A548" s="1">
        <v>44445</v>
      </c>
      <c r="B548">
        <v>36</v>
      </c>
      <c r="C548">
        <v>9</v>
      </c>
      <c r="D548">
        <v>3</v>
      </c>
      <c r="E548" t="s">
        <v>43</v>
      </c>
      <c r="F548">
        <v>0</v>
      </c>
      <c r="G548">
        <f>INDEX(weekly!$E$2:$E$188,MATCH('Marketing Campaigns 22.11.22'!L548,weekly!$H$2:$H$188,0))</f>
        <v>1664.6</v>
      </c>
      <c r="H548">
        <f>INDEX(weekly!$D$2:$D$188,MATCH('Marketing Campaigns 22.11.22'!L548,weekly!$H$2:$H$188,0))</f>
        <v>1187.4333333333334</v>
      </c>
      <c r="I548">
        <f>INDEX(weekly!$F$2:$F$188,MATCH('Marketing Campaigns 22.11.22'!L548,weekly!$H$2:$H$188,0))</f>
        <v>0</v>
      </c>
      <c r="J548">
        <v>0</v>
      </c>
      <c r="K548">
        <v>0</v>
      </c>
      <c r="L548" t="str">
        <f t="shared" si="16"/>
        <v>36-9-2021</v>
      </c>
      <c r="M548">
        <f t="shared" si="17"/>
        <v>2021</v>
      </c>
    </row>
    <row r="549" spans="1:13" x14ac:dyDescent="0.2">
      <c r="A549" s="1">
        <v>44445</v>
      </c>
      <c r="B549">
        <v>36</v>
      </c>
      <c r="C549">
        <v>9</v>
      </c>
      <c r="D549">
        <v>3</v>
      </c>
      <c r="E549" t="s">
        <v>44</v>
      </c>
      <c r="F549">
        <v>0</v>
      </c>
      <c r="G549">
        <f>INDEX(weekly!$E$2:$E$188,MATCH('Marketing Campaigns 22.11.22'!L549,weekly!$H$2:$H$188,0))</f>
        <v>1664.6</v>
      </c>
      <c r="H549">
        <f>INDEX(weekly!$D$2:$D$188,MATCH('Marketing Campaigns 22.11.22'!L549,weekly!$H$2:$H$188,0))</f>
        <v>1187.4333333333334</v>
      </c>
      <c r="I549">
        <f>INDEX(weekly!$F$2:$F$188,MATCH('Marketing Campaigns 22.11.22'!L549,weekly!$H$2:$H$188,0))</f>
        <v>0</v>
      </c>
      <c r="J549">
        <v>0</v>
      </c>
      <c r="K549">
        <v>0</v>
      </c>
      <c r="L549" t="str">
        <f t="shared" si="16"/>
        <v>36-9-2021</v>
      </c>
      <c r="M549">
        <f t="shared" si="17"/>
        <v>2021</v>
      </c>
    </row>
    <row r="550" spans="1:13" x14ac:dyDescent="0.2">
      <c r="A550" s="1">
        <v>44445</v>
      </c>
      <c r="B550">
        <v>36</v>
      </c>
      <c r="C550">
        <v>9</v>
      </c>
      <c r="D550">
        <v>3</v>
      </c>
      <c r="E550" t="s">
        <v>45</v>
      </c>
      <c r="F550">
        <v>0</v>
      </c>
      <c r="G550">
        <f>INDEX(weekly!$E$2:$E$188,MATCH('Marketing Campaigns 22.11.22'!L550,weekly!$H$2:$H$188,0))</f>
        <v>1664.6</v>
      </c>
      <c r="H550">
        <f>INDEX(weekly!$D$2:$D$188,MATCH('Marketing Campaigns 22.11.22'!L550,weekly!$H$2:$H$188,0))</f>
        <v>1187.4333333333334</v>
      </c>
      <c r="I550">
        <f>INDEX(weekly!$F$2:$F$188,MATCH('Marketing Campaigns 22.11.22'!L550,weekly!$H$2:$H$188,0))</f>
        <v>0</v>
      </c>
      <c r="J550">
        <v>0</v>
      </c>
      <c r="K550">
        <v>0</v>
      </c>
      <c r="L550" t="str">
        <f t="shared" si="16"/>
        <v>36-9-2021</v>
      </c>
      <c r="M550">
        <f t="shared" si="17"/>
        <v>2021</v>
      </c>
    </row>
    <row r="551" spans="1:13" x14ac:dyDescent="0.2">
      <c r="A551" s="1">
        <v>44445</v>
      </c>
      <c r="B551">
        <v>36</v>
      </c>
      <c r="C551">
        <v>9</v>
      </c>
      <c r="D551">
        <v>3</v>
      </c>
      <c r="E551" t="s">
        <v>46</v>
      </c>
      <c r="F551">
        <v>0</v>
      </c>
      <c r="G551">
        <f>INDEX(weekly!$E$2:$E$188,MATCH('Marketing Campaigns 22.11.22'!L551,weekly!$H$2:$H$188,0))</f>
        <v>1664.6</v>
      </c>
      <c r="H551">
        <f>INDEX(weekly!$D$2:$D$188,MATCH('Marketing Campaigns 22.11.22'!L551,weekly!$H$2:$H$188,0))</f>
        <v>1187.4333333333334</v>
      </c>
      <c r="I551">
        <f>INDEX(weekly!$F$2:$F$188,MATCH('Marketing Campaigns 22.11.22'!L551,weekly!$H$2:$H$188,0))</f>
        <v>0</v>
      </c>
      <c r="J551">
        <v>0</v>
      </c>
      <c r="K551">
        <v>0</v>
      </c>
      <c r="L551" t="str">
        <f t="shared" si="16"/>
        <v>36-9-2021</v>
      </c>
      <c r="M551">
        <f t="shared" si="17"/>
        <v>2021</v>
      </c>
    </row>
    <row r="552" spans="1:13" x14ac:dyDescent="0.2">
      <c r="A552" s="1">
        <v>44445</v>
      </c>
      <c r="B552">
        <v>36</v>
      </c>
      <c r="C552">
        <v>9</v>
      </c>
      <c r="D552">
        <v>3</v>
      </c>
      <c r="E552" t="s">
        <v>47</v>
      </c>
      <c r="F552">
        <v>0</v>
      </c>
      <c r="G552">
        <f>INDEX(weekly!$E$2:$E$188,MATCH('Marketing Campaigns 22.11.22'!L552,weekly!$H$2:$H$188,0))</f>
        <v>1664.6</v>
      </c>
      <c r="H552">
        <f>INDEX(weekly!$D$2:$D$188,MATCH('Marketing Campaigns 22.11.22'!L552,weekly!$H$2:$H$188,0))</f>
        <v>1187.4333333333334</v>
      </c>
      <c r="I552">
        <f>INDEX(weekly!$F$2:$F$188,MATCH('Marketing Campaigns 22.11.22'!L552,weekly!$H$2:$H$188,0))</f>
        <v>0</v>
      </c>
      <c r="J552">
        <v>0</v>
      </c>
      <c r="K552">
        <v>0</v>
      </c>
      <c r="L552" t="str">
        <f t="shared" si="16"/>
        <v>36-9-2021</v>
      </c>
      <c r="M552">
        <f t="shared" si="17"/>
        <v>2021</v>
      </c>
    </row>
    <row r="553" spans="1:13" x14ac:dyDescent="0.2">
      <c r="A553" s="1">
        <v>44445</v>
      </c>
      <c r="B553">
        <v>36</v>
      </c>
      <c r="C553">
        <v>9</v>
      </c>
      <c r="D553">
        <v>3</v>
      </c>
      <c r="E553" t="s">
        <v>48</v>
      </c>
      <c r="F553">
        <v>0</v>
      </c>
      <c r="G553">
        <f>INDEX(weekly!$E$2:$E$188,MATCH('Marketing Campaigns 22.11.22'!L553,weekly!$H$2:$H$188,0))</f>
        <v>1664.6</v>
      </c>
      <c r="H553">
        <f>INDEX(weekly!$D$2:$D$188,MATCH('Marketing Campaigns 22.11.22'!L553,weekly!$H$2:$H$188,0))</f>
        <v>1187.4333333333334</v>
      </c>
      <c r="I553">
        <f>INDEX(weekly!$F$2:$F$188,MATCH('Marketing Campaigns 22.11.22'!L553,weekly!$H$2:$H$188,0))</f>
        <v>0</v>
      </c>
      <c r="J553">
        <v>0</v>
      </c>
      <c r="K553">
        <v>0</v>
      </c>
      <c r="L553" t="str">
        <f t="shared" si="16"/>
        <v>36-9-2021</v>
      </c>
      <c r="M553">
        <f t="shared" si="17"/>
        <v>2021</v>
      </c>
    </row>
    <row r="554" spans="1:13" x14ac:dyDescent="0.2">
      <c r="A554" s="1">
        <v>44445</v>
      </c>
      <c r="B554">
        <v>36</v>
      </c>
      <c r="C554">
        <v>9</v>
      </c>
      <c r="D554">
        <v>3</v>
      </c>
      <c r="E554" t="s">
        <v>49</v>
      </c>
      <c r="F554">
        <v>0</v>
      </c>
      <c r="G554">
        <f>INDEX(weekly!$E$2:$E$188,MATCH('Marketing Campaigns 22.11.22'!L554,weekly!$H$2:$H$188,0))</f>
        <v>1664.6</v>
      </c>
      <c r="H554">
        <f>INDEX(weekly!$D$2:$D$188,MATCH('Marketing Campaigns 22.11.22'!L554,weekly!$H$2:$H$188,0))</f>
        <v>1187.4333333333334</v>
      </c>
      <c r="I554">
        <f>INDEX(weekly!$F$2:$F$188,MATCH('Marketing Campaigns 22.11.22'!L554,weekly!$H$2:$H$188,0))</f>
        <v>0</v>
      </c>
      <c r="J554">
        <v>0</v>
      </c>
      <c r="K554">
        <v>0</v>
      </c>
      <c r="L554" t="str">
        <f t="shared" si="16"/>
        <v>36-9-2021</v>
      </c>
      <c r="M554">
        <f t="shared" si="17"/>
        <v>2021</v>
      </c>
    </row>
    <row r="555" spans="1:13" x14ac:dyDescent="0.2">
      <c r="A555" s="1">
        <v>44445</v>
      </c>
      <c r="B555">
        <v>36</v>
      </c>
      <c r="C555">
        <v>9</v>
      </c>
      <c r="D555">
        <v>3</v>
      </c>
      <c r="E555" t="s">
        <v>50</v>
      </c>
      <c r="F555">
        <v>0</v>
      </c>
      <c r="G555">
        <f>INDEX(weekly!$E$2:$E$188,MATCH('Marketing Campaigns 22.11.22'!L555,weekly!$H$2:$H$188,0))</f>
        <v>1664.6</v>
      </c>
      <c r="H555">
        <f>INDEX(weekly!$D$2:$D$188,MATCH('Marketing Campaigns 22.11.22'!L555,weekly!$H$2:$H$188,0))</f>
        <v>1187.4333333333334</v>
      </c>
      <c r="I555">
        <f>INDEX(weekly!$F$2:$F$188,MATCH('Marketing Campaigns 22.11.22'!L555,weekly!$H$2:$H$188,0))</f>
        <v>0</v>
      </c>
      <c r="J555">
        <v>0</v>
      </c>
      <c r="K555">
        <v>0</v>
      </c>
      <c r="L555" t="str">
        <f t="shared" si="16"/>
        <v>36-9-2021</v>
      </c>
      <c r="M555">
        <f t="shared" si="17"/>
        <v>2021</v>
      </c>
    </row>
    <row r="556" spans="1:13" x14ac:dyDescent="0.2">
      <c r="A556" s="1">
        <v>44445</v>
      </c>
      <c r="B556">
        <v>36</v>
      </c>
      <c r="C556">
        <v>9</v>
      </c>
      <c r="D556">
        <v>3</v>
      </c>
      <c r="E556" t="s">
        <v>51</v>
      </c>
      <c r="F556">
        <v>0</v>
      </c>
      <c r="G556">
        <f>INDEX(weekly!$E$2:$E$188,MATCH('Marketing Campaigns 22.11.22'!L556,weekly!$H$2:$H$188,0))</f>
        <v>1664.6</v>
      </c>
      <c r="H556">
        <f>INDEX(weekly!$D$2:$D$188,MATCH('Marketing Campaigns 22.11.22'!L556,weekly!$H$2:$H$188,0))</f>
        <v>1187.4333333333334</v>
      </c>
      <c r="I556">
        <f>INDEX(weekly!$F$2:$F$188,MATCH('Marketing Campaigns 22.11.22'!L556,weekly!$H$2:$H$188,0))</f>
        <v>0</v>
      </c>
      <c r="J556">
        <v>0</v>
      </c>
      <c r="K556">
        <v>0</v>
      </c>
      <c r="L556" t="str">
        <f t="shared" si="16"/>
        <v>36-9-2021</v>
      </c>
      <c r="M556">
        <f t="shared" si="17"/>
        <v>2021</v>
      </c>
    </row>
    <row r="557" spans="1:13" x14ac:dyDescent="0.2">
      <c r="A557" s="1">
        <v>44445</v>
      </c>
      <c r="B557">
        <v>36</v>
      </c>
      <c r="C557">
        <v>9</v>
      </c>
      <c r="D557">
        <v>3</v>
      </c>
      <c r="E557" t="s">
        <v>52</v>
      </c>
      <c r="F557">
        <v>0</v>
      </c>
      <c r="G557">
        <f>INDEX(weekly!$E$2:$E$188,MATCH('Marketing Campaigns 22.11.22'!L557,weekly!$H$2:$H$188,0))</f>
        <v>1664.6</v>
      </c>
      <c r="H557">
        <f>INDEX(weekly!$D$2:$D$188,MATCH('Marketing Campaigns 22.11.22'!L557,weekly!$H$2:$H$188,0))</f>
        <v>1187.4333333333334</v>
      </c>
      <c r="I557">
        <f>INDEX(weekly!$F$2:$F$188,MATCH('Marketing Campaigns 22.11.22'!L557,weekly!$H$2:$H$188,0))</f>
        <v>0</v>
      </c>
      <c r="J557">
        <v>0</v>
      </c>
      <c r="K557">
        <v>0</v>
      </c>
      <c r="L557" t="str">
        <f t="shared" si="16"/>
        <v>36-9-2021</v>
      </c>
      <c r="M557">
        <f t="shared" si="17"/>
        <v>2021</v>
      </c>
    </row>
    <row r="558" spans="1:13" x14ac:dyDescent="0.2">
      <c r="A558" s="1">
        <v>44452</v>
      </c>
      <c r="B558">
        <v>37</v>
      </c>
      <c r="C558">
        <v>9</v>
      </c>
      <c r="D558">
        <v>3</v>
      </c>
      <c r="E558" t="s">
        <v>24</v>
      </c>
      <c r="F558">
        <v>0</v>
      </c>
      <c r="G558">
        <f>INDEX(weekly!$E$2:$E$188,MATCH('Marketing Campaigns 22.11.22'!L558,weekly!$H$2:$H$188,0))</f>
        <v>1664.6</v>
      </c>
      <c r="H558">
        <f>INDEX(weekly!$D$2:$D$188,MATCH('Marketing Campaigns 22.11.22'!L558,weekly!$H$2:$H$188,0))</f>
        <v>1187.4333333333334</v>
      </c>
      <c r="I558">
        <f>INDEX(weekly!$F$2:$F$188,MATCH('Marketing Campaigns 22.11.22'!L558,weekly!$H$2:$H$188,0))</f>
        <v>0</v>
      </c>
      <c r="J558">
        <v>0</v>
      </c>
      <c r="K558">
        <v>0</v>
      </c>
      <c r="L558" t="str">
        <f t="shared" si="16"/>
        <v>37-9-2021</v>
      </c>
      <c r="M558">
        <f t="shared" si="17"/>
        <v>2021</v>
      </c>
    </row>
    <row r="559" spans="1:13" x14ac:dyDescent="0.2">
      <c r="A559" s="1">
        <v>44452</v>
      </c>
      <c r="B559">
        <v>37</v>
      </c>
      <c r="C559">
        <v>9</v>
      </c>
      <c r="D559">
        <v>3</v>
      </c>
      <c r="E559" t="s">
        <v>39</v>
      </c>
      <c r="F559">
        <v>0</v>
      </c>
      <c r="G559">
        <f>INDEX(weekly!$E$2:$E$188,MATCH('Marketing Campaigns 22.11.22'!L559,weekly!$H$2:$H$188,0))</f>
        <v>1664.6</v>
      </c>
      <c r="H559">
        <f>INDEX(weekly!$D$2:$D$188,MATCH('Marketing Campaigns 22.11.22'!L559,weekly!$H$2:$H$188,0))</f>
        <v>1187.4333333333334</v>
      </c>
      <c r="I559">
        <f>INDEX(weekly!$F$2:$F$188,MATCH('Marketing Campaigns 22.11.22'!L559,weekly!$H$2:$H$188,0))</f>
        <v>0</v>
      </c>
      <c r="J559">
        <v>0</v>
      </c>
      <c r="K559">
        <v>0</v>
      </c>
      <c r="L559" t="str">
        <f t="shared" si="16"/>
        <v>37-9-2021</v>
      </c>
      <c r="M559">
        <f t="shared" si="17"/>
        <v>2021</v>
      </c>
    </row>
    <row r="560" spans="1:13" x14ac:dyDescent="0.2">
      <c r="A560" s="1">
        <v>44452</v>
      </c>
      <c r="B560">
        <v>37</v>
      </c>
      <c r="C560">
        <v>9</v>
      </c>
      <c r="D560">
        <v>3</v>
      </c>
      <c r="E560" t="s">
        <v>40</v>
      </c>
      <c r="F560">
        <v>0</v>
      </c>
      <c r="G560">
        <f>INDEX(weekly!$E$2:$E$188,MATCH('Marketing Campaigns 22.11.22'!L560,weekly!$H$2:$H$188,0))</f>
        <v>1664.6</v>
      </c>
      <c r="H560">
        <f>INDEX(weekly!$D$2:$D$188,MATCH('Marketing Campaigns 22.11.22'!L560,weekly!$H$2:$H$188,0))</f>
        <v>1187.4333333333334</v>
      </c>
      <c r="I560">
        <f>INDEX(weekly!$F$2:$F$188,MATCH('Marketing Campaigns 22.11.22'!L560,weekly!$H$2:$H$188,0))</f>
        <v>0</v>
      </c>
      <c r="J560">
        <v>0</v>
      </c>
      <c r="K560">
        <v>0</v>
      </c>
      <c r="L560" t="str">
        <f t="shared" si="16"/>
        <v>37-9-2021</v>
      </c>
      <c r="M560">
        <f t="shared" si="17"/>
        <v>2021</v>
      </c>
    </row>
    <row r="561" spans="1:13" x14ac:dyDescent="0.2">
      <c r="A561" s="1">
        <v>44452</v>
      </c>
      <c r="B561">
        <v>37</v>
      </c>
      <c r="C561">
        <v>9</v>
      </c>
      <c r="D561">
        <v>3</v>
      </c>
      <c r="E561" t="s">
        <v>41</v>
      </c>
      <c r="F561">
        <v>0</v>
      </c>
      <c r="G561">
        <f>INDEX(weekly!$E$2:$E$188,MATCH('Marketing Campaigns 22.11.22'!L561,weekly!$H$2:$H$188,0))</f>
        <v>1664.6</v>
      </c>
      <c r="H561">
        <f>INDEX(weekly!$D$2:$D$188,MATCH('Marketing Campaigns 22.11.22'!L561,weekly!$H$2:$H$188,0))</f>
        <v>1187.4333333333334</v>
      </c>
      <c r="I561">
        <f>INDEX(weekly!$F$2:$F$188,MATCH('Marketing Campaigns 22.11.22'!L561,weekly!$H$2:$H$188,0))</f>
        <v>0</v>
      </c>
      <c r="J561">
        <v>0</v>
      </c>
      <c r="K561">
        <v>0</v>
      </c>
      <c r="L561" t="str">
        <f t="shared" si="16"/>
        <v>37-9-2021</v>
      </c>
      <c r="M561">
        <f t="shared" si="17"/>
        <v>2021</v>
      </c>
    </row>
    <row r="562" spans="1:13" x14ac:dyDescent="0.2">
      <c r="A562" s="1">
        <v>44452</v>
      </c>
      <c r="B562">
        <v>37</v>
      </c>
      <c r="C562">
        <v>9</v>
      </c>
      <c r="D562">
        <v>3</v>
      </c>
      <c r="E562" t="s">
        <v>42</v>
      </c>
      <c r="F562">
        <v>0</v>
      </c>
      <c r="G562">
        <f>INDEX(weekly!$E$2:$E$188,MATCH('Marketing Campaigns 22.11.22'!L562,weekly!$H$2:$H$188,0))</f>
        <v>1664.6</v>
      </c>
      <c r="H562">
        <f>INDEX(weekly!$D$2:$D$188,MATCH('Marketing Campaigns 22.11.22'!L562,weekly!$H$2:$H$188,0))</f>
        <v>1187.4333333333334</v>
      </c>
      <c r="I562">
        <f>INDEX(weekly!$F$2:$F$188,MATCH('Marketing Campaigns 22.11.22'!L562,weekly!$H$2:$H$188,0))</f>
        <v>0</v>
      </c>
      <c r="J562">
        <v>0</v>
      </c>
      <c r="K562">
        <v>0</v>
      </c>
      <c r="L562" t="str">
        <f t="shared" si="16"/>
        <v>37-9-2021</v>
      </c>
      <c r="M562">
        <f t="shared" si="17"/>
        <v>2021</v>
      </c>
    </row>
    <row r="563" spans="1:13" x14ac:dyDescent="0.2">
      <c r="A563" s="1">
        <v>44452</v>
      </c>
      <c r="B563">
        <v>37</v>
      </c>
      <c r="C563">
        <v>9</v>
      </c>
      <c r="D563">
        <v>3</v>
      </c>
      <c r="E563" t="s">
        <v>43</v>
      </c>
      <c r="F563">
        <v>0</v>
      </c>
      <c r="G563">
        <f>INDEX(weekly!$E$2:$E$188,MATCH('Marketing Campaigns 22.11.22'!L563,weekly!$H$2:$H$188,0))</f>
        <v>1664.6</v>
      </c>
      <c r="H563">
        <f>INDEX(weekly!$D$2:$D$188,MATCH('Marketing Campaigns 22.11.22'!L563,weekly!$H$2:$H$188,0))</f>
        <v>1187.4333333333334</v>
      </c>
      <c r="I563">
        <f>INDEX(weekly!$F$2:$F$188,MATCH('Marketing Campaigns 22.11.22'!L563,weekly!$H$2:$H$188,0))</f>
        <v>0</v>
      </c>
      <c r="J563">
        <v>0</v>
      </c>
      <c r="K563">
        <v>0</v>
      </c>
      <c r="L563" t="str">
        <f t="shared" si="16"/>
        <v>37-9-2021</v>
      </c>
      <c r="M563">
        <f t="shared" si="17"/>
        <v>2021</v>
      </c>
    </row>
    <row r="564" spans="1:13" x14ac:dyDescent="0.2">
      <c r="A564" s="1">
        <v>44452</v>
      </c>
      <c r="B564">
        <v>37</v>
      </c>
      <c r="C564">
        <v>9</v>
      </c>
      <c r="D564">
        <v>3</v>
      </c>
      <c r="E564" t="s">
        <v>44</v>
      </c>
      <c r="F564">
        <v>0</v>
      </c>
      <c r="G564">
        <f>INDEX(weekly!$E$2:$E$188,MATCH('Marketing Campaigns 22.11.22'!L564,weekly!$H$2:$H$188,0))</f>
        <v>1664.6</v>
      </c>
      <c r="H564">
        <f>INDEX(weekly!$D$2:$D$188,MATCH('Marketing Campaigns 22.11.22'!L564,weekly!$H$2:$H$188,0))</f>
        <v>1187.4333333333334</v>
      </c>
      <c r="I564">
        <f>INDEX(weekly!$F$2:$F$188,MATCH('Marketing Campaigns 22.11.22'!L564,weekly!$H$2:$H$188,0))</f>
        <v>0</v>
      </c>
      <c r="J564">
        <v>0</v>
      </c>
      <c r="K564">
        <v>0</v>
      </c>
      <c r="L564" t="str">
        <f t="shared" si="16"/>
        <v>37-9-2021</v>
      </c>
      <c r="M564">
        <f t="shared" si="17"/>
        <v>2021</v>
      </c>
    </row>
    <row r="565" spans="1:13" x14ac:dyDescent="0.2">
      <c r="A565" s="1">
        <v>44452</v>
      </c>
      <c r="B565">
        <v>37</v>
      </c>
      <c r="C565">
        <v>9</v>
      </c>
      <c r="D565">
        <v>3</v>
      </c>
      <c r="E565" t="s">
        <v>45</v>
      </c>
      <c r="F565">
        <v>0</v>
      </c>
      <c r="G565">
        <f>INDEX(weekly!$E$2:$E$188,MATCH('Marketing Campaigns 22.11.22'!L565,weekly!$H$2:$H$188,0))</f>
        <v>1664.6</v>
      </c>
      <c r="H565">
        <f>INDEX(weekly!$D$2:$D$188,MATCH('Marketing Campaigns 22.11.22'!L565,weekly!$H$2:$H$188,0))</f>
        <v>1187.4333333333334</v>
      </c>
      <c r="I565">
        <f>INDEX(weekly!$F$2:$F$188,MATCH('Marketing Campaigns 22.11.22'!L565,weekly!$H$2:$H$188,0))</f>
        <v>0</v>
      </c>
      <c r="J565">
        <v>0</v>
      </c>
      <c r="K565">
        <v>0</v>
      </c>
      <c r="L565" t="str">
        <f t="shared" si="16"/>
        <v>37-9-2021</v>
      </c>
      <c r="M565">
        <f t="shared" si="17"/>
        <v>2021</v>
      </c>
    </row>
    <row r="566" spans="1:13" x14ac:dyDescent="0.2">
      <c r="A566" s="1">
        <v>44452</v>
      </c>
      <c r="B566">
        <v>37</v>
      </c>
      <c r="C566">
        <v>9</v>
      </c>
      <c r="D566">
        <v>3</v>
      </c>
      <c r="E566" t="s">
        <v>46</v>
      </c>
      <c r="F566">
        <v>0</v>
      </c>
      <c r="G566">
        <f>INDEX(weekly!$E$2:$E$188,MATCH('Marketing Campaigns 22.11.22'!L566,weekly!$H$2:$H$188,0))</f>
        <v>1664.6</v>
      </c>
      <c r="H566">
        <f>INDEX(weekly!$D$2:$D$188,MATCH('Marketing Campaigns 22.11.22'!L566,weekly!$H$2:$H$188,0))</f>
        <v>1187.4333333333334</v>
      </c>
      <c r="I566">
        <f>INDEX(weekly!$F$2:$F$188,MATCH('Marketing Campaigns 22.11.22'!L566,weekly!$H$2:$H$188,0))</f>
        <v>0</v>
      </c>
      <c r="J566">
        <v>0</v>
      </c>
      <c r="K566">
        <v>0</v>
      </c>
      <c r="L566" t="str">
        <f t="shared" si="16"/>
        <v>37-9-2021</v>
      </c>
      <c r="M566">
        <f t="shared" si="17"/>
        <v>2021</v>
      </c>
    </row>
    <row r="567" spans="1:13" x14ac:dyDescent="0.2">
      <c r="A567" s="1">
        <v>44452</v>
      </c>
      <c r="B567">
        <v>37</v>
      </c>
      <c r="C567">
        <v>9</v>
      </c>
      <c r="D567">
        <v>3</v>
      </c>
      <c r="E567" t="s">
        <v>47</v>
      </c>
      <c r="F567">
        <v>0</v>
      </c>
      <c r="G567">
        <f>INDEX(weekly!$E$2:$E$188,MATCH('Marketing Campaigns 22.11.22'!L567,weekly!$H$2:$H$188,0))</f>
        <v>1664.6</v>
      </c>
      <c r="H567">
        <f>INDEX(weekly!$D$2:$D$188,MATCH('Marketing Campaigns 22.11.22'!L567,weekly!$H$2:$H$188,0))</f>
        <v>1187.4333333333334</v>
      </c>
      <c r="I567">
        <f>INDEX(weekly!$F$2:$F$188,MATCH('Marketing Campaigns 22.11.22'!L567,weekly!$H$2:$H$188,0))</f>
        <v>0</v>
      </c>
      <c r="J567">
        <v>0</v>
      </c>
      <c r="K567">
        <v>0</v>
      </c>
      <c r="L567" t="str">
        <f t="shared" si="16"/>
        <v>37-9-2021</v>
      </c>
      <c r="M567">
        <f t="shared" si="17"/>
        <v>2021</v>
      </c>
    </row>
    <row r="568" spans="1:13" x14ac:dyDescent="0.2">
      <c r="A568" s="1">
        <v>44452</v>
      </c>
      <c r="B568">
        <v>37</v>
      </c>
      <c r="C568">
        <v>9</v>
      </c>
      <c r="D568">
        <v>3</v>
      </c>
      <c r="E568" t="s">
        <v>48</v>
      </c>
      <c r="F568">
        <v>0</v>
      </c>
      <c r="G568">
        <f>INDEX(weekly!$E$2:$E$188,MATCH('Marketing Campaigns 22.11.22'!L568,weekly!$H$2:$H$188,0))</f>
        <v>1664.6</v>
      </c>
      <c r="H568">
        <f>INDEX(weekly!$D$2:$D$188,MATCH('Marketing Campaigns 22.11.22'!L568,weekly!$H$2:$H$188,0))</f>
        <v>1187.4333333333334</v>
      </c>
      <c r="I568">
        <f>INDEX(weekly!$F$2:$F$188,MATCH('Marketing Campaigns 22.11.22'!L568,weekly!$H$2:$H$188,0))</f>
        <v>0</v>
      </c>
      <c r="J568">
        <v>0</v>
      </c>
      <c r="K568">
        <v>0</v>
      </c>
      <c r="L568" t="str">
        <f t="shared" si="16"/>
        <v>37-9-2021</v>
      </c>
      <c r="M568">
        <f t="shared" si="17"/>
        <v>2021</v>
      </c>
    </row>
    <row r="569" spans="1:13" x14ac:dyDescent="0.2">
      <c r="A569" s="1">
        <v>44452</v>
      </c>
      <c r="B569">
        <v>37</v>
      </c>
      <c r="C569">
        <v>9</v>
      </c>
      <c r="D569">
        <v>3</v>
      </c>
      <c r="E569" t="s">
        <v>49</v>
      </c>
      <c r="F569">
        <v>0</v>
      </c>
      <c r="G569">
        <f>INDEX(weekly!$E$2:$E$188,MATCH('Marketing Campaigns 22.11.22'!L569,weekly!$H$2:$H$188,0))</f>
        <v>1664.6</v>
      </c>
      <c r="H569">
        <f>INDEX(weekly!$D$2:$D$188,MATCH('Marketing Campaigns 22.11.22'!L569,weekly!$H$2:$H$188,0))</f>
        <v>1187.4333333333334</v>
      </c>
      <c r="I569">
        <f>INDEX(weekly!$F$2:$F$188,MATCH('Marketing Campaigns 22.11.22'!L569,weekly!$H$2:$H$188,0))</f>
        <v>0</v>
      </c>
      <c r="J569">
        <v>0</v>
      </c>
      <c r="K569">
        <v>0</v>
      </c>
      <c r="L569" t="str">
        <f t="shared" si="16"/>
        <v>37-9-2021</v>
      </c>
      <c r="M569">
        <f t="shared" si="17"/>
        <v>2021</v>
      </c>
    </row>
    <row r="570" spans="1:13" x14ac:dyDescent="0.2">
      <c r="A570" s="1">
        <v>44452</v>
      </c>
      <c r="B570">
        <v>37</v>
      </c>
      <c r="C570">
        <v>9</v>
      </c>
      <c r="D570">
        <v>3</v>
      </c>
      <c r="E570" t="s">
        <v>50</v>
      </c>
      <c r="F570">
        <v>0</v>
      </c>
      <c r="G570">
        <f>INDEX(weekly!$E$2:$E$188,MATCH('Marketing Campaigns 22.11.22'!L570,weekly!$H$2:$H$188,0))</f>
        <v>1664.6</v>
      </c>
      <c r="H570">
        <f>INDEX(weekly!$D$2:$D$188,MATCH('Marketing Campaigns 22.11.22'!L570,weekly!$H$2:$H$188,0))</f>
        <v>1187.4333333333334</v>
      </c>
      <c r="I570">
        <f>INDEX(weekly!$F$2:$F$188,MATCH('Marketing Campaigns 22.11.22'!L570,weekly!$H$2:$H$188,0))</f>
        <v>0</v>
      </c>
      <c r="J570">
        <v>0</v>
      </c>
      <c r="K570">
        <v>0</v>
      </c>
      <c r="L570" t="str">
        <f t="shared" si="16"/>
        <v>37-9-2021</v>
      </c>
      <c r="M570">
        <f t="shared" si="17"/>
        <v>2021</v>
      </c>
    </row>
    <row r="571" spans="1:13" x14ac:dyDescent="0.2">
      <c r="A571" s="1">
        <v>44452</v>
      </c>
      <c r="B571">
        <v>37</v>
      </c>
      <c r="C571">
        <v>9</v>
      </c>
      <c r="D571">
        <v>3</v>
      </c>
      <c r="E571" t="s">
        <v>51</v>
      </c>
      <c r="F571">
        <v>0</v>
      </c>
      <c r="G571">
        <f>INDEX(weekly!$E$2:$E$188,MATCH('Marketing Campaigns 22.11.22'!L571,weekly!$H$2:$H$188,0))</f>
        <v>1664.6</v>
      </c>
      <c r="H571">
        <f>INDEX(weekly!$D$2:$D$188,MATCH('Marketing Campaigns 22.11.22'!L571,weekly!$H$2:$H$188,0))</f>
        <v>1187.4333333333334</v>
      </c>
      <c r="I571">
        <f>INDEX(weekly!$F$2:$F$188,MATCH('Marketing Campaigns 22.11.22'!L571,weekly!$H$2:$H$188,0))</f>
        <v>0</v>
      </c>
      <c r="J571">
        <v>0</v>
      </c>
      <c r="K571">
        <v>0</v>
      </c>
      <c r="L571" t="str">
        <f t="shared" si="16"/>
        <v>37-9-2021</v>
      </c>
      <c r="M571">
        <f t="shared" si="17"/>
        <v>2021</v>
      </c>
    </row>
    <row r="572" spans="1:13" x14ac:dyDescent="0.2">
      <c r="A572" s="1">
        <v>44452</v>
      </c>
      <c r="B572">
        <v>37</v>
      </c>
      <c r="C572">
        <v>9</v>
      </c>
      <c r="D572">
        <v>3</v>
      </c>
      <c r="E572" t="s">
        <v>52</v>
      </c>
      <c r="F572">
        <v>0</v>
      </c>
      <c r="G572">
        <f>INDEX(weekly!$E$2:$E$188,MATCH('Marketing Campaigns 22.11.22'!L572,weekly!$H$2:$H$188,0))</f>
        <v>1664.6</v>
      </c>
      <c r="H572">
        <f>INDEX(weekly!$D$2:$D$188,MATCH('Marketing Campaigns 22.11.22'!L572,weekly!$H$2:$H$188,0))</f>
        <v>1187.4333333333334</v>
      </c>
      <c r="I572">
        <f>INDEX(weekly!$F$2:$F$188,MATCH('Marketing Campaigns 22.11.22'!L572,weekly!$H$2:$H$188,0))</f>
        <v>0</v>
      </c>
      <c r="J572">
        <v>0</v>
      </c>
      <c r="K572">
        <v>0</v>
      </c>
      <c r="L572" t="str">
        <f t="shared" si="16"/>
        <v>37-9-2021</v>
      </c>
      <c r="M572">
        <f t="shared" si="17"/>
        <v>2021</v>
      </c>
    </row>
    <row r="573" spans="1:13" x14ac:dyDescent="0.2">
      <c r="A573" s="1">
        <v>44459</v>
      </c>
      <c r="B573">
        <v>38</v>
      </c>
      <c r="C573">
        <v>9</v>
      </c>
      <c r="D573">
        <v>3</v>
      </c>
      <c r="E573" t="s">
        <v>24</v>
      </c>
      <c r="F573">
        <v>0</v>
      </c>
      <c r="G573">
        <f>INDEX(weekly!$E$2:$E$188,MATCH('Marketing Campaigns 22.11.22'!L573,weekly!$H$2:$H$188,0))</f>
        <v>1664.6</v>
      </c>
      <c r="H573">
        <f>INDEX(weekly!$D$2:$D$188,MATCH('Marketing Campaigns 22.11.22'!L573,weekly!$H$2:$H$188,0))</f>
        <v>1187.4333333333334</v>
      </c>
      <c r="I573">
        <f>INDEX(weekly!$F$2:$F$188,MATCH('Marketing Campaigns 22.11.22'!L573,weekly!$H$2:$H$188,0))</f>
        <v>0</v>
      </c>
      <c r="J573">
        <v>0</v>
      </c>
      <c r="K573">
        <v>0</v>
      </c>
      <c r="L573" t="str">
        <f t="shared" si="16"/>
        <v>38-9-2021</v>
      </c>
      <c r="M573">
        <f t="shared" si="17"/>
        <v>2021</v>
      </c>
    </row>
    <row r="574" spans="1:13" x14ac:dyDescent="0.2">
      <c r="A574" s="1">
        <v>44459</v>
      </c>
      <c r="B574">
        <v>38</v>
      </c>
      <c r="C574">
        <v>9</v>
      </c>
      <c r="D574">
        <v>3</v>
      </c>
      <c r="E574" t="s">
        <v>39</v>
      </c>
      <c r="F574">
        <v>0</v>
      </c>
      <c r="G574">
        <f>INDEX(weekly!$E$2:$E$188,MATCH('Marketing Campaigns 22.11.22'!L574,weekly!$H$2:$H$188,0))</f>
        <v>1664.6</v>
      </c>
      <c r="H574">
        <f>INDEX(weekly!$D$2:$D$188,MATCH('Marketing Campaigns 22.11.22'!L574,weekly!$H$2:$H$188,0))</f>
        <v>1187.4333333333334</v>
      </c>
      <c r="I574">
        <f>INDEX(weekly!$F$2:$F$188,MATCH('Marketing Campaigns 22.11.22'!L574,weekly!$H$2:$H$188,0))</f>
        <v>0</v>
      </c>
      <c r="J574">
        <v>0</v>
      </c>
      <c r="K574">
        <v>0</v>
      </c>
      <c r="L574" t="str">
        <f t="shared" si="16"/>
        <v>38-9-2021</v>
      </c>
      <c r="M574">
        <f t="shared" si="17"/>
        <v>2021</v>
      </c>
    </row>
    <row r="575" spans="1:13" x14ac:dyDescent="0.2">
      <c r="A575" s="1">
        <v>44459</v>
      </c>
      <c r="B575">
        <v>38</v>
      </c>
      <c r="C575">
        <v>9</v>
      </c>
      <c r="D575">
        <v>3</v>
      </c>
      <c r="E575" t="s">
        <v>40</v>
      </c>
      <c r="F575">
        <v>0</v>
      </c>
      <c r="G575">
        <f>INDEX(weekly!$E$2:$E$188,MATCH('Marketing Campaigns 22.11.22'!L575,weekly!$H$2:$H$188,0))</f>
        <v>1664.6</v>
      </c>
      <c r="H575">
        <f>INDEX(weekly!$D$2:$D$188,MATCH('Marketing Campaigns 22.11.22'!L575,weekly!$H$2:$H$188,0))</f>
        <v>1187.4333333333334</v>
      </c>
      <c r="I575">
        <f>INDEX(weekly!$F$2:$F$188,MATCH('Marketing Campaigns 22.11.22'!L575,weekly!$H$2:$H$188,0))</f>
        <v>0</v>
      </c>
      <c r="J575">
        <v>0</v>
      </c>
      <c r="K575">
        <v>0</v>
      </c>
      <c r="L575" t="str">
        <f t="shared" si="16"/>
        <v>38-9-2021</v>
      </c>
      <c r="M575">
        <f t="shared" si="17"/>
        <v>2021</v>
      </c>
    </row>
    <row r="576" spans="1:13" x14ac:dyDescent="0.2">
      <c r="A576" s="1">
        <v>44459</v>
      </c>
      <c r="B576">
        <v>38</v>
      </c>
      <c r="C576">
        <v>9</v>
      </c>
      <c r="D576">
        <v>3</v>
      </c>
      <c r="E576" t="s">
        <v>41</v>
      </c>
      <c r="F576">
        <v>0</v>
      </c>
      <c r="G576">
        <f>INDEX(weekly!$E$2:$E$188,MATCH('Marketing Campaigns 22.11.22'!L576,weekly!$H$2:$H$188,0))</f>
        <v>1664.6</v>
      </c>
      <c r="H576">
        <f>INDEX(weekly!$D$2:$D$188,MATCH('Marketing Campaigns 22.11.22'!L576,weekly!$H$2:$H$188,0))</f>
        <v>1187.4333333333334</v>
      </c>
      <c r="I576">
        <f>INDEX(weekly!$F$2:$F$188,MATCH('Marketing Campaigns 22.11.22'!L576,weekly!$H$2:$H$188,0))</f>
        <v>0</v>
      </c>
      <c r="J576">
        <v>0</v>
      </c>
      <c r="K576">
        <v>0</v>
      </c>
      <c r="L576" t="str">
        <f t="shared" si="16"/>
        <v>38-9-2021</v>
      </c>
      <c r="M576">
        <f t="shared" si="17"/>
        <v>2021</v>
      </c>
    </row>
    <row r="577" spans="1:13" x14ac:dyDescent="0.2">
      <c r="A577" s="1">
        <v>44459</v>
      </c>
      <c r="B577">
        <v>38</v>
      </c>
      <c r="C577">
        <v>9</v>
      </c>
      <c r="D577">
        <v>3</v>
      </c>
      <c r="E577" t="s">
        <v>42</v>
      </c>
      <c r="F577">
        <v>0</v>
      </c>
      <c r="G577">
        <f>INDEX(weekly!$E$2:$E$188,MATCH('Marketing Campaigns 22.11.22'!L577,weekly!$H$2:$H$188,0))</f>
        <v>1664.6</v>
      </c>
      <c r="H577">
        <f>INDEX(weekly!$D$2:$D$188,MATCH('Marketing Campaigns 22.11.22'!L577,weekly!$H$2:$H$188,0))</f>
        <v>1187.4333333333334</v>
      </c>
      <c r="I577">
        <f>INDEX(weekly!$F$2:$F$188,MATCH('Marketing Campaigns 22.11.22'!L577,weekly!$H$2:$H$188,0))</f>
        <v>0</v>
      </c>
      <c r="J577">
        <v>0</v>
      </c>
      <c r="K577">
        <v>0</v>
      </c>
      <c r="L577" t="str">
        <f t="shared" si="16"/>
        <v>38-9-2021</v>
      </c>
      <c r="M577">
        <f t="shared" si="17"/>
        <v>2021</v>
      </c>
    </row>
    <row r="578" spans="1:13" x14ac:dyDescent="0.2">
      <c r="A578" s="1">
        <v>44459</v>
      </c>
      <c r="B578">
        <v>38</v>
      </c>
      <c r="C578">
        <v>9</v>
      </c>
      <c r="D578">
        <v>3</v>
      </c>
      <c r="E578" t="s">
        <v>43</v>
      </c>
      <c r="F578">
        <v>0</v>
      </c>
      <c r="G578">
        <f>INDEX(weekly!$E$2:$E$188,MATCH('Marketing Campaigns 22.11.22'!L578,weekly!$H$2:$H$188,0))</f>
        <v>1664.6</v>
      </c>
      <c r="H578">
        <f>INDEX(weekly!$D$2:$D$188,MATCH('Marketing Campaigns 22.11.22'!L578,weekly!$H$2:$H$188,0))</f>
        <v>1187.4333333333334</v>
      </c>
      <c r="I578">
        <f>INDEX(weekly!$F$2:$F$188,MATCH('Marketing Campaigns 22.11.22'!L578,weekly!$H$2:$H$188,0))</f>
        <v>0</v>
      </c>
      <c r="J578">
        <v>0</v>
      </c>
      <c r="K578">
        <v>0</v>
      </c>
      <c r="L578" t="str">
        <f t="shared" si="16"/>
        <v>38-9-2021</v>
      </c>
      <c r="M578">
        <f t="shared" si="17"/>
        <v>2021</v>
      </c>
    </row>
    <row r="579" spans="1:13" x14ac:dyDescent="0.2">
      <c r="A579" s="1">
        <v>44459</v>
      </c>
      <c r="B579">
        <v>38</v>
      </c>
      <c r="C579">
        <v>9</v>
      </c>
      <c r="D579">
        <v>3</v>
      </c>
      <c r="E579" t="s">
        <v>44</v>
      </c>
      <c r="F579">
        <v>0</v>
      </c>
      <c r="G579">
        <f>INDEX(weekly!$E$2:$E$188,MATCH('Marketing Campaigns 22.11.22'!L579,weekly!$H$2:$H$188,0))</f>
        <v>1664.6</v>
      </c>
      <c r="H579">
        <f>INDEX(weekly!$D$2:$D$188,MATCH('Marketing Campaigns 22.11.22'!L579,weekly!$H$2:$H$188,0))</f>
        <v>1187.4333333333334</v>
      </c>
      <c r="I579">
        <f>INDEX(weekly!$F$2:$F$188,MATCH('Marketing Campaigns 22.11.22'!L579,weekly!$H$2:$H$188,0))</f>
        <v>0</v>
      </c>
      <c r="J579">
        <v>0</v>
      </c>
      <c r="K579">
        <v>0</v>
      </c>
      <c r="L579" t="str">
        <f t="shared" si="16"/>
        <v>38-9-2021</v>
      </c>
      <c r="M579">
        <f t="shared" si="17"/>
        <v>2021</v>
      </c>
    </row>
    <row r="580" spans="1:13" x14ac:dyDescent="0.2">
      <c r="A580" s="1">
        <v>44459</v>
      </c>
      <c r="B580">
        <v>38</v>
      </c>
      <c r="C580">
        <v>9</v>
      </c>
      <c r="D580">
        <v>3</v>
      </c>
      <c r="E580" t="s">
        <v>45</v>
      </c>
      <c r="F580">
        <v>0</v>
      </c>
      <c r="G580">
        <f>INDEX(weekly!$E$2:$E$188,MATCH('Marketing Campaigns 22.11.22'!L580,weekly!$H$2:$H$188,0))</f>
        <v>1664.6</v>
      </c>
      <c r="H580">
        <f>INDEX(weekly!$D$2:$D$188,MATCH('Marketing Campaigns 22.11.22'!L580,weekly!$H$2:$H$188,0))</f>
        <v>1187.4333333333334</v>
      </c>
      <c r="I580">
        <f>INDEX(weekly!$F$2:$F$188,MATCH('Marketing Campaigns 22.11.22'!L580,weekly!$H$2:$H$188,0))</f>
        <v>0</v>
      </c>
      <c r="J580">
        <v>0</v>
      </c>
      <c r="K580">
        <v>0</v>
      </c>
      <c r="L580" t="str">
        <f t="shared" ref="L580:L643" si="18">B580&amp;"-"&amp;C580&amp;"-"&amp;M580</f>
        <v>38-9-2021</v>
      </c>
      <c r="M580">
        <f t="shared" ref="M580:M643" si="19">YEAR(A580)</f>
        <v>2021</v>
      </c>
    </row>
    <row r="581" spans="1:13" x14ac:dyDescent="0.2">
      <c r="A581" s="1">
        <v>44459</v>
      </c>
      <c r="B581">
        <v>38</v>
      </c>
      <c r="C581">
        <v>9</v>
      </c>
      <c r="D581">
        <v>3</v>
      </c>
      <c r="E581" t="s">
        <v>46</v>
      </c>
      <c r="F581">
        <v>0</v>
      </c>
      <c r="G581">
        <f>INDEX(weekly!$E$2:$E$188,MATCH('Marketing Campaigns 22.11.22'!L581,weekly!$H$2:$H$188,0))</f>
        <v>1664.6</v>
      </c>
      <c r="H581">
        <f>INDEX(weekly!$D$2:$D$188,MATCH('Marketing Campaigns 22.11.22'!L581,weekly!$H$2:$H$188,0))</f>
        <v>1187.4333333333334</v>
      </c>
      <c r="I581">
        <f>INDEX(weekly!$F$2:$F$188,MATCH('Marketing Campaigns 22.11.22'!L581,weekly!$H$2:$H$188,0))</f>
        <v>0</v>
      </c>
      <c r="J581">
        <v>0</v>
      </c>
      <c r="K581">
        <v>0</v>
      </c>
      <c r="L581" t="str">
        <f t="shared" si="18"/>
        <v>38-9-2021</v>
      </c>
      <c r="M581">
        <f t="shared" si="19"/>
        <v>2021</v>
      </c>
    </row>
    <row r="582" spans="1:13" x14ac:dyDescent="0.2">
      <c r="A582" s="1">
        <v>44459</v>
      </c>
      <c r="B582">
        <v>38</v>
      </c>
      <c r="C582">
        <v>9</v>
      </c>
      <c r="D582">
        <v>3</v>
      </c>
      <c r="E582" t="s">
        <v>47</v>
      </c>
      <c r="F582">
        <v>0</v>
      </c>
      <c r="G582">
        <f>INDEX(weekly!$E$2:$E$188,MATCH('Marketing Campaigns 22.11.22'!L582,weekly!$H$2:$H$188,0))</f>
        <v>1664.6</v>
      </c>
      <c r="H582">
        <f>INDEX(weekly!$D$2:$D$188,MATCH('Marketing Campaigns 22.11.22'!L582,weekly!$H$2:$H$188,0))</f>
        <v>1187.4333333333334</v>
      </c>
      <c r="I582">
        <f>INDEX(weekly!$F$2:$F$188,MATCH('Marketing Campaigns 22.11.22'!L582,weekly!$H$2:$H$188,0))</f>
        <v>0</v>
      </c>
      <c r="J582">
        <v>0</v>
      </c>
      <c r="K582">
        <v>0</v>
      </c>
      <c r="L582" t="str">
        <f t="shared" si="18"/>
        <v>38-9-2021</v>
      </c>
      <c r="M582">
        <f t="shared" si="19"/>
        <v>2021</v>
      </c>
    </row>
    <row r="583" spans="1:13" x14ac:dyDescent="0.2">
      <c r="A583" s="1">
        <v>44459</v>
      </c>
      <c r="B583">
        <v>38</v>
      </c>
      <c r="C583">
        <v>9</v>
      </c>
      <c r="D583">
        <v>3</v>
      </c>
      <c r="E583" t="s">
        <v>48</v>
      </c>
      <c r="F583">
        <v>0</v>
      </c>
      <c r="G583">
        <f>INDEX(weekly!$E$2:$E$188,MATCH('Marketing Campaigns 22.11.22'!L583,weekly!$H$2:$H$188,0))</f>
        <v>1664.6</v>
      </c>
      <c r="H583">
        <f>INDEX(weekly!$D$2:$D$188,MATCH('Marketing Campaigns 22.11.22'!L583,weekly!$H$2:$H$188,0))</f>
        <v>1187.4333333333334</v>
      </c>
      <c r="I583">
        <f>INDEX(weekly!$F$2:$F$188,MATCH('Marketing Campaigns 22.11.22'!L583,weekly!$H$2:$H$188,0))</f>
        <v>0</v>
      </c>
      <c r="J583">
        <v>0</v>
      </c>
      <c r="K583">
        <v>0</v>
      </c>
      <c r="L583" t="str">
        <f t="shared" si="18"/>
        <v>38-9-2021</v>
      </c>
      <c r="M583">
        <f t="shared" si="19"/>
        <v>2021</v>
      </c>
    </row>
    <row r="584" spans="1:13" x14ac:dyDescent="0.2">
      <c r="A584" s="1">
        <v>44459</v>
      </c>
      <c r="B584">
        <v>38</v>
      </c>
      <c r="C584">
        <v>9</v>
      </c>
      <c r="D584">
        <v>3</v>
      </c>
      <c r="E584" t="s">
        <v>49</v>
      </c>
      <c r="F584">
        <v>0</v>
      </c>
      <c r="G584">
        <f>INDEX(weekly!$E$2:$E$188,MATCH('Marketing Campaigns 22.11.22'!L584,weekly!$H$2:$H$188,0))</f>
        <v>1664.6</v>
      </c>
      <c r="H584">
        <f>INDEX(weekly!$D$2:$D$188,MATCH('Marketing Campaigns 22.11.22'!L584,weekly!$H$2:$H$188,0))</f>
        <v>1187.4333333333334</v>
      </c>
      <c r="I584">
        <f>INDEX(weekly!$F$2:$F$188,MATCH('Marketing Campaigns 22.11.22'!L584,weekly!$H$2:$H$188,0))</f>
        <v>0</v>
      </c>
      <c r="J584">
        <v>0</v>
      </c>
      <c r="K584">
        <v>0</v>
      </c>
      <c r="L584" t="str">
        <f t="shared" si="18"/>
        <v>38-9-2021</v>
      </c>
      <c r="M584">
        <f t="shared" si="19"/>
        <v>2021</v>
      </c>
    </row>
    <row r="585" spans="1:13" x14ac:dyDescent="0.2">
      <c r="A585" s="1">
        <v>44459</v>
      </c>
      <c r="B585">
        <v>38</v>
      </c>
      <c r="C585">
        <v>9</v>
      </c>
      <c r="D585">
        <v>3</v>
      </c>
      <c r="E585" t="s">
        <v>50</v>
      </c>
      <c r="F585">
        <v>0</v>
      </c>
      <c r="G585">
        <f>INDEX(weekly!$E$2:$E$188,MATCH('Marketing Campaigns 22.11.22'!L585,weekly!$H$2:$H$188,0))</f>
        <v>1664.6</v>
      </c>
      <c r="H585">
        <f>INDEX(weekly!$D$2:$D$188,MATCH('Marketing Campaigns 22.11.22'!L585,weekly!$H$2:$H$188,0))</f>
        <v>1187.4333333333334</v>
      </c>
      <c r="I585">
        <f>INDEX(weekly!$F$2:$F$188,MATCH('Marketing Campaigns 22.11.22'!L585,weekly!$H$2:$H$188,0))</f>
        <v>0</v>
      </c>
      <c r="J585">
        <v>0</v>
      </c>
      <c r="K585">
        <v>0</v>
      </c>
      <c r="L585" t="str">
        <f t="shared" si="18"/>
        <v>38-9-2021</v>
      </c>
      <c r="M585">
        <f t="shared" si="19"/>
        <v>2021</v>
      </c>
    </row>
    <row r="586" spans="1:13" x14ac:dyDescent="0.2">
      <c r="A586" s="1">
        <v>44459</v>
      </c>
      <c r="B586">
        <v>38</v>
      </c>
      <c r="C586">
        <v>9</v>
      </c>
      <c r="D586">
        <v>3</v>
      </c>
      <c r="E586" t="s">
        <v>51</v>
      </c>
      <c r="F586">
        <v>0</v>
      </c>
      <c r="G586">
        <f>INDEX(weekly!$E$2:$E$188,MATCH('Marketing Campaigns 22.11.22'!L586,weekly!$H$2:$H$188,0))</f>
        <v>1664.6</v>
      </c>
      <c r="H586">
        <f>INDEX(weekly!$D$2:$D$188,MATCH('Marketing Campaigns 22.11.22'!L586,weekly!$H$2:$H$188,0))</f>
        <v>1187.4333333333334</v>
      </c>
      <c r="I586">
        <f>INDEX(weekly!$F$2:$F$188,MATCH('Marketing Campaigns 22.11.22'!L586,weekly!$H$2:$H$188,0))</f>
        <v>0</v>
      </c>
      <c r="J586">
        <v>0</v>
      </c>
      <c r="K586">
        <v>0</v>
      </c>
      <c r="L586" t="str">
        <f t="shared" si="18"/>
        <v>38-9-2021</v>
      </c>
      <c r="M586">
        <f t="shared" si="19"/>
        <v>2021</v>
      </c>
    </row>
    <row r="587" spans="1:13" x14ac:dyDescent="0.2">
      <c r="A587" s="1">
        <v>44459</v>
      </c>
      <c r="B587">
        <v>38</v>
      </c>
      <c r="C587">
        <v>9</v>
      </c>
      <c r="D587">
        <v>3</v>
      </c>
      <c r="E587" t="s">
        <v>52</v>
      </c>
      <c r="F587">
        <v>0</v>
      </c>
      <c r="G587">
        <f>INDEX(weekly!$E$2:$E$188,MATCH('Marketing Campaigns 22.11.22'!L587,weekly!$H$2:$H$188,0))</f>
        <v>1664.6</v>
      </c>
      <c r="H587">
        <f>INDEX(weekly!$D$2:$D$188,MATCH('Marketing Campaigns 22.11.22'!L587,weekly!$H$2:$H$188,0))</f>
        <v>1187.4333333333334</v>
      </c>
      <c r="I587">
        <f>INDEX(weekly!$F$2:$F$188,MATCH('Marketing Campaigns 22.11.22'!L587,weekly!$H$2:$H$188,0))</f>
        <v>0</v>
      </c>
      <c r="J587">
        <v>0</v>
      </c>
      <c r="K587">
        <v>0</v>
      </c>
      <c r="L587" t="str">
        <f t="shared" si="18"/>
        <v>38-9-2021</v>
      </c>
      <c r="M587">
        <f t="shared" si="19"/>
        <v>2021</v>
      </c>
    </row>
    <row r="588" spans="1:13" x14ac:dyDescent="0.2">
      <c r="A588" s="1">
        <v>44466</v>
      </c>
      <c r="B588">
        <v>39</v>
      </c>
      <c r="C588">
        <v>9</v>
      </c>
      <c r="D588">
        <v>3</v>
      </c>
      <c r="E588" t="s">
        <v>24</v>
      </c>
      <c r="F588">
        <v>0</v>
      </c>
      <c r="G588">
        <f>INDEX(weekly!$E$2:$E$188,MATCH('Marketing Campaigns 22.11.22'!L588,weekly!$H$2:$H$188,0))</f>
        <v>951.2</v>
      </c>
      <c r="H588">
        <f>INDEX(weekly!$D$2:$D$188,MATCH('Marketing Campaigns 22.11.22'!L588,weekly!$H$2:$H$188,0))</f>
        <v>678.5333333333333</v>
      </c>
      <c r="I588">
        <f>INDEX(weekly!$F$2:$F$188,MATCH('Marketing Campaigns 22.11.22'!L588,weekly!$H$2:$H$188,0))</f>
        <v>0</v>
      </c>
      <c r="J588">
        <v>0</v>
      </c>
      <c r="K588">
        <v>0</v>
      </c>
      <c r="L588" t="str">
        <f t="shared" si="18"/>
        <v>39-9-2021</v>
      </c>
      <c r="M588">
        <f t="shared" si="19"/>
        <v>2021</v>
      </c>
    </row>
    <row r="589" spans="1:13" x14ac:dyDescent="0.2">
      <c r="A589" s="1">
        <v>44466</v>
      </c>
      <c r="B589">
        <v>39</v>
      </c>
      <c r="C589">
        <v>9</v>
      </c>
      <c r="D589">
        <v>3</v>
      </c>
      <c r="E589" t="s">
        <v>39</v>
      </c>
      <c r="F589">
        <v>0</v>
      </c>
      <c r="G589">
        <f>INDEX(weekly!$E$2:$E$188,MATCH('Marketing Campaigns 22.11.22'!L589,weekly!$H$2:$H$188,0))</f>
        <v>951.2</v>
      </c>
      <c r="H589">
        <f>INDEX(weekly!$D$2:$D$188,MATCH('Marketing Campaigns 22.11.22'!L589,weekly!$H$2:$H$188,0))</f>
        <v>678.5333333333333</v>
      </c>
      <c r="I589">
        <f>INDEX(weekly!$F$2:$F$188,MATCH('Marketing Campaigns 22.11.22'!L589,weekly!$H$2:$H$188,0))</f>
        <v>0</v>
      </c>
      <c r="J589">
        <v>0</v>
      </c>
      <c r="K589">
        <v>0</v>
      </c>
      <c r="L589" t="str">
        <f t="shared" si="18"/>
        <v>39-9-2021</v>
      </c>
      <c r="M589">
        <f t="shared" si="19"/>
        <v>2021</v>
      </c>
    </row>
    <row r="590" spans="1:13" x14ac:dyDescent="0.2">
      <c r="A590" s="1">
        <v>44466</v>
      </c>
      <c r="B590">
        <v>39</v>
      </c>
      <c r="C590">
        <v>9</v>
      </c>
      <c r="D590">
        <v>3</v>
      </c>
      <c r="E590" t="s">
        <v>40</v>
      </c>
      <c r="F590">
        <v>0</v>
      </c>
      <c r="G590">
        <f>INDEX(weekly!$E$2:$E$188,MATCH('Marketing Campaigns 22.11.22'!L590,weekly!$H$2:$H$188,0))</f>
        <v>951.2</v>
      </c>
      <c r="H590">
        <f>INDEX(weekly!$D$2:$D$188,MATCH('Marketing Campaigns 22.11.22'!L590,weekly!$H$2:$H$188,0))</f>
        <v>678.5333333333333</v>
      </c>
      <c r="I590">
        <f>INDEX(weekly!$F$2:$F$188,MATCH('Marketing Campaigns 22.11.22'!L590,weekly!$H$2:$H$188,0))</f>
        <v>0</v>
      </c>
      <c r="J590">
        <v>0</v>
      </c>
      <c r="K590">
        <v>0</v>
      </c>
      <c r="L590" t="str">
        <f t="shared" si="18"/>
        <v>39-9-2021</v>
      </c>
      <c r="M590">
        <f t="shared" si="19"/>
        <v>2021</v>
      </c>
    </row>
    <row r="591" spans="1:13" x14ac:dyDescent="0.2">
      <c r="A591" s="1">
        <v>44466</v>
      </c>
      <c r="B591">
        <v>39</v>
      </c>
      <c r="C591">
        <v>9</v>
      </c>
      <c r="D591">
        <v>3</v>
      </c>
      <c r="E591" t="s">
        <v>41</v>
      </c>
      <c r="F591">
        <v>0</v>
      </c>
      <c r="G591">
        <f>INDEX(weekly!$E$2:$E$188,MATCH('Marketing Campaigns 22.11.22'!L591,weekly!$H$2:$H$188,0))</f>
        <v>951.2</v>
      </c>
      <c r="H591">
        <f>INDEX(weekly!$D$2:$D$188,MATCH('Marketing Campaigns 22.11.22'!L591,weekly!$H$2:$H$188,0))</f>
        <v>678.5333333333333</v>
      </c>
      <c r="I591">
        <f>INDEX(weekly!$F$2:$F$188,MATCH('Marketing Campaigns 22.11.22'!L591,weekly!$H$2:$H$188,0))</f>
        <v>0</v>
      </c>
      <c r="J591">
        <v>0</v>
      </c>
      <c r="K591">
        <v>0</v>
      </c>
      <c r="L591" t="str">
        <f t="shared" si="18"/>
        <v>39-9-2021</v>
      </c>
      <c r="M591">
        <f t="shared" si="19"/>
        <v>2021</v>
      </c>
    </row>
    <row r="592" spans="1:13" x14ac:dyDescent="0.2">
      <c r="A592" s="1">
        <v>44466</v>
      </c>
      <c r="B592">
        <v>39</v>
      </c>
      <c r="C592">
        <v>9</v>
      </c>
      <c r="D592">
        <v>3</v>
      </c>
      <c r="E592" t="s">
        <v>42</v>
      </c>
      <c r="F592">
        <v>0</v>
      </c>
      <c r="G592">
        <f>INDEX(weekly!$E$2:$E$188,MATCH('Marketing Campaigns 22.11.22'!L592,weekly!$H$2:$H$188,0))</f>
        <v>951.2</v>
      </c>
      <c r="H592">
        <f>INDEX(weekly!$D$2:$D$188,MATCH('Marketing Campaigns 22.11.22'!L592,weekly!$H$2:$H$188,0))</f>
        <v>678.5333333333333</v>
      </c>
      <c r="I592">
        <f>INDEX(weekly!$F$2:$F$188,MATCH('Marketing Campaigns 22.11.22'!L592,weekly!$H$2:$H$188,0))</f>
        <v>0</v>
      </c>
      <c r="J592">
        <v>0</v>
      </c>
      <c r="K592">
        <v>0</v>
      </c>
      <c r="L592" t="str">
        <f t="shared" si="18"/>
        <v>39-9-2021</v>
      </c>
      <c r="M592">
        <f t="shared" si="19"/>
        <v>2021</v>
      </c>
    </row>
    <row r="593" spans="1:13" x14ac:dyDescent="0.2">
      <c r="A593" s="1">
        <v>44466</v>
      </c>
      <c r="B593">
        <v>39</v>
      </c>
      <c r="C593">
        <v>9</v>
      </c>
      <c r="D593">
        <v>3</v>
      </c>
      <c r="E593" t="s">
        <v>43</v>
      </c>
      <c r="F593">
        <v>0</v>
      </c>
      <c r="G593">
        <f>INDEX(weekly!$E$2:$E$188,MATCH('Marketing Campaigns 22.11.22'!L593,weekly!$H$2:$H$188,0))</f>
        <v>951.2</v>
      </c>
      <c r="H593">
        <f>INDEX(weekly!$D$2:$D$188,MATCH('Marketing Campaigns 22.11.22'!L593,weekly!$H$2:$H$188,0))</f>
        <v>678.5333333333333</v>
      </c>
      <c r="I593">
        <f>INDEX(weekly!$F$2:$F$188,MATCH('Marketing Campaigns 22.11.22'!L593,weekly!$H$2:$H$188,0))</f>
        <v>0</v>
      </c>
      <c r="J593">
        <v>0</v>
      </c>
      <c r="K593">
        <v>0</v>
      </c>
      <c r="L593" t="str">
        <f t="shared" si="18"/>
        <v>39-9-2021</v>
      </c>
      <c r="M593">
        <f t="shared" si="19"/>
        <v>2021</v>
      </c>
    </row>
    <row r="594" spans="1:13" x14ac:dyDescent="0.2">
      <c r="A594" s="1">
        <v>44466</v>
      </c>
      <c r="B594">
        <v>39</v>
      </c>
      <c r="C594">
        <v>9</v>
      </c>
      <c r="D594">
        <v>3</v>
      </c>
      <c r="E594" t="s">
        <v>44</v>
      </c>
      <c r="F594">
        <v>0</v>
      </c>
      <c r="G594">
        <f>INDEX(weekly!$E$2:$E$188,MATCH('Marketing Campaigns 22.11.22'!L594,weekly!$H$2:$H$188,0))</f>
        <v>951.2</v>
      </c>
      <c r="H594">
        <f>INDEX(weekly!$D$2:$D$188,MATCH('Marketing Campaigns 22.11.22'!L594,weekly!$H$2:$H$188,0))</f>
        <v>678.5333333333333</v>
      </c>
      <c r="I594">
        <f>INDEX(weekly!$F$2:$F$188,MATCH('Marketing Campaigns 22.11.22'!L594,weekly!$H$2:$H$188,0))</f>
        <v>0</v>
      </c>
      <c r="J594">
        <v>0</v>
      </c>
      <c r="K594">
        <v>0</v>
      </c>
      <c r="L594" t="str">
        <f t="shared" si="18"/>
        <v>39-9-2021</v>
      </c>
      <c r="M594">
        <f t="shared" si="19"/>
        <v>2021</v>
      </c>
    </row>
    <row r="595" spans="1:13" x14ac:dyDescent="0.2">
      <c r="A595" s="1">
        <v>44466</v>
      </c>
      <c r="B595">
        <v>39</v>
      </c>
      <c r="C595">
        <v>9</v>
      </c>
      <c r="D595">
        <v>3</v>
      </c>
      <c r="E595" t="s">
        <v>45</v>
      </c>
      <c r="F595">
        <v>0</v>
      </c>
      <c r="G595">
        <f>INDEX(weekly!$E$2:$E$188,MATCH('Marketing Campaigns 22.11.22'!L595,weekly!$H$2:$H$188,0))</f>
        <v>951.2</v>
      </c>
      <c r="H595">
        <f>INDEX(weekly!$D$2:$D$188,MATCH('Marketing Campaigns 22.11.22'!L595,weekly!$H$2:$H$188,0))</f>
        <v>678.5333333333333</v>
      </c>
      <c r="I595">
        <f>INDEX(weekly!$F$2:$F$188,MATCH('Marketing Campaigns 22.11.22'!L595,weekly!$H$2:$H$188,0))</f>
        <v>0</v>
      </c>
      <c r="J595">
        <v>0</v>
      </c>
      <c r="K595">
        <v>0</v>
      </c>
      <c r="L595" t="str">
        <f t="shared" si="18"/>
        <v>39-9-2021</v>
      </c>
      <c r="M595">
        <f t="shared" si="19"/>
        <v>2021</v>
      </c>
    </row>
    <row r="596" spans="1:13" x14ac:dyDescent="0.2">
      <c r="A596" s="1">
        <v>44466</v>
      </c>
      <c r="B596">
        <v>39</v>
      </c>
      <c r="C596">
        <v>9</v>
      </c>
      <c r="D596">
        <v>3</v>
      </c>
      <c r="E596" t="s">
        <v>46</v>
      </c>
      <c r="F596">
        <v>0</v>
      </c>
      <c r="G596">
        <f>INDEX(weekly!$E$2:$E$188,MATCH('Marketing Campaigns 22.11.22'!L596,weekly!$H$2:$H$188,0))</f>
        <v>951.2</v>
      </c>
      <c r="H596">
        <f>INDEX(weekly!$D$2:$D$188,MATCH('Marketing Campaigns 22.11.22'!L596,weekly!$H$2:$H$188,0))</f>
        <v>678.5333333333333</v>
      </c>
      <c r="I596">
        <f>INDEX(weekly!$F$2:$F$188,MATCH('Marketing Campaigns 22.11.22'!L596,weekly!$H$2:$H$188,0))</f>
        <v>0</v>
      </c>
      <c r="J596">
        <v>0</v>
      </c>
      <c r="K596">
        <v>0</v>
      </c>
      <c r="L596" t="str">
        <f t="shared" si="18"/>
        <v>39-9-2021</v>
      </c>
      <c r="M596">
        <f t="shared" si="19"/>
        <v>2021</v>
      </c>
    </row>
    <row r="597" spans="1:13" x14ac:dyDescent="0.2">
      <c r="A597" s="1">
        <v>44466</v>
      </c>
      <c r="B597">
        <v>39</v>
      </c>
      <c r="C597">
        <v>9</v>
      </c>
      <c r="D597">
        <v>3</v>
      </c>
      <c r="E597" t="s">
        <v>47</v>
      </c>
      <c r="F597">
        <v>0</v>
      </c>
      <c r="G597">
        <f>INDEX(weekly!$E$2:$E$188,MATCH('Marketing Campaigns 22.11.22'!L597,weekly!$H$2:$H$188,0))</f>
        <v>951.2</v>
      </c>
      <c r="H597">
        <f>INDEX(weekly!$D$2:$D$188,MATCH('Marketing Campaigns 22.11.22'!L597,weekly!$H$2:$H$188,0))</f>
        <v>678.5333333333333</v>
      </c>
      <c r="I597">
        <f>INDEX(weekly!$F$2:$F$188,MATCH('Marketing Campaigns 22.11.22'!L597,weekly!$H$2:$H$188,0))</f>
        <v>0</v>
      </c>
      <c r="J597">
        <v>0</v>
      </c>
      <c r="K597">
        <v>0</v>
      </c>
      <c r="L597" t="str">
        <f t="shared" si="18"/>
        <v>39-9-2021</v>
      </c>
      <c r="M597">
        <f t="shared" si="19"/>
        <v>2021</v>
      </c>
    </row>
    <row r="598" spans="1:13" x14ac:dyDescent="0.2">
      <c r="A598" s="1">
        <v>44466</v>
      </c>
      <c r="B598">
        <v>39</v>
      </c>
      <c r="C598">
        <v>9</v>
      </c>
      <c r="D598">
        <v>3</v>
      </c>
      <c r="E598" t="s">
        <v>48</v>
      </c>
      <c r="F598">
        <v>0</v>
      </c>
      <c r="G598">
        <f>INDEX(weekly!$E$2:$E$188,MATCH('Marketing Campaigns 22.11.22'!L598,weekly!$H$2:$H$188,0))</f>
        <v>951.2</v>
      </c>
      <c r="H598">
        <f>INDEX(weekly!$D$2:$D$188,MATCH('Marketing Campaigns 22.11.22'!L598,weekly!$H$2:$H$188,0))</f>
        <v>678.5333333333333</v>
      </c>
      <c r="I598">
        <f>INDEX(weekly!$F$2:$F$188,MATCH('Marketing Campaigns 22.11.22'!L598,weekly!$H$2:$H$188,0))</f>
        <v>0</v>
      </c>
      <c r="J598">
        <v>0</v>
      </c>
      <c r="K598">
        <v>0</v>
      </c>
      <c r="L598" t="str">
        <f t="shared" si="18"/>
        <v>39-9-2021</v>
      </c>
      <c r="M598">
        <f t="shared" si="19"/>
        <v>2021</v>
      </c>
    </row>
    <row r="599" spans="1:13" x14ac:dyDescent="0.2">
      <c r="A599" s="1">
        <v>44466</v>
      </c>
      <c r="B599">
        <v>39</v>
      </c>
      <c r="C599">
        <v>9</v>
      </c>
      <c r="D599">
        <v>3</v>
      </c>
      <c r="E599" t="s">
        <v>49</v>
      </c>
      <c r="F599">
        <v>0</v>
      </c>
      <c r="G599">
        <f>INDEX(weekly!$E$2:$E$188,MATCH('Marketing Campaigns 22.11.22'!L599,weekly!$H$2:$H$188,0))</f>
        <v>951.2</v>
      </c>
      <c r="H599">
        <f>INDEX(weekly!$D$2:$D$188,MATCH('Marketing Campaigns 22.11.22'!L599,weekly!$H$2:$H$188,0))</f>
        <v>678.5333333333333</v>
      </c>
      <c r="I599">
        <f>INDEX(weekly!$F$2:$F$188,MATCH('Marketing Campaigns 22.11.22'!L599,weekly!$H$2:$H$188,0))</f>
        <v>0</v>
      </c>
      <c r="J599">
        <v>0</v>
      </c>
      <c r="K599">
        <v>0</v>
      </c>
      <c r="L599" t="str">
        <f t="shared" si="18"/>
        <v>39-9-2021</v>
      </c>
      <c r="M599">
        <f t="shared" si="19"/>
        <v>2021</v>
      </c>
    </row>
    <row r="600" spans="1:13" x14ac:dyDescent="0.2">
      <c r="A600" s="1">
        <v>44466</v>
      </c>
      <c r="B600">
        <v>39</v>
      </c>
      <c r="C600">
        <v>9</v>
      </c>
      <c r="D600">
        <v>3</v>
      </c>
      <c r="E600" t="s">
        <v>50</v>
      </c>
      <c r="F600">
        <v>0</v>
      </c>
      <c r="G600">
        <f>INDEX(weekly!$E$2:$E$188,MATCH('Marketing Campaigns 22.11.22'!L600,weekly!$H$2:$H$188,0))</f>
        <v>951.2</v>
      </c>
      <c r="H600">
        <f>INDEX(weekly!$D$2:$D$188,MATCH('Marketing Campaigns 22.11.22'!L600,weekly!$H$2:$H$188,0))</f>
        <v>678.5333333333333</v>
      </c>
      <c r="I600">
        <f>INDEX(weekly!$F$2:$F$188,MATCH('Marketing Campaigns 22.11.22'!L600,weekly!$H$2:$H$188,0))</f>
        <v>0</v>
      </c>
      <c r="J600">
        <v>0</v>
      </c>
      <c r="K600">
        <v>0</v>
      </c>
      <c r="L600" t="str">
        <f t="shared" si="18"/>
        <v>39-9-2021</v>
      </c>
      <c r="M600">
        <f t="shared" si="19"/>
        <v>2021</v>
      </c>
    </row>
    <row r="601" spans="1:13" x14ac:dyDescent="0.2">
      <c r="A601" s="1">
        <v>44466</v>
      </c>
      <c r="B601">
        <v>39</v>
      </c>
      <c r="C601">
        <v>9</v>
      </c>
      <c r="D601">
        <v>3</v>
      </c>
      <c r="E601" t="s">
        <v>51</v>
      </c>
      <c r="F601">
        <v>0</v>
      </c>
      <c r="G601">
        <f>INDEX(weekly!$E$2:$E$188,MATCH('Marketing Campaigns 22.11.22'!L601,weekly!$H$2:$H$188,0))</f>
        <v>951.2</v>
      </c>
      <c r="H601">
        <f>INDEX(weekly!$D$2:$D$188,MATCH('Marketing Campaigns 22.11.22'!L601,weekly!$H$2:$H$188,0))</f>
        <v>678.5333333333333</v>
      </c>
      <c r="I601">
        <f>INDEX(weekly!$F$2:$F$188,MATCH('Marketing Campaigns 22.11.22'!L601,weekly!$H$2:$H$188,0))</f>
        <v>0</v>
      </c>
      <c r="J601">
        <v>0</v>
      </c>
      <c r="K601">
        <v>0</v>
      </c>
      <c r="L601" t="str">
        <f t="shared" si="18"/>
        <v>39-9-2021</v>
      </c>
      <c r="M601">
        <f t="shared" si="19"/>
        <v>2021</v>
      </c>
    </row>
    <row r="602" spans="1:13" x14ac:dyDescent="0.2">
      <c r="A602" s="1">
        <v>44466</v>
      </c>
      <c r="B602">
        <v>39</v>
      </c>
      <c r="C602">
        <v>9</v>
      </c>
      <c r="D602">
        <v>3</v>
      </c>
      <c r="E602" t="s">
        <v>52</v>
      </c>
      <c r="F602">
        <v>0</v>
      </c>
      <c r="G602">
        <f>INDEX(weekly!$E$2:$E$188,MATCH('Marketing Campaigns 22.11.22'!L602,weekly!$H$2:$H$188,0))</f>
        <v>951.2</v>
      </c>
      <c r="H602">
        <f>INDEX(weekly!$D$2:$D$188,MATCH('Marketing Campaigns 22.11.22'!L602,weekly!$H$2:$H$188,0))</f>
        <v>678.5333333333333</v>
      </c>
      <c r="I602">
        <f>INDEX(weekly!$F$2:$F$188,MATCH('Marketing Campaigns 22.11.22'!L602,weekly!$H$2:$H$188,0))</f>
        <v>0</v>
      </c>
      <c r="J602">
        <v>0</v>
      </c>
      <c r="K602">
        <v>0</v>
      </c>
      <c r="L602" t="str">
        <f t="shared" si="18"/>
        <v>39-9-2021</v>
      </c>
      <c r="M602">
        <f t="shared" si="19"/>
        <v>2021</v>
      </c>
    </row>
    <row r="603" spans="1:13" x14ac:dyDescent="0.2">
      <c r="A603" s="1">
        <v>44473</v>
      </c>
      <c r="B603">
        <v>40</v>
      </c>
      <c r="C603">
        <v>10</v>
      </c>
      <c r="D603">
        <v>4</v>
      </c>
      <c r="E603" t="s">
        <v>24</v>
      </c>
      <c r="F603">
        <v>0</v>
      </c>
      <c r="G603">
        <f>INDEX(weekly!$E$2:$E$188,MATCH('Marketing Campaigns 22.11.22'!L603,weekly!$H$2:$H$188,0))</f>
        <v>4292.3525806451617</v>
      </c>
      <c r="H603">
        <f>INDEX(weekly!$D$2:$D$188,MATCH('Marketing Campaigns 22.11.22'!L603,weekly!$H$2:$H$188,0))</f>
        <v>800.93548387096769</v>
      </c>
      <c r="I603">
        <f>INDEX(weekly!$F$2:$F$188,MATCH('Marketing Campaigns 22.11.22'!L603,weekly!$H$2:$H$188,0))</f>
        <v>0</v>
      </c>
      <c r="J603">
        <v>0</v>
      </c>
      <c r="K603">
        <v>0</v>
      </c>
      <c r="L603" t="str">
        <f t="shared" si="18"/>
        <v>40-10-2021</v>
      </c>
      <c r="M603">
        <f t="shared" si="19"/>
        <v>2021</v>
      </c>
    </row>
    <row r="604" spans="1:13" x14ac:dyDescent="0.2">
      <c r="A604" s="1">
        <v>44473</v>
      </c>
      <c r="B604">
        <v>40</v>
      </c>
      <c r="C604">
        <v>10</v>
      </c>
      <c r="D604">
        <v>4</v>
      </c>
      <c r="E604" t="s">
        <v>39</v>
      </c>
      <c r="F604">
        <v>0</v>
      </c>
      <c r="G604">
        <f>INDEX(weekly!$E$2:$E$188,MATCH('Marketing Campaigns 22.11.22'!L604,weekly!$H$2:$H$188,0))</f>
        <v>4292.3525806451617</v>
      </c>
      <c r="H604">
        <f>INDEX(weekly!$D$2:$D$188,MATCH('Marketing Campaigns 22.11.22'!L604,weekly!$H$2:$H$188,0))</f>
        <v>800.93548387096769</v>
      </c>
      <c r="I604">
        <f>INDEX(weekly!$F$2:$F$188,MATCH('Marketing Campaigns 22.11.22'!L604,weekly!$H$2:$H$188,0))</f>
        <v>0</v>
      </c>
      <c r="J604">
        <v>0</v>
      </c>
      <c r="K604">
        <v>0</v>
      </c>
      <c r="L604" t="str">
        <f t="shared" si="18"/>
        <v>40-10-2021</v>
      </c>
      <c r="M604">
        <f t="shared" si="19"/>
        <v>2021</v>
      </c>
    </row>
    <row r="605" spans="1:13" x14ac:dyDescent="0.2">
      <c r="A605" s="1">
        <v>44473</v>
      </c>
      <c r="B605">
        <v>40</v>
      </c>
      <c r="C605">
        <v>10</v>
      </c>
      <c r="D605">
        <v>4</v>
      </c>
      <c r="E605" t="s">
        <v>40</v>
      </c>
      <c r="F605">
        <v>0</v>
      </c>
      <c r="G605">
        <f>INDEX(weekly!$E$2:$E$188,MATCH('Marketing Campaigns 22.11.22'!L605,weekly!$H$2:$H$188,0))</f>
        <v>4292.3525806451617</v>
      </c>
      <c r="H605">
        <f>INDEX(weekly!$D$2:$D$188,MATCH('Marketing Campaigns 22.11.22'!L605,weekly!$H$2:$H$188,0))</f>
        <v>800.93548387096769</v>
      </c>
      <c r="I605">
        <f>INDEX(weekly!$F$2:$F$188,MATCH('Marketing Campaigns 22.11.22'!L605,weekly!$H$2:$H$188,0))</f>
        <v>0</v>
      </c>
      <c r="J605">
        <v>0</v>
      </c>
      <c r="K605">
        <v>0</v>
      </c>
      <c r="L605" t="str">
        <f t="shared" si="18"/>
        <v>40-10-2021</v>
      </c>
      <c r="M605">
        <f t="shared" si="19"/>
        <v>2021</v>
      </c>
    </row>
    <row r="606" spans="1:13" x14ac:dyDescent="0.2">
      <c r="A606" s="1">
        <v>44473</v>
      </c>
      <c r="B606">
        <v>40</v>
      </c>
      <c r="C606">
        <v>10</v>
      </c>
      <c r="D606">
        <v>4</v>
      </c>
      <c r="E606" t="s">
        <v>41</v>
      </c>
      <c r="F606">
        <v>0</v>
      </c>
      <c r="G606">
        <f>INDEX(weekly!$E$2:$E$188,MATCH('Marketing Campaigns 22.11.22'!L606,weekly!$H$2:$H$188,0))</f>
        <v>4292.3525806451617</v>
      </c>
      <c r="H606">
        <f>INDEX(weekly!$D$2:$D$188,MATCH('Marketing Campaigns 22.11.22'!L606,weekly!$H$2:$H$188,0))</f>
        <v>800.93548387096769</v>
      </c>
      <c r="I606">
        <f>INDEX(weekly!$F$2:$F$188,MATCH('Marketing Campaigns 22.11.22'!L606,weekly!$H$2:$H$188,0))</f>
        <v>0</v>
      </c>
      <c r="J606">
        <v>0</v>
      </c>
      <c r="K606">
        <v>0</v>
      </c>
      <c r="L606" t="str">
        <f t="shared" si="18"/>
        <v>40-10-2021</v>
      </c>
      <c r="M606">
        <f t="shared" si="19"/>
        <v>2021</v>
      </c>
    </row>
    <row r="607" spans="1:13" x14ac:dyDescent="0.2">
      <c r="A607" s="1">
        <v>44473</v>
      </c>
      <c r="B607">
        <v>40</v>
      </c>
      <c r="C607">
        <v>10</v>
      </c>
      <c r="D607">
        <v>4</v>
      </c>
      <c r="E607" t="s">
        <v>42</v>
      </c>
      <c r="F607">
        <v>0</v>
      </c>
      <c r="G607">
        <f>INDEX(weekly!$E$2:$E$188,MATCH('Marketing Campaigns 22.11.22'!L607,weekly!$H$2:$H$188,0))</f>
        <v>4292.3525806451617</v>
      </c>
      <c r="H607">
        <f>INDEX(weekly!$D$2:$D$188,MATCH('Marketing Campaigns 22.11.22'!L607,weekly!$H$2:$H$188,0))</f>
        <v>800.93548387096769</v>
      </c>
      <c r="I607">
        <f>INDEX(weekly!$F$2:$F$188,MATCH('Marketing Campaigns 22.11.22'!L607,weekly!$H$2:$H$188,0))</f>
        <v>0</v>
      </c>
      <c r="J607">
        <v>0</v>
      </c>
      <c r="K607">
        <v>0</v>
      </c>
      <c r="L607" t="str">
        <f t="shared" si="18"/>
        <v>40-10-2021</v>
      </c>
      <c r="M607">
        <f t="shared" si="19"/>
        <v>2021</v>
      </c>
    </row>
    <row r="608" spans="1:13" x14ac:dyDescent="0.2">
      <c r="A608" s="1">
        <v>44473</v>
      </c>
      <c r="B608">
        <v>40</v>
      </c>
      <c r="C608">
        <v>10</v>
      </c>
      <c r="D608">
        <v>4</v>
      </c>
      <c r="E608" t="s">
        <v>43</v>
      </c>
      <c r="F608">
        <v>0</v>
      </c>
      <c r="G608">
        <f>INDEX(weekly!$E$2:$E$188,MATCH('Marketing Campaigns 22.11.22'!L608,weekly!$H$2:$H$188,0))</f>
        <v>4292.3525806451617</v>
      </c>
      <c r="H608">
        <f>INDEX(weekly!$D$2:$D$188,MATCH('Marketing Campaigns 22.11.22'!L608,weekly!$H$2:$H$188,0))</f>
        <v>800.93548387096769</v>
      </c>
      <c r="I608">
        <f>INDEX(weekly!$F$2:$F$188,MATCH('Marketing Campaigns 22.11.22'!L608,weekly!$H$2:$H$188,0))</f>
        <v>0</v>
      </c>
      <c r="J608">
        <v>0</v>
      </c>
      <c r="K608">
        <v>0</v>
      </c>
      <c r="L608" t="str">
        <f t="shared" si="18"/>
        <v>40-10-2021</v>
      </c>
      <c r="M608">
        <f t="shared" si="19"/>
        <v>2021</v>
      </c>
    </row>
    <row r="609" spans="1:13" x14ac:dyDescent="0.2">
      <c r="A609" s="1">
        <v>44473</v>
      </c>
      <c r="B609">
        <v>40</v>
      </c>
      <c r="C609">
        <v>10</v>
      </c>
      <c r="D609">
        <v>4</v>
      </c>
      <c r="E609" t="s">
        <v>44</v>
      </c>
      <c r="F609">
        <v>0</v>
      </c>
      <c r="G609">
        <f>INDEX(weekly!$E$2:$E$188,MATCH('Marketing Campaigns 22.11.22'!L609,weekly!$H$2:$H$188,0))</f>
        <v>4292.3525806451617</v>
      </c>
      <c r="H609">
        <f>INDEX(weekly!$D$2:$D$188,MATCH('Marketing Campaigns 22.11.22'!L609,weekly!$H$2:$H$188,0))</f>
        <v>800.93548387096769</v>
      </c>
      <c r="I609">
        <f>INDEX(weekly!$F$2:$F$188,MATCH('Marketing Campaigns 22.11.22'!L609,weekly!$H$2:$H$188,0))</f>
        <v>0</v>
      </c>
      <c r="J609">
        <v>0</v>
      </c>
      <c r="K609">
        <v>0</v>
      </c>
      <c r="L609" t="str">
        <f t="shared" si="18"/>
        <v>40-10-2021</v>
      </c>
      <c r="M609">
        <f t="shared" si="19"/>
        <v>2021</v>
      </c>
    </row>
    <row r="610" spans="1:13" x14ac:dyDescent="0.2">
      <c r="A610" s="1">
        <v>44473</v>
      </c>
      <c r="B610">
        <v>40</v>
      </c>
      <c r="C610">
        <v>10</v>
      </c>
      <c r="D610">
        <v>4</v>
      </c>
      <c r="E610" t="s">
        <v>45</v>
      </c>
      <c r="F610">
        <v>0</v>
      </c>
      <c r="G610">
        <f>INDEX(weekly!$E$2:$E$188,MATCH('Marketing Campaigns 22.11.22'!L610,weekly!$H$2:$H$188,0))</f>
        <v>4292.3525806451617</v>
      </c>
      <c r="H610">
        <f>INDEX(weekly!$D$2:$D$188,MATCH('Marketing Campaigns 22.11.22'!L610,weekly!$H$2:$H$188,0))</f>
        <v>800.93548387096769</v>
      </c>
      <c r="I610">
        <f>INDEX(weekly!$F$2:$F$188,MATCH('Marketing Campaigns 22.11.22'!L610,weekly!$H$2:$H$188,0))</f>
        <v>0</v>
      </c>
      <c r="J610">
        <v>0</v>
      </c>
      <c r="K610">
        <v>0</v>
      </c>
      <c r="L610" t="str">
        <f t="shared" si="18"/>
        <v>40-10-2021</v>
      </c>
      <c r="M610">
        <f t="shared" si="19"/>
        <v>2021</v>
      </c>
    </row>
    <row r="611" spans="1:13" x14ac:dyDescent="0.2">
      <c r="A611" s="1">
        <v>44473</v>
      </c>
      <c r="B611">
        <v>40</v>
      </c>
      <c r="C611">
        <v>10</v>
      </c>
      <c r="D611">
        <v>4</v>
      </c>
      <c r="E611" t="s">
        <v>46</v>
      </c>
      <c r="F611">
        <v>0</v>
      </c>
      <c r="G611">
        <f>INDEX(weekly!$E$2:$E$188,MATCH('Marketing Campaigns 22.11.22'!L611,weekly!$H$2:$H$188,0))</f>
        <v>4292.3525806451617</v>
      </c>
      <c r="H611">
        <f>INDEX(weekly!$D$2:$D$188,MATCH('Marketing Campaigns 22.11.22'!L611,weekly!$H$2:$H$188,0))</f>
        <v>800.93548387096769</v>
      </c>
      <c r="I611">
        <f>INDEX(weekly!$F$2:$F$188,MATCH('Marketing Campaigns 22.11.22'!L611,weekly!$H$2:$H$188,0))</f>
        <v>0</v>
      </c>
      <c r="J611">
        <v>0</v>
      </c>
      <c r="K611">
        <v>0</v>
      </c>
      <c r="L611" t="str">
        <f t="shared" si="18"/>
        <v>40-10-2021</v>
      </c>
      <c r="M611">
        <f t="shared" si="19"/>
        <v>2021</v>
      </c>
    </row>
    <row r="612" spans="1:13" x14ac:dyDescent="0.2">
      <c r="A612" s="1">
        <v>44473</v>
      </c>
      <c r="B612">
        <v>40</v>
      </c>
      <c r="C612">
        <v>10</v>
      </c>
      <c r="D612">
        <v>4</v>
      </c>
      <c r="E612" t="s">
        <v>47</v>
      </c>
      <c r="F612">
        <v>0</v>
      </c>
      <c r="G612">
        <f>INDEX(weekly!$E$2:$E$188,MATCH('Marketing Campaigns 22.11.22'!L612,weekly!$H$2:$H$188,0))</f>
        <v>4292.3525806451617</v>
      </c>
      <c r="H612">
        <f>INDEX(weekly!$D$2:$D$188,MATCH('Marketing Campaigns 22.11.22'!L612,weekly!$H$2:$H$188,0))</f>
        <v>800.93548387096769</v>
      </c>
      <c r="I612">
        <f>INDEX(weekly!$F$2:$F$188,MATCH('Marketing Campaigns 22.11.22'!L612,weekly!$H$2:$H$188,0))</f>
        <v>0</v>
      </c>
      <c r="J612">
        <v>0</v>
      </c>
      <c r="K612">
        <v>0</v>
      </c>
      <c r="L612" t="str">
        <f t="shared" si="18"/>
        <v>40-10-2021</v>
      </c>
      <c r="M612">
        <f t="shared" si="19"/>
        <v>2021</v>
      </c>
    </row>
    <row r="613" spans="1:13" x14ac:dyDescent="0.2">
      <c r="A613" s="1">
        <v>44473</v>
      </c>
      <c r="B613">
        <v>40</v>
      </c>
      <c r="C613">
        <v>10</v>
      </c>
      <c r="D613">
        <v>4</v>
      </c>
      <c r="E613" t="s">
        <v>48</v>
      </c>
      <c r="F613">
        <v>0</v>
      </c>
      <c r="G613">
        <f>INDEX(weekly!$E$2:$E$188,MATCH('Marketing Campaigns 22.11.22'!L613,weekly!$H$2:$H$188,0))</f>
        <v>4292.3525806451617</v>
      </c>
      <c r="H613">
        <f>INDEX(weekly!$D$2:$D$188,MATCH('Marketing Campaigns 22.11.22'!L613,weekly!$H$2:$H$188,0))</f>
        <v>800.93548387096769</v>
      </c>
      <c r="I613">
        <f>INDEX(weekly!$F$2:$F$188,MATCH('Marketing Campaigns 22.11.22'!L613,weekly!$H$2:$H$188,0))</f>
        <v>0</v>
      </c>
      <c r="J613">
        <v>0</v>
      </c>
      <c r="K613">
        <v>0</v>
      </c>
      <c r="L613" t="str">
        <f t="shared" si="18"/>
        <v>40-10-2021</v>
      </c>
      <c r="M613">
        <f t="shared" si="19"/>
        <v>2021</v>
      </c>
    </row>
    <row r="614" spans="1:13" x14ac:dyDescent="0.2">
      <c r="A614" s="1">
        <v>44473</v>
      </c>
      <c r="B614">
        <v>40</v>
      </c>
      <c r="C614">
        <v>10</v>
      </c>
      <c r="D614">
        <v>4</v>
      </c>
      <c r="E614" t="s">
        <v>49</v>
      </c>
      <c r="F614">
        <v>0</v>
      </c>
      <c r="G614">
        <f>INDEX(weekly!$E$2:$E$188,MATCH('Marketing Campaigns 22.11.22'!L614,weekly!$H$2:$H$188,0))</f>
        <v>4292.3525806451617</v>
      </c>
      <c r="H614">
        <f>INDEX(weekly!$D$2:$D$188,MATCH('Marketing Campaigns 22.11.22'!L614,weekly!$H$2:$H$188,0))</f>
        <v>800.93548387096769</v>
      </c>
      <c r="I614">
        <f>INDEX(weekly!$F$2:$F$188,MATCH('Marketing Campaigns 22.11.22'!L614,weekly!$H$2:$H$188,0))</f>
        <v>0</v>
      </c>
      <c r="J614">
        <v>0</v>
      </c>
      <c r="K614">
        <v>0</v>
      </c>
      <c r="L614" t="str">
        <f t="shared" si="18"/>
        <v>40-10-2021</v>
      </c>
      <c r="M614">
        <f t="shared" si="19"/>
        <v>2021</v>
      </c>
    </row>
    <row r="615" spans="1:13" x14ac:dyDescent="0.2">
      <c r="A615" s="1">
        <v>44473</v>
      </c>
      <c r="B615">
        <v>40</v>
      </c>
      <c r="C615">
        <v>10</v>
      </c>
      <c r="D615">
        <v>4</v>
      </c>
      <c r="E615" t="s">
        <v>50</v>
      </c>
      <c r="F615">
        <v>0</v>
      </c>
      <c r="G615">
        <f>INDEX(weekly!$E$2:$E$188,MATCH('Marketing Campaigns 22.11.22'!L615,weekly!$H$2:$H$188,0))</f>
        <v>4292.3525806451617</v>
      </c>
      <c r="H615">
        <f>INDEX(weekly!$D$2:$D$188,MATCH('Marketing Campaigns 22.11.22'!L615,weekly!$H$2:$H$188,0))</f>
        <v>800.93548387096769</v>
      </c>
      <c r="I615">
        <f>INDEX(weekly!$F$2:$F$188,MATCH('Marketing Campaigns 22.11.22'!L615,weekly!$H$2:$H$188,0))</f>
        <v>0</v>
      </c>
      <c r="J615">
        <v>0</v>
      </c>
      <c r="K615">
        <v>0</v>
      </c>
      <c r="L615" t="str">
        <f t="shared" si="18"/>
        <v>40-10-2021</v>
      </c>
      <c r="M615">
        <f t="shared" si="19"/>
        <v>2021</v>
      </c>
    </row>
    <row r="616" spans="1:13" x14ac:dyDescent="0.2">
      <c r="A616" s="1">
        <v>44473</v>
      </c>
      <c r="B616">
        <v>40</v>
      </c>
      <c r="C616">
        <v>10</v>
      </c>
      <c r="D616">
        <v>4</v>
      </c>
      <c r="E616" t="s">
        <v>51</v>
      </c>
      <c r="F616">
        <v>0</v>
      </c>
      <c r="G616">
        <f>INDEX(weekly!$E$2:$E$188,MATCH('Marketing Campaigns 22.11.22'!L616,weekly!$H$2:$H$188,0))</f>
        <v>4292.3525806451617</v>
      </c>
      <c r="H616">
        <f>INDEX(weekly!$D$2:$D$188,MATCH('Marketing Campaigns 22.11.22'!L616,weekly!$H$2:$H$188,0))</f>
        <v>800.93548387096769</v>
      </c>
      <c r="I616">
        <f>INDEX(weekly!$F$2:$F$188,MATCH('Marketing Campaigns 22.11.22'!L616,weekly!$H$2:$H$188,0))</f>
        <v>0</v>
      </c>
      <c r="J616">
        <v>0</v>
      </c>
      <c r="K616">
        <v>0</v>
      </c>
      <c r="L616" t="str">
        <f t="shared" si="18"/>
        <v>40-10-2021</v>
      </c>
      <c r="M616">
        <f t="shared" si="19"/>
        <v>2021</v>
      </c>
    </row>
    <row r="617" spans="1:13" x14ac:dyDescent="0.2">
      <c r="A617" s="1">
        <v>44473</v>
      </c>
      <c r="B617">
        <v>40</v>
      </c>
      <c r="C617">
        <v>10</v>
      </c>
      <c r="D617">
        <v>4</v>
      </c>
      <c r="E617" t="s">
        <v>52</v>
      </c>
      <c r="F617">
        <v>0</v>
      </c>
      <c r="G617">
        <f>INDEX(weekly!$E$2:$E$188,MATCH('Marketing Campaigns 22.11.22'!L617,weekly!$H$2:$H$188,0))</f>
        <v>4292.3525806451617</v>
      </c>
      <c r="H617">
        <f>INDEX(weekly!$D$2:$D$188,MATCH('Marketing Campaigns 22.11.22'!L617,weekly!$H$2:$H$188,0))</f>
        <v>800.93548387096769</v>
      </c>
      <c r="I617">
        <f>INDEX(weekly!$F$2:$F$188,MATCH('Marketing Campaigns 22.11.22'!L617,weekly!$H$2:$H$188,0))</f>
        <v>0</v>
      </c>
      <c r="J617">
        <v>0</v>
      </c>
      <c r="K617">
        <v>0</v>
      </c>
      <c r="L617" t="str">
        <f t="shared" si="18"/>
        <v>40-10-2021</v>
      </c>
      <c r="M617">
        <f t="shared" si="19"/>
        <v>2021</v>
      </c>
    </row>
    <row r="618" spans="1:13" x14ac:dyDescent="0.2">
      <c r="A618" s="1">
        <v>44480</v>
      </c>
      <c r="B618">
        <v>41</v>
      </c>
      <c r="C618">
        <v>10</v>
      </c>
      <c r="D618">
        <v>4</v>
      </c>
      <c r="E618" t="s">
        <v>24</v>
      </c>
      <c r="F618">
        <v>0</v>
      </c>
      <c r="G618">
        <f>INDEX(weekly!$E$2:$E$188,MATCH('Marketing Campaigns 22.11.22'!L618,weekly!$H$2:$H$188,0))</f>
        <v>4292.3525806451617</v>
      </c>
      <c r="H618">
        <f>INDEX(weekly!$D$2:$D$188,MATCH('Marketing Campaigns 22.11.22'!L618,weekly!$H$2:$H$188,0))</f>
        <v>800.93548387096769</v>
      </c>
      <c r="I618">
        <f>INDEX(weekly!$F$2:$F$188,MATCH('Marketing Campaigns 22.11.22'!L618,weekly!$H$2:$H$188,0))</f>
        <v>0</v>
      </c>
      <c r="J618">
        <v>0</v>
      </c>
      <c r="K618">
        <v>0</v>
      </c>
      <c r="L618" t="str">
        <f t="shared" si="18"/>
        <v>41-10-2021</v>
      </c>
      <c r="M618">
        <f t="shared" si="19"/>
        <v>2021</v>
      </c>
    </row>
    <row r="619" spans="1:13" x14ac:dyDescent="0.2">
      <c r="A619" s="1">
        <v>44480</v>
      </c>
      <c r="B619">
        <v>41</v>
      </c>
      <c r="C619">
        <v>10</v>
      </c>
      <c r="D619">
        <v>4</v>
      </c>
      <c r="E619" t="s">
        <v>39</v>
      </c>
      <c r="F619">
        <v>0</v>
      </c>
      <c r="G619">
        <f>INDEX(weekly!$E$2:$E$188,MATCH('Marketing Campaigns 22.11.22'!L619,weekly!$H$2:$H$188,0))</f>
        <v>4292.3525806451617</v>
      </c>
      <c r="H619">
        <f>INDEX(weekly!$D$2:$D$188,MATCH('Marketing Campaigns 22.11.22'!L619,weekly!$H$2:$H$188,0))</f>
        <v>800.93548387096769</v>
      </c>
      <c r="I619">
        <f>INDEX(weekly!$F$2:$F$188,MATCH('Marketing Campaigns 22.11.22'!L619,weekly!$H$2:$H$188,0))</f>
        <v>0</v>
      </c>
      <c r="J619">
        <v>0</v>
      </c>
      <c r="K619">
        <v>0</v>
      </c>
      <c r="L619" t="str">
        <f t="shared" si="18"/>
        <v>41-10-2021</v>
      </c>
      <c r="M619">
        <f t="shared" si="19"/>
        <v>2021</v>
      </c>
    </row>
    <row r="620" spans="1:13" x14ac:dyDescent="0.2">
      <c r="A620" s="1">
        <v>44480</v>
      </c>
      <c r="B620">
        <v>41</v>
      </c>
      <c r="C620">
        <v>10</v>
      </c>
      <c r="D620">
        <v>4</v>
      </c>
      <c r="E620" t="s">
        <v>40</v>
      </c>
      <c r="F620">
        <v>0</v>
      </c>
      <c r="G620">
        <f>INDEX(weekly!$E$2:$E$188,MATCH('Marketing Campaigns 22.11.22'!L620,weekly!$H$2:$H$188,0))</f>
        <v>4292.3525806451617</v>
      </c>
      <c r="H620">
        <f>INDEX(weekly!$D$2:$D$188,MATCH('Marketing Campaigns 22.11.22'!L620,weekly!$H$2:$H$188,0))</f>
        <v>800.93548387096769</v>
      </c>
      <c r="I620">
        <f>INDEX(weekly!$F$2:$F$188,MATCH('Marketing Campaigns 22.11.22'!L620,weekly!$H$2:$H$188,0))</f>
        <v>0</v>
      </c>
      <c r="J620">
        <v>0</v>
      </c>
      <c r="K620">
        <v>0</v>
      </c>
      <c r="L620" t="str">
        <f t="shared" si="18"/>
        <v>41-10-2021</v>
      </c>
      <c r="M620">
        <f t="shared" si="19"/>
        <v>2021</v>
      </c>
    </row>
    <row r="621" spans="1:13" x14ac:dyDescent="0.2">
      <c r="A621" s="1">
        <v>44480</v>
      </c>
      <c r="B621">
        <v>41</v>
      </c>
      <c r="C621">
        <v>10</v>
      </c>
      <c r="D621">
        <v>4</v>
      </c>
      <c r="E621" t="s">
        <v>41</v>
      </c>
      <c r="F621">
        <v>0</v>
      </c>
      <c r="G621">
        <f>INDEX(weekly!$E$2:$E$188,MATCH('Marketing Campaigns 22.11.22'!L621,weekly!$H$2:$H$188,0))</f>
        <v>4292.3525806451617</v>
      </c>
      <c r="H621">
        <f>INDEX(weekly!$D$2:$D$188,MATCH('Marketing Campaigns 22.11.22'!L621,weekly!$H$2:$H$188,0))</f>
        <v>800.93548387096769</v>
      </c>
      <c r="I621">
        <f>INDEX(weekly!$F$2:$F$188,MATCH('Marketing Campaigns 22.11.22'!L621,weekly!$H$2:$H$188,0))</f>
        <v>0</v>
      </c>
      <c r="J621">
        <v>0</v>
      </c>
      <c r="K621">
        <v>0</v>
      </c>
      <c r="L621" t="str">
        <f t="shared" si="18"/>
        <v>41-10-2021</v>
      </c>
      <c r="M621">
        <f t="shared" si="19"/>
        <v>2021</v>
      </c>
    </row>
    <row r="622" spans="1:13" x14ac:dyDescent="0.2">
      <c r="A622" s="1">
        <v>44480</v>
      </c>
      <c r="B622">
        <v>41</v>
      </c>
      <c r="C622">
        <v>10</v>
      </c>
      <c r="D622">
        <v>4</v>
      </c>
      <c r="E622" t="s">
        <v>42</v>
      </c>
      <c r="F622">
        <v>0</v>
      </c>
      <c r="G622">
        <f>INDEX(weekly!$E$2:$E$188,MATCH('Marketing Campaigns 22.11.22'!L622,weekly!$H$2:$H$188,0))</f>
        <v>4292.3525806451617</v>
      </c>
      <c r="H622">
        <f>INDEX(weekly!$D$2:$D$188,MATCH('Marketing Campaigns 22.11.22'!L622,weekly!$H$2:$H$188,0))</f>
        <v>800.93548387096769</v>
      </c>
      <c r="I622">
        <f>INDEX(weekly!$F$2:$F$188,MATCH('Marketing Campaigns 22.11.22'!L622,weekly!$H$2:$H$188,0))</f>
        <v>0</v>
      </c>
      <c r="J622">
        <v>0</v>
      </c>
      <c r="K622">
        <v>0</v>
      </c>
      <c r="L622" t="str">
        <f t="shared" si="18"/>
        <v>41-10-2021</v>
      </c>
      <c r="M622">
        <f t="shared" si="19"/>
        <v>2021</v>
      </c>
    </row>
    <row r="623" spans="1:13" x14ac:dyDescent="0.2">
      <c r="A623" s="1">
        <v>44480</v>
      </c>
      <c r="B623">
        <v>41</v>
      </c>
      <c r="C623">
        <v>10</v>
      </c>
      <c r="D623">
        <v>4</v>
      </c>
      <c r="E623" t="s">
        <v>43</v>
      </c>
      <c r="F623">
        <v>0</v>
      </c>
      <c r="G623">
        <f>INDEX(weekly!$E$2:$E$188,MATCH('Marketing Campaigns 22.11.22'!L623,weekly!$H$2:$H$188,0))</f>
        <v>4292.3525806451617</v>
      </c>
      <c r="H623">
        <f>INDEX(weekly!$D$2:$D$188,MATCH('Marketing Campaigns 22.11.22'!L623,weekly!$H$2:$H$188,0))</f>
        <v>800.93548387096769</v>
      </c>
      <c r="I623">
        <f>INDEX(weekly!$F$2:$F$188,MATCH('Marketing Campaigns 22.11.22'!L623,weekly!$H$2:$H$188,0))</f>
        <v>0</v>
      </c>
      <c r="J623">
        <v>0</v>
      </c>
      <c r="K623">
        <v>0</v>
      </c>
      <c r="L623" t="str">
        <f t="shared" si="18"/>
        <v>41-10-2021</v>
      </c>
      <c r="M623">
        <f t="shared" si="19"/>
        <v>2021</v>
      </c>
    </row>
    <row r="624" spans="1:13" x14ac:dyDescent="0.2">
      <c r="A624" s="1">
        <v>44480</v>
      </c>
      <c r="B624">
        <v>41</v>
      </c>
      <c r="C624">
        <v>10</v>
      </c>
      <c r="D624">
        <v>4</v>
      </c>
      <c r="E624" t="s">
        <v>44</v>
      </c>
      <c r="F624">
        <v>0</v>
      </c>
      <c r="G624">
        <f>INDEX(weekly!$E$2:$E$188,MATCH('Marketing Campaigns 22.11.22'!L624,weekly!$H$2:$H$188,0))</f>
        <v>4292.3525806451617</v>
      </c>
      <c r="H624">
        <f>INDEX(weekly!$D$2:$D$188,MATCH('Marketing Campaigns 22.11.22'!L624,weekly!$H$2:$H$188,0))</f>
        <v>800.93548387096769</v>
      </c>
      <c r="I624">
        <f>INDEX(weekly!$F$2:$F$188,MATCH('Marketing Campaigns 22.11.22'!L624,weekly!$H$2:$H$188,0))</f>
        <v>0</v>
      </c>
      <c r="J624">
        <v>0</v>
      </c>
      <c r="K624">
        <v>0</v>
      </c>
      <c r="L624" t="str">
        <f t="shared" si="18"/>
        <v>41-10-2021</v>
      </c>
      <c r="M624">
        <f t="shared" si="19"/>
        <v>2021</v>
      </c>
    </row>
    <row r="625" spans="1:13" x14ac:dyDescent="0.2">
      <c r="A625" s="1">
        <v>44480</v>
      </c>
      <c r="B625">
        <v>41</v>
      </c>
      <c r="C625">
        <v>10</v>
      </c>
      <c r="D625">
        <v>4</v>
      </c>
      <c r="E625" t="s">
        <v>45</v>
      </c>
      <c r="F625">
        <v>0</v>
      </c>
      <c r="G625">
        <f>INDEX(weekly!$E$2:$E$188,MATCH('Marketing Campaigns 22.11.22'!L625,weekly!$H$2:$H$188,0))</f>
        <v>4292.3525806451617</v>
      </c>
      <c r="H625">
        <f>INDEX(weekly!$D$2:$D$188,MATCH('Marketing Campaigns 22.11.22'!L625,weekly!$H$2:$H$188,0))</f>
        <v>800.93548387096769</v>
      </c>
      <c r="I625">
        <f>INDEX(weekly!$F$2:$F$188,MATCH('Marketing Campaigns 22.11.22'!L625,weekly!$H$2:$H$188,0))</f>
        <v>0</v>
      </c>
      <c r="J625">
        <v>0</v>
      </c>
      <c r="K625">
        <v>0</v>
      </c>
      <c r="L625" t="str">
        <f t="shared" si="18"/>
        <v>41-10-2021</v>
      </c>
      <c r="M625">
        <f t="shared" si="19"/>
        <v>2021</v>
      </c>
    </row>
    <row r="626" spans="1:13" x14ac:dyDescent="0.2">
      <c r="A626" s="1">
        <v>44480</v>
      </c>
      <c r="B626">
        <v>41</v>
      </c>
      <c r="C626">
        <v>10</v>
      </c>
      <c r="D626">
        <v>4</v>
      </c>
      <c r="E626" t="s">
        <v>46</v>
      </c>
      <c r="F626">
        <v>0</v>
      </c>
      <c r="G626">
        <f>INDEX(weekly!$E$2:$E$188,MATCH('Marketing Campaigns 22.11.22'!L626,weekly!$H$2:$H$188,0))</f>
        <v>4292.3525806451617</v>
      </c>
      <c r="H626">
        <f>INDEX(weekly!$D$2:$D$188,MATCH('Marketing Campaigns 22.11.22'!L626,weekly!$H$2:$H$188,0))</f>
        <v>800.93548387096769</v>
      </c>
      <c r="I626">
        <f>INDEX(weekly!$F$2:$F$188,MATCH('Marketing Campaigns 22.11.22'!L626,weekly!$H$2:$H$188,0))</f>
        <v>0</v>
      </c>
      <c r="J626">
        <v>0</v>
      </c>
      <c r="K626">
        <v>0</v>
      </c>
      <c r="L626" t="str">
        <f t="shared" si="18"/>
        <v>41-10-2021</v>
      </c>
      <c r="M626">
        <f t="shared" si="19"/>
        <v>2021</v>
      </c>
    </row>
    <row r="627" spans="1:13" x14ac:dyDescent="0.2">
      <c r="A627" s="1">
        <v>44480</v>
      </c>
      <c r="B627">
        <v>41</v>
      </c>
      <c r="C627">
        <v>10</v>
      </c>
      <c r="D627">
        <v>4</v>
      </c>
      <c r="E627" t="s">
        <v>47</v>
      </c>
      <c r="F627">
        <v>0</v>
      </c>
      <c r="G627">
        <f>INDEX(weekly!$E$2:$E$188,MATCH('Marketing Campaigns 22.11.22'!L627,weekly!$H$2:$H$188,0))</f>
        <v>4292.3525806451617</v>
      </c>
      <c r="H627">
        <f>INDEX(weekly!$D$2:$D$188,MATCH('Marketing Campaigns 22.11.22'!L627,weekly!$H$2:$H$188,0))</f>
        <v>800.93548387096769</v>
      </c>
      <c r="I627">
        <f>INDEX(weekly!$F$2:$F$188,MATCH('Marketing Campaigns 22.11.22'!L627,weekly!$H$2:$H$188,0))</f>
        <v>0</v>
      </c>
      <c r="J627">
        <v>0</v>
      </c>
      <c r="K627">
        <v>0</v>
      </c>
      <c r="L627" t="str">
        <f t="shared" si="18"/>
        <v>41-10-2021</v>
      </c>
      <c r="M627">
        <f t="shared" si="19"/>
        <v>2021</v>
      </c>
    </row>
    <row r="628" spans="1:13" x14ac:dyDescent="0.2">
      <c r="A628" s="1">
        <v>44480</v>
      </c>
      <c r="B628">
        <v>41</v>
      </c>
      <c r="C628">
        <v>10</v>
      </c>
      <c r="D628">
        <v>4</v>
      </c>
      <c r="E628" t="s">
        <v>48</v>
      </c>
      <c r="F628">
        <v>0</v>
      </c>
      <c r="G628">
        <f>INDEX(weekly!$E$2:$E$188,MATCH('Marketing Campaigns 22.11.22'!L628,weekly!$H$2:$H$188,0))</f>
        <v>4292.3525806451617</v>
      </c>
      <c r="H628">
        <f>INDEX(weekly!$D$2:$D$188,MATCH('Marketing Campaigns 22.11.22'!L628,weekly!$H$2:$H$188,0))</f>
        <v>800.93548387096769</v>
      </c>
      <c r="I628">
        <f>INDEX(weekly!$F$2:$F$188,MATCH('Marketing Campaigns 22.11.22'!L628,weekly!$H$2:$H$188,0))</f>
        <v>0</v>
      </c>
      <c r="J628">
        <v>0</v>
      </c>
      <c r="K628">
        <v>0</v>
      </c>
      <c r="L628" t="str">
        <f t="shared" si="18"/>
        <v>41-10-2021</v>
      </c>
      <c r="M628">
        <f t="shared" si="19"/>
        <v>2021</v>
      </c>
    </row>
    <row r="629" spans="1:13" x14ac:dyDescent="0.2">
      <c r="A629" s="1">
        <v>44480</v>
      </c>
      <c r="B629">
        <v>41</v>
      </c>
      <c r="C629">
        <v>10</v>
      </c>
      <c r="D629">
        <v>4</v>
      </c>
      <c r="E629" t="s">
        <v>49</v>
      </c>
      <c r="F629">
        <v>0</v>
      </c>
      <c r="G629">
        <f>INDEX(weekly!$E$2:$E$188,MATCH('Marketing Campaigns 22.11.22'!L629,weekly!$H$2:$H$188,0))</f>
        <v>4292.3525806451617</v>
      </c>
      <c r="H629">
        <f>INDEX(weekly!$D$2:$D$188,MATCH('Marketing Campaigns 22.11.22'!L629,weekly!$H$2:$H$188,0))</f>
        <v>800.93548387096769</v>
      </c>
      <c r="I629">
        <f>INDEX(weekly!$F$2:$F$188,MATCH('Marketing Campaigns 22.11.22'!L629,weekly!$H$2:$H$188,0))</f>
        <v>0</v>
      </c>
      <c r="J629">
        <v>0</v>
      </c>
      <c r="K629">
        <v>0</v>
      </c>
      <c r="L629" t="str">
        <f t="shared" si="18"/>
        <v>41-10-2021</v>
      </c>
      <c r="M629">
        <f t="shared" si="19"/>
        <v>2021</v>
      </c>
    </row>
    <row r="630" spans="1:13" x14ac:dyDescent="0.2">
      <c r="A630" s="1">
        <v>44480</v>
      </c>
      <c r="B630">
        <v>41</v>
      </c>
      <c r="C630">
        <v>10</v>
      </c>
      <c r="D630">
        <v>4</v>
      </c>
      <c r="E630" t="s">
        <v>50</v>
      </c>
      <c r="F630">
        <v>0</v>
      </c>
      <c r="G630">
        <f>INDEX(weekly!$E$2:$E$188,MATCH('Marketing Campaigns 22.11.22'!L630,weekly!$H$2:$H$188,0))</f>
        <v>4292.3525806451617</v>
      </c>
      <c r="H630">
        <f>INDEX(weekly!$D$2:$D$188,MATCH('Marketing Campaigns 22.11.22'!L630,weekly!$H$2:$H$188,0))</f>
        <v>800.93548387096769</v>
      </c>
      <c r="I630">
        <f>INDEX(weekly!$F$2:$F$188,MATCH('Marketing Campaigns 22.11.22'!L630,weekly!$H$2:$H$188,0))</f>
        <v>0</v>
      </c>
      <c r="J630">
        <v>0</v>
      </c>
      <c r="K630">
        <v>0</v>
      </c>
      <c r="L630" t="str">
        <f t="shared" si="18"/>
        <v>41-10-2021</v>
      </c>
      <c r="M630">
        <f t="shared" si="19"/>
        <v>2021</v>
      </c>
    </row>
    <row r="631" spans="1:13" x14ac:dyDescent="0.2">
      <c r="A631" s="1">
        <v>44480</v>
      </c>
      <c r="B631">
        <v>41</v>
      </c>
      <c r="C631">
        <v>10</v>
      </c>
      <c r="D631">
        <v>4</v>
      </c>
      <c r="E631" t="s">
        <v>51</v>
      </c>
      <c r="F631">
        <v>0</v>
      </c>
      <c r="G631">
        <f>INDEX(weekly!$E$2:$E$188,MATCH('Marketing Campaigns 22.11.22'!L631,weekly!$H$2:$H$188,0))</f>
        <v>4292.3525806451617</v>
      </c>
      <c r="H631">
        <f>INDEX(weekly!$D$2:$D$188,MATCH('Marketing Campaigns 22.11.22'!L631,weekly!$H$2:$H$188,0))</f>
        <v>800.93548387096769</v>
      </c>
      <c r="I631">
        <f>INDEX(weekly!$F$2:$F$188,MATCH('Marketing Campaigns 22.11.22'!L631,weekly!$H$2:$H$188,0))</f>
        <v>0</v>
      </c>
      <c r="J631">
        <v>0</v>
      </c>
      <c r="K631">
        <v>0</v>
      </c>
      <c r="L631" t="str">
        <f t="shared" si="18"/>
        <v>41-10-2021</v>
      </c>
      <c r="M631">
        <f t="shared" si="19"/>
        <v>2021</v>
      </c>
    </row>
    <row r="632" spans="1:13" x14ac:dyDescent="0.2">
      <c r="A632" s="1">
        <v>44480</v>
      </c>
      <c r="B632">
        <v>41</v>
      </c>
      <c r="C632">
        <v>10</v>
      </c>
      <c r="D632">
        <v>4</v>
      </c>
      <c r="E632" t="s">
        <v>52</v>
      </c>
      <c r="F632">
        <v>0</v>
      </c>
      <c r="G632">
        <f>INDEX(weekly!$E$2:$E$188,MATCH('Marketing Campaigns 22.11.22'!L632,weekly!$H$2:$H$188,0))</f>
        <v>4292.3525806451617</v>
      </c>
      <c r="H632">
        <f>INDEX(weekly!$D$2:$D$188,MATCH('Marketing Campaigns 22.11.22'!L632,weekly!$H$2:$H$188,0))</f>
        <v>800.93548387096769</v>
      </c>
      <c r="I632">
        <f>INDEX(weekly!$F$2:$F$188,MATCH('Marketing Campaigns 22.11.22'!L632,weekly!$H$2:$H$188,0))</f>
        <v>0</v>
      </c>
      <c r="J632">
        <v>0</v>
      </c>
      <c r="K632">
        <v>0</v>
      </c>
      <c r="L632" t="str">
        <f t="shared" si="18"/>
        <v>41-10-2021</v>
      </c>
      <c r="M632">
        <f t="shared" si="19"/>
        <v>2021</v>
      </c>
    </row>
    <row r="633" spans="1:13" x14ac:dyDescent="0.2">
      <c r="A633" s="1">
        <v>44487</v>
      </c>
      <c r="B633">
        <v>42</v>
      </c>
      <c r="C633">
        <v>10</v>
      </c>
      <c r="D633">
        <v>4</v>
      </c>
      <c r="E633" t="s">
        <v>24</v>
      </c>
      <c r="F633">
        <v>0</v>
      </c>
      <c r="G633">
        <f>INDEX(weekly!$E$2:$E$188,MATCH('Marketing Campaigns 22.11.22'!L633,weekly!$H$2:$H$188,0))</f>
        <v>4292.3525806451617</v>
      </c>
      <c r="H633">
        <f>INDEX(weekly!$D$2:$D$188,MATCH('Marketing Campaigns 22.11.22'!L633,weekly!$H$2:$H$188,0))</f>
        <v>800.93548387096769</v>
      </c>
      <c r="I633">
        <f>INDEX(weekly!$F$2:$F$188,MATCH('Marketing Campaigns 22.11.22'!L633,weekly!$H$2:$H$188,0))</f>
        <v>0</v>
      </c>
      <c r="J633">
        <v>0</v>
      </c>
      <c r="K633">
        <v>0</v>
      </c>
      <c r="L633" t="str">
        <f t="shared" si="18"/>
        <v>42-10-2021</v>
      </c>
      <c r="M633">
        <f t="shared" si="19"/>
        <v>2021</v>
      </c>
    </row>
    <row r="634" spans="1:13" x14ac:dyDescent="0.2">
      <c r="A634" s="1">
        <v>44487</v>
      </c>
      <c r="B634">
        <v>42</v>
      </c>
      <c r="C634">
        <v>10</v>
      </c>
      <c r="D634">
        <v>4</v>
      </c>
      <c r="E634" t="s">
        <v>39</v>
      </c>
      <c r="F634">
        <v>0</v>
      </c>
      <c r="G634">
        <f>INDEX(weekly!$E$2:$E$188,MATCH('Marketing Campaigns 22.11.22'!L634,weekly!$H$2:$H$188,0))</f>
        <v>4292.3525806451617</v>
      </c>
      <c r="H634">
        <f>INDEX(weekly!$D$2:$D$188,MATCH('Marketing Campaigns 22.11.22'!L634,weekly!$H$2:$H$188,0))</f>
        <v>800.93548387096769</v>
      </c>
      <c r="I634">
        <f>INDEX(weekly!$F$2:$F$188,MATCH('Marketing Campaigns 22.11.22'!L634,weekly!$H$2:$H$188,0))</f>
        <v>0</v>
      </c>
      <c r="J634">
        <v>0</v>
      </c>
      <c r="K634">
        <v>0</v>
      </c>
      <c r="L634" t="str">
        <f t="shared" si="18"/>
        <v>42-10-2021</v>
      </c>
      <c r="M634">
        <f t="shared" si="19"/>
        <v>2021</v>
      </c>
    </row>
    <row r="635" spans="1:13" x14ac:dyDescent="0.2">
      <c r="A635" s="1">
        <v>44487</v>
      </c>
      <c r="B635">
        <v>42</v>
      </c>
      <c r="C635">
        <v>10</v>
      </c>
      <c r="D635">
        <v>4</v>
      </c>
      <c r="E635" t="s">
        <v>40</v>
      </c>
      <c r="F635">
        <v>0</v>
      </c>
      <c r="G635">
        <f>INDEX(weekly!$E$2:$E$188,MATCH('Marketing Campaigns 22.11.22'!L635,weekly!$H$2:$H$188,0))</f>
        <v>4292.3525806451617</v>
      </c>
      <c r="H635">
        <f>INDEX(weekly!$D$2:$D$188,MATCH('Marketing Campaigns 22.11.22'!L635,weekly!$H$2:$H$188,0))</f>
        <v>800.93548387096769</v>
      </c>
      <c r="I635">
        <f>INDEX(weekly!$F$2:$F$188,MATCH('Marketing Campaigns 22.11.22'!L635,weekly!$H$2:$H$188,0))</f>
        <v>0</v>
      </c>
      <c r="J635">
        <v>0</v>
      </c>
      <c r="K635">
        <v>0</v>
      </c>
      <c r="L635" t="str">
        <f t="shared" si="18"/>
        <v>42-10-2021</v>
      </c>
      <c r="M635">
        <f t="shared" si="19"/>
        <v>2021</v>
      </c>
    </row>
    <row r="636" spans="1:13" x14ac:dyDescent="0.2">
      <c r="A636" s="1">
        <v>44487</v>
      </c>
      <c r="B636">
        <v>42</v>
      </c>
      <c r="C636">
        <v>10</v>
      </c>
      <c r="D636">
        <v>4</v>
      </c>
      <c r="E636" t="s">
        <v>41</v>
      </c>
      <c r="F636">
        <v>0</v>
      </c>
      <c r="G636">
        <f>INDEX(weekly!$E$2:$E$188,MATCH('Marketing Campaigns 22.11.22'!L636,weekly!$H$2:$H$188,0))</f>
        <v>4292.3525806451617</v>
      </c>
      <c r="H636">
        <f>INDEX(weekly!$D$2:$D$188,MATCH('Marketing Campaigns 22.11.22'!L636,weekly!$H$2:$H$188,0))</f>
        <v>800.93548387096769</v>
      </c>
      <c r="I636">
        <f>INDEX(weekly!$F$2:$F$188,MATCH('Marketing Campaigns 22.11.22'!L636,weekly!$H$2:$H$188,0))</f>
        <v>0</v>
      </c>
      <c r="J636">
        <v>0</v>
      </c>
      <c r="K636">
        <v>0</v>
      </c>
      <c r="L636" t="str">
        <f t="shared" si="18"/>
        <v>42-10-2021</v>
      </c>
      <c r="M636">
        <f t="shared" si="19"/>
        <v>2021</v>
      </c>
    </row>
    <row r="637" spans="1:13" x14ac:dyDescent="0.2">
      <c r="A637" s="1">
        <v>44487</v>
      </c>
      <c r="B637">
        <v>42</v>
      </c>
      <c r="C637">
        <v>10</v>
      </c>
      <c r="D637">
        <v>4</v>
      </c>
      <c r="E637" t="s">
        <v>42</v>
      </c>
      <c r="F637">
        <v>0</v>
      </c>
      <c r="G637">
        <f>INDEX(weekly!$E$2:$E$188,MATCH('Marketing Campaigns 22.11.22'!L637,weekly!$H$2:$H$188,0))</f>
        <v>4292.3525806451617</v>
      </c>
      <c r="H637">
        <f>INDEX(weekly!$D$2:$D$188,MATCH('Marketing Campaigns 22.11.22'!L637,weekly!$H$2:$H$188,0))</f>
        <v>800.93548387096769</v>
      </c>
      <c r="I637">
        <f>INDEX(weekly!$F$2:$F$188,MATCH('Marketing Campaigns 22.11.22'!L637,weekly!$H$2:$H$188,0))</f>
        <v>0</v>
      </c>
      <c r="J637">
        <v>0</v>
      </c>
      <c r="K637">
        <v>0</v>
      </c>
      <c r="L637" t="str">
        <f t="shared" si="18"/>
        <v>42-10-2021</v>
      </c>
      <c r="M637">
        <f t="shared" si="19"/>
        <v>2021</v>
      </c>
    </row>
    <row r="638" spans="1:13" x14ac:dyDescent="0.2">
      <c r="A638" s="1">
        <v>44487</v>
      </c>
      <c r="B638">
        <v>42</v>
      </c>
      <c r="C638">
        <v>10</v>
      </c>
      <c r="D638">
        <v>4</v>
      </c>
      <c r="E638" t="s">
        <v>43</v>
      </c>
      <c r="F638">
        <v>0</v>
      </c>
      <c r="G638">
        <f>INDEX(weekly!$E$2:$E$188,MATCH('Marketing Campaigns 22.11.22'!L638,weekly!$H$2:$H$188,0))</f>
        <v>4292.3525806451617</v>
      </c>
      <c r="H638">
        <f>INDEX(weekly!$D$2:$D$188,MATCH('Marketing Campaigns 22.11.22'!L638,weekly!$H$2:$H$188,0))</f>
        <v>800.93548387096769</v>
      </c>
      <c r="I638">
        <f>INDEX(weekly!$F$2:$F$188,MATCH('Marketing Campaigns 22.11.22'!L638,weekly!$H$2:$H$188,0))</f>
        <v>0</v>
      </c>
      <c r="J638">
        <v>0</v>
      </c>
      <c r="K638">
        <v>0</v>
      </c>
      <c r="L638" t="str">
        <f t="shared" si="18"/>
        <v>42-10-2021</v>
      </c>
      <c r="M638">
        <f t="shared" si="19"/>
        <v>2021</v>
      </c>
    </row>
    <row r="639" spans="1:13" x14ac:dyDescent="0.2">
      <c r="A639" s="1">
        <v>44487</v>
      </c>
      <c r="B639">
        <v>42</v>
      </c>
      <c r="C639">
        <v>10</v>
      </c>
      <c r="D639">
        <v>4</v>
      </c>
      <c r="E639" t="s">
        <v>44</v>
      </c>
      <c r="F639">
        <v>0</v>
      </c>
      <c r="G639">
        <f>INDEX(weekly!$E$2:$E$188,MATCH('Marketing Campaigns 22.11.22'!L639,weekly!$H$2:$H$188,0))</f>
        <v>4292.3525806451617</v>
      </c>
      <c r="H639">
        <f>INDEX(weekly!$D$2:$D$188,MATCH('Marketing Campaigns 22.11.22'!L639,weekly!$H$2:$H$188,0))</f>
        <v>800.93548387096769</v>
      </c>
      <c r="I639">
        <f>INDEX(weekly!$F$2:$F$188,MATCH('Marketing Campaigns 22.11.22'!L639,weekly!$H$2:$H$188,0))</f>
        <v>0</v>
      </c>
      <c r="J639">
        <v>0</v>
      </c>
      <c r="K639">
        <v>0</v>
      </c>
      <c r="L639" t="str">
        <f t="shared" si="18"/>
        <v>42-10-2021</v>
      </c>
      <c r="M639">
        <f t="shared" si="19"/>
        <v>2021</v>
      </c>
    </row>
    <row r="640" spans="1:13" x14ac:dyDescent="0.2">
      <c r="A640" s="1">
        <v>44487</v>
      </c>
      <c r="B640">
        <v>42</v>
      </c>
      <c r="C640">
        <v>10</v>
      </c>
      <c r="D640">
        <v>4</v>
      </c>
      <c r="E640" t="s">
        <v>45</v>
      </c>
      <c r="F640">
        <v>0</v>
      </c>
      <c r="G640">
        <f>INDEX(weekly!$E$2:$E$188,MATCH('Marketing Campaigns 22.11.22'!L640,weekly!$H$2:$H$188,0))</f>
        <v>4292.3525806451617</v>
      </c>
      <c r="H640">
        <f>INDEX(weekly!$D$2:$D$188,MATCH('Marketing Campaigns 22.11.22'!L640,weekly!$H$2:$H$188,0))</f>
        <v>800.93548387096769</v>
      </c>
      <c r="I640">
        <f>INDEX(weekly!$F$2:$F$188,MATCH('Marketing Campaigns 22.11.22'!L640,weekly!$H$2:$H$188,0))</f>
        <v>0</v>
      </c>
      <c r="J640">
        <v>0</v>
      </c>
      <c r="K640">
        <v>0</v>
      </c>
      <c r="L640" t="str">
        <f t="shared" si="18"/>
        <v>42-10-2021</v>
      </c>
      <c r="M640">
        <f t="shared" si="19"/>
        <v>2021</v>
      </c>
    </row>
    <row r="641" spans="1:13" x14ac:dyDescent="0.2">
      <c r="A641" s="1">
        <v>44487</v>
      </c>
      <c r="B641">
        <v>42</v>
      </c>
      <c r="C641">
        <v>10</v>
      </c>
      <c r="D641">
        <v>4</v>
      </c>
      <c r="E641" t="s">
        <v>46</v>
      </c>
      <c r="F641">
        <v>0</v>
      </c>
      <c r="G641">
        <f>INDEX(weekly!$E$2:$E$188,MATCH('Marketing Campaigns 22.11.22'!L641,weekly!$H$2:$H$188,0))</f>
        <v>4292.3525806451617</v>
      </c>
      <c r="H641">
        <f>INDEX(weekly!$D$2:$D$188,MATCH('Marketing Campaigns 22.11.22'!L641,weekly!$H$2:$H$188,0))</f>
        <v>800.93548387096769</v>
      </c>
      <c r="I641">
        <f>INDEX(weekly!$F$2:$F$188,MATCH('Marketing Campaigns 22.11.22'!L641,weekly!$H$2:$H$188,0))</f>
        <v>0</v>
      </c>
      <c r="J641">
        <v>0</v>
      </c>
      <c r="K641">
        <v>0</v>
      </c>
      <c r="L641" t="str">
        <f t="shared" si="18"/>
        <v>42-10-2021</v>
      </c>
      <c r="M641">
        <f t="shared" si="19"/>
        <v>2021</v>
      </c>
    </row>
    <row r="642" spans="1:13" x14ac:dyDescent="0.2">
      <c r="A642" s="1">
        <v>44487</v>
      </c>
      <c r="B642">
        <v>42</v>
      </c>
      <c r="C642">
        <v>10</v>
      </c>
      <c r="D642">
        <v>4</v>
      </c>
      <c r="E642" t="s">
        <v>47</v>
      </c>
      <c r="F642">
        <v>0</v>
      </c>
      <c r="G642">
        <f>INDEX(weekly!$E$2:$E$188,MATCH('Marketing Campaigns 22.11.22'!L642,weekly!$H$2:$H$188,0))</f>
        <v>4292.3525806451617</v>
      </c>
      <c r="H642">
        <f>INDEX(weekly!$D$2:$D$188,MATCH('Marketing Campaigns 22.11.22'!L642,weekly!$H$2:$H$188,0))</f>
        <v>800.93548387096769</v>
      </c>
      <c r="I642">
        <f>INDEX(weekly!$F$2:$F$188,MATCH('Marketing Campaigns 22.11.22'!L642,weekly!$H$2:$H$188,0))</f>
        <v>0</v>
      </c>
      <c r="J642">
        <v>0</v>
      </c>
      <c r="K642">
        <v>0</v>
      </c>
      <c r="L642" t="str">
        <f t="shared" si="18"/>
        <v>42-10-2021</v>
      </c>
      <c r="M642">
        <f t="shared" si="19"/>
        <v>2021</v>
      </c>
    </row>
    <row r="643" spans="1:13" x14ac:dyDescent="0.2">
      <c r="A643" s="1">
        <v>44487</v>
      </c>
      <c r="B643">
        <v>42</v>
      </c>
      <c r="C643">
        <v>10</v>
      </c>
      <c r="D643">
        <v>4</v>
      </c>
      <c r="E643" t="s">
        <v>48</v>
      </c>
      <c r="F643">
        <v>0</v>
      </c>
      <c r="G643">
        <f>INDEX(weekly!$E$2:$E$188,MATCH('Marketing Campaigns 22.11.22'!L643,weekly!$H$2:$H$188,0))</f>
        <v>4292.3525806451617</v>
      </c>
      <c r="H643">
        <f>INDEX(weekly!$D$2:$D$188,MATCH('Marketing Campaigns 22.11.22'!L643,weekly!$H$2:$H$188,0))</f>
        <v>800.93548387096769</v>
      </c>
      <c r="I643">
        <f>INDEX(weekly!$F$2:$F$188,MATCH('Marketing Campaigns 22.11.22'!L643,weekly!$H$2:$H$188,0))</f>
        <v>0</v>
      </c>
      <c r="J643">
        <v>0</v>
      </c>
      <c r="K643">
        <v>0</v>
      </c>
      <c r="L643" t="str">
        <f t="shared" si="18"/>
        <v>42-10-2021</v>
      </c>
      <c r="M643">
        <f t="shared" si="19"/>
        <v>2021</v>
      </c>
    </row>
    <row r="644" spans="1:13" x14ac:dyDescent="0.2">
      <c r="A644" s="1">
        <v>44487</v>
      </c>
      <c r="B644">
        <v>42</v>
      </c>
      <c r="C644">
        <v>10</v>
      </c>
      <c r="D644">
        <v>4</v>
      </c>
      <c r="E644" t="s">
        <v>49</v>
      </c>
      <c r="F644">
        <v>0</v>
      </c>
      <c r="G644">
        <f>INDEX(weekly!$E$2:$E$188,MATCH('Marketing Campaigns 22.11.22'!L644,weekly!$H$2:$H$188,0))</f>
        <v>4292.3525806451617</v>
      </c>
      <c r="H644">
        <f>INDEX(weekly!$D$2:$D$188,MATCH('Marketing Campaigns 22.11.22'!L644,weekly!$H$2:$H$188,0))</f>
        <v>800.93548387096769</v>
      </c>
      <c r="I644">
        <f>INDEX(weekly!$F$2:$F$188,MATCH('Marketing Campaigns 22.11.22'!L644,weekly!$H$2:$H$188,0))</f>
        <v>0</v>
      </c>
      <c r="J644">
        <v>0</v>
      </c>
      <c r="K644">
        <v>0</v>
      </c>
      <c r="L644" t="str">
        <f t="shared" ref="L644:L707" si="20">B644&amp;"-"&amp;C644&amp;"-"&amp;M644</f>
        <v>42-10-2021</v>
      </c>
      <c r="M644">
        <f t="shared" ref="M644:M707" si="21">YEAR(A644)</f>
        <v>2021</v>
      </c>
    </row>
    <row r="645" spans="1:13" x14ac:dyDescent="0.2">
      <c r="A645" s="1">
        <v>44487</v>
      </c>
      <c r="B645">
        <v>42</v>
      </c>
      <c r="C645">
        <v>10</v>
      </c>
      <c r="D645">
        <v>4</v>
      </c>
      <c r="E645" t="s">
        <v>50</v>
      </c>
      <c r="F645">
        <v>0</v>
      </c>
      <c r="G645">
        <f>INDEX(weekly!$E$2:$E$188,MATCH('Marketing Campaigns 22.11.22'!L645,weekly!$H$2:$H$188,0))</f>
        <v>4292.3525806451617</v>
      </c>
      <c r="H645">
        <f>INDEX(weekly!$D$2:$D$188,MATCH('Marketing Campaigns 22.11.22'!L645,weekly!$H$2:$H$188,0))</f>
        <v>800.93548387096769</v>
      </c>
      <c r="I645">
        <f>INDEX(weekly!$F$2:$F$188,MATCH('Marketing Campaigns 22.11.22'!L645,weekly!$H$2:$H$188,0))</f>
        <v>0</v>
      </c>
      <c r="J645">
        <v>0</v>
      </c>
      <c r="K645">
        <v>0</v>
      </c>
      <c r="L645" t="str">
        <f t="shared" si="20"/>
        <v>42-10-2021</v>
      </c>
      <c r="M645">
        <f t="shared" si="21"/>
        <v>2021</v>
      </c>
    </row>
    <row r="646" spans="1:13" x14ac:dyDescent="0.2">
      <c r="A646" s="1">
        <v>44487</v>
      </c>
      <c r="B646">
        <v>42</v>
      </c>
      <c r="C646">
        <v>10</v>
      </c>
      <c r="D646">
        <v>4</v>
      </c>
      <c r="E646" t="s">
        <v>51</v>
      </c>
      <c r="F646">
        <v>0</v>
      </c>
      <c r="G646">
        <f>INDEX(weekly!$E$2:$E$188,MATCH('Marketing Campaigns 22.11.22'!L646,weekly!$H$2:$H$188,0))</f>
        <v>4292.3525806451617</v>
      </c>
      <c r="H646">
        <f>INDEX(weekly!$D$2:$D$188,MATCH('Marketing Campaigns 22.11.22'!L646,weekly!$H$2:$H$188,0))</f>
        <v>800.93548387096769</v>
      </c>
      <c r="I646">
        <f>INDEX(weekly!$F$2:$F$188,MATCH('Marketing Campaigns 22.11.22'!L646,weekly!$H$2:$H$188,0))</f>
        <v>0</v>
      </c>
      <c r="J646">
        <v>0</v>
      </c>
      <c r="K646">
        <v>0</v>
      </c>
      <c r="L646" t="str">
        <f t="shared" si="20"/>
        <v>42-10-2021</v>
      </c>
      <c r="M646">
        <f t="shared" si="21"/>
        <v>2021</v>
      </c>
    </row>
    <row r="647" spans="1:13" x14ac:dyDescent="0.2">
      <c r="A647" s="1">
        <v>44487</v>
      </c>
      <c r="B647">
        <v>42</v>
      </c>
      <c r="C647">
        <v>10</v>
      </c>
      <c r="D647">
        <v>4</v>
      </c>
      <c r="E647" t="s">
        <v>52</v>
      </c>
      <c r="F647">
        <v>0</v>
      </c>
      <c r="G647">
        <f>INDEX(weekly!$E$2:$E$188,MATCH('Marketing Campaigns 22.11.22'!L647,weekly!$H$2:$H$188,0))</f>
        <v>4292.3525806451617</v>
      </c>
      <c r="H647">
        <f>INDEX(weekly!$D$2:$D$188,MATCH('Marketing Campaigns 22.11.22'!L647,weekly!$H$2:$H$188,0))</f>
        <v>800.93548387096769</v>
      </c>
      <c r="I647">
        <f>INDEX(weekly!$F$2:$F$188,MATCH('Marketing Campaigns 22.11.22'!L647,weekly!$H$2:$H$188,0))</f>
        <v>0</v>
      </c>
      <c r="J647">
        <v>0</v>
      </c>
      <c r="K647">
        <v>0</v>
      </c>
      <c r="L647" t="str">
        <f t="shared" si="20"/>
        <v>42-10-2021</v>
      </c>
      <c r="M647">
        <f t="shared" si="21"/>
        <v>2021</v>
      </c>
    </row>
    <row r="648" spans="1:13" x14ac:dyDescent="0.2">
      <c r="A648" s="1">
        <v>44494</v>
      </c>
      <c r="B648">
        <v>43</v>
      </c>
      <c r="C648">
        <v>10</v>
      </c>
      <c r="D648">
        <v>4</v>
      </c>
      <c r="E648" t="s">
        <v>24</v>
      </c>
      <c r="F648">
        <v>0</v>
      </c>
      <c r="G648">
        <f>INDEX(weekly!$E$2:$E$188,MATCH('Marketing Campaigns 22.11.22'!L648,weekly!$H$2:$H$188,0))</f>
        <v>4292.3525806451617</v>
      </c>
      <c r="H648">
        <f>INDEX(weekly!$D$2:$D$188,MATCH('Marketing Campaigns 22.11.22'!L648,weekly!$H$2:$H$188,0))</f>
        <v>800.93548387096769</v>
      </c>
      <c r="I648">
        <f>INDEX(weekly!$F$2:$F$188,MATCH('Marketing Campaigns 22.11.22'!L648,weekly!$H$2:$H$188,0))</f>
        <v>0</v>
      </c>
      <c r="J648">
        <v>0</v>
      </c>
      <c r="K648">
        <v>0</v>
      </c>
      <c r="L648" t="str">
        <f t="shared" si="20"/>
        <v>43-10-2021</v>
      </c>
      <c r="M648">
        <f t="shared" si="21"/>
        <v>2021</v>
      </c>
    </row>
    <row r="649" spans="1:13" x14ac:dyDescent="0.2">
      <c r="A649" s="1">
        <v>44494</v>
      </c>
      <c r="B649">
        <v>43</v>
      </c>
      <c r="C649">
        <v>10</v>
      </c>
      <c r="D649">
        <v>4</v>
      </c>
      <c r="E649" t="s">
        <v>39</v>
      </c>
      <c r="F649">
        <v>0</v>
      </c>
      <c r="G649">
        <f>INDEX(weekly!$E$2:$E$188,MATCH('Marketing Campaigns 22.11.22'!L649,weekly!$H$2:$H$188,0))</f>
        <v>4292.3525806451617</v>
      </c>
      <c r="H649">
        <f>INDEX(weekly!$D$2:$D$188,MATCH('Marketing Campaigns 22.11.22'!L649,weekly!$H$2:$H$188,0))</f>
        <v>800.93548387096769</v>
      </c>
      <c r="I649">
        <f>INDEX(weekly!$F$2:$F$188,MATCH('Marketing Campaigns 22.11.22'!L649,weekly!$H$2:$H$188,0))</f>
        <v>0</v>
      </c>
      <c r="J649">
        <v>0</v>
      </c>
      <c r="K649">
        <v>0</v>
      </c>
      <c r="L649" t="str">
        <f t="shared" si="20"/>
        <v>43-10-2021</v>
      </c>
      <c r="M649">
        <f t="shared" si="21"/>
        <v>2021</v>
      </c>
    </row>
    <row r="650" spans="1:13" x14ac:dyDescent="0.2">
      <c r="A650" s="1">
        <v>44494</v>
      </c>
      <c r="B650">
        <v>43</v>
      </c>
      <c r="C650">
        <v>10</v>
      </c>
      <c r="D650">
        <v>4</v>
      </c>
      <c r="E650" t="s">
        <v>40</v>
      </c>
      <c r="F650">
        <v>0</v>
      </c>
      <c r="G650">
        <f>INDEX(weekly!$E$2:$E$188,MATCH('Marketing Campaigns 22.11.22'!L650,weekly!$H$2:$H$188,0))</f>
        <v>4292.3525806451617</v>
      </c>
      <c r="H650">
        <f>INDEX(weekly!$D$2:$D$188,MATCH('Marketing Campaigns 22.11.22'!L650,weekly!$H$2:$H$188,0))</f>
        <v>800.93548387096769</v>
      </c>
      <c r="I650">
        <f>INDEX(weekly!$F$2:$F$188,MATCH('Marketing Campaigns 22.11.22'!L650,weekly!$H$2:$H$188,0))</f>
        <v>0</v>
      </c>
      <c r="J650">
        <v>0</v>
      </c>
      <c r="K650">
        <v>0</v>
      </c>
      <c r="L650" t="str">
        <f t="shared" si="20"/>
        <v>43-10-2021</v>
      </c>
      <c r="M650">
        <f t="shared" si="21"/>
        <v>2021</v>
      </c>
    </row>
    <row r="651" spans="1:13" x14ac:dyDescent="0.2">
      <c r="A651" s="1">
        <v>44494</v>
      </c>
      <c r="B651">
        <v>43</v>
      </c>
      <c r="C651">
        <v>10</v>
      </c>
      <c r="D651">
        <v>4</v>
      </c>
      <c r="E651" t="s">
        <v>41</v>
      </c>
      <c r="F651">
        <v>0</v>
      </c>
      <c r="G651">
        <f>INDEX(weekly!$E$2:$E$188,MATCH('Marketing Campaigns 22.11.22'!L651,weekly!$H$2:$H$188,0))</f>
        <v>4292.3525806451617</v>
      </c>
      <c r="H651">
        <f>INDEX(weekly!$D$2:$D$188,MATCH('Marketing Campaigns 22.11.22'!L651,weekly!$H$2:$H$188,0))</f>
        <v>800.93548387096769</v>
      </c>
      <c r="I651">
        <f>INDEX(weekly!$F$2:$F$188,MATCH('Marketing Campaigns 22.11.22'!L651,weekly!$H$2:$H$188,0))</f>
        <v>0</v>
      </c>
      <c r="J651">
        <v>0</v>
      </c>
      <c r="K651">
        <v>0</v>
      </c>
      <c r="L651" t="str">
        <f t="shared" si="20"/>
        <v>43-10-2021</v>
      </c>
      <c r="M651">
        <f t="shared" si="21"/>
        <v>2021</v>
      </c>
    </row>
    <row r="652" spans="1:13" x14ac:dyDescent="0.2">
      <c r="A652" s="1">
        <v>44494</v>
      </c>
      <c r="B652">
        <v>43</v>
      </c>
      <c r="C652">
        <v>10</v>
      </c>
      <c r="D652">
        <v>4</v>
      </c>
      <c r="E652" t="s">
        <v>42</v>
      </c>
      <c r="F652">
        <v>0</v>
      </c>
      <c r="G652">
        <f>INDEX(weekly!$E$2:$E$188,MATCH('Marketing Campaigns 22.11.22'!L652,weekly!$H$2:$H$188,0))</f>
        <v>4292.3525806451617</v>
      </c>
      <c r="H652">
        <f>INDEX(weekly!$D$2:$D$188,MATCH('Marketing Campaigns 22.11.22'!L652,weekly!$H$2:$H$188,0))</f>
        <v>800.93548387096769</v>
      </c>
      <c r="I652">
        <f>INDEX(weekly!$F$2:$F$188,MATCH('Marketing Campaigns 22.11.22'!L652,weekly!$H$2:$H$188,0))</f>
        <v>0</v>
      </c>
      <c r="J652">
        <v>0</v>
      </c>
      <c r="K652">
        <v>0</v>
      </c>
      <c r="L652" t="str">
        <f t="shared" si="20"/>
        <v>43-10-2021</v>
      </c>
      <c r="M652">
        <f t="shared" si="21"/>
        <v>2021</v>
      </c>
    </row>
    <row r="653" spans="1:13" x14ac:dyDescent="0.2">
      <c r="A653" s="1">
        <v>44494</v>
      </c>
      <c r="B653">
        <v>43</v>
      </c>
      <c r="C653">
        <v>10</v>
      </c>
      <c r="D653">
        <v>4</v>
      </c>
      <c r="E653" t="s">
        <v>43</v>
      </c>
      <c r="F653">
        <v>0</v>
      </c>
      <c r="G653">
        <f>INDEX(weekly!$E$2:$E$188,MATCH('Marketing Campaigns 22.11.22'!L653,weekly!$H$2:$H$188,0))</f>
        <v>4292.3525806451617</v>
      </c>
      <c r="H653">
        <f>INDEX(weekly!$D$2:$D$188,MATCH('Marketing Campaigns 22.11.22'!L653,weekly!$H$2:$H$188,0))</f>
        <v>800.93548387096769</v>
      </c>
      <c r="I653">
        <f>INDEX(weekly!$F$2:$F$188,MATCH('Marketing Campaigns 22.11.22'!L653,weekly!$H$2:$H$188,0))</f>
        <v>0</v>
      </c>
      <c r="J653">
        <v>0</v>
      </c>
      <c r="K653">
        <v>0</v>
      </c>
      <c r="L653" t="str">
        <f t="shared" si="20"/>
        <v>43-10-2021</v>
      </c>
      <c r="M653">
        <f t="shared" si="21"/>
        <v>2021</v>
      </c>
    </row>
    <row r="654" spans="1:13" x14ac:dyDescent="0.2">
      <c r="A654" s="1">
        <v>44494</v>
      </c>
      <c r="B654">
        <v>43</v>
      </c>
      <c r="C654">
        <v>10</v>
      </c>
      <c r="D654">
        <v>4</v>
      </c>
      <c r="E654" t="s">
        <v>44</v>
      </c>
      <c r="F654">
        <v>0</v>
      </c>
      <c r="G654">
        <f>INDEX(weekly!$E$2:$E$188,MATCH('Marketing Campaigns 22.11.22'!L654,weekly!$H$2:$H$188,0))</f>
        <v>4292.3525806451617</v>
      </c>
      <c r="H654">
        <f>INDEX(weekly!$D$2:$D$188,MATCH('Marketing Campaigns 22.11.22'!L654,weekly!$H$2:$H$188,0))</f>
        <v>800.93548387096769</v>
      </c>
      <c r="I654">
        <f>INDEX(weekly!$F$2:$F$188,MATCH('Marketing Campaigns 22.11.22'!L654,weekly!$H$2:$H$188,0))</f>
        <v>0</v>
      </c>
      <c r="J654">
        <v>0</v>
      </c>
      <c r="K654">
        <v>0</v>
      </c>
      <c r="L654" t="str">
        <f t="shared" si="20"/>
        <v>43-10-2021</v>
      </c>
      <c r="M654">
        <f t="shared" si="21"/>
        <v>2021</v>
      </c>
    </row>
    <row r="655" spans="1:13" x14ac:dyDescent="0.2">
      <c r="A655" s="1">
        <v>44494</v>
      </c>
      <c r="B655">
        <v>43</v>
      </c>
      <c r="C655">
        <v>10</v>
      </c>
      <c r="D655">
        <v>4</v>
      </c>
      <c r="E655" t="s">
        <v>45</v>
      </c>
      <c r="F655">
        <v>0</v>
      </c>
      <c r="G655">
        <f>INDEX(weekly!$E$2:$E$188,MATCH('Marketing Campaigns 22.11.22'!L655,weekly!$H$2:$H$188,0))</f>
        <v>4292.3525806451617</v>
      </c>
      <c r="H655">
        <f>INDEX(weekly!$D$2:$D$188,MATCH('Marketing Campaigns 22.11.22'!L655,weekly!$H$2:$H$188,0))</f>
        <v>800.93548387096769</v>
      </c>
      <c r="I655">
        <f>INDEX(weekly!$F$2:$F$188,MATCH('Marketing Campaigns 22.11.22'!L655,weekly!$H$2:$H$188,0))</f>
        <v>0</v>
      </c>
      <c r="J655">
        <v>0</v>
      </c>
      <c r="K655">
        <v>0</v>
      </c>
      <c r="L655" t="str">
        <f t="shared" si="20"/>
        <v>43-10-2021</v>
      </c>
      <c r="M655">
        <f t="shared" si="21"/>
        <v>2021</v>
      </c>
    </row>
    <row r="656" spans="1:13" x14ac:dyDescent="0.2">
      <c r="A656" s="1">
        <v>44494</v>
      </c>
      <c r="B656">
        <v>43</v>
      </c>
      <c r="C656">
        <v>10</v>
      </c>
      <c r="D656">
        <v>4</v>
      </c>
      <c r="E656" t="s">
        <v>46</v>
      </c>
      <c r="F656">
        <v>0</v>
      </c>
      <c r="G656">
        <f>INDEX(weekly!$E$2:$E$188,MATCH('Marketing Campaigns 22.11.22'!L656,weekly!$H$2:$H$188,0))</f>
        <v>4292.3525806451617</v>
      </c>
      <c r="H656">
        <f>INDEX(weekly!$D$2:$D$188,MATCH('Marketing Campaigns 22.11.22'!L656,weekly!$H$2:$H$188,0))</f>
        <v>800.93548387096769</v>
      </c>
      <c r="I656">
        <f>INDEX(weekly!$F$2:$F$188,MATCH('Marketing Campaigns 22.11.22'!L656,weekly!$H$2:$H$188,0))</f>
        <v>0</v>
      </c>
      <c r="J656">
        <v>0</v>
      </c>
      <c r="K656">
        <v>0</v>
      </c>
      <c r="L656" t="str">
        <f t="shared" si="20"/>
        <v>43-10-2021</v>
      </c>
      <c r="M656">
        <f t="shared" si="21"/>
        <v>2021</v>
      </c>
    </row>
    <row r="657" spans="1:13" x14ac:dyDescent="0.2">
      <c r="A657" s="1">
        <v>44494</v>
      </c>
      <c r="B657">
        <v>43</v>
      </c>
      <c r="C657">
        <v>10</v>
      </c>
      <c r="D657">
        <v>4</v>
      </c>
      <c r="E657" t="s">
        <v>47</v>
      </c>
      <c r="F657">
        <v>0</v>
      </c>
      <c r="G657">
        <f>INDEX(weekly!$E$2:$E$188,MATCH('Marketing Campaigns 22.11.22'!L657,weekly!$H$2:$H$188,0))</f>
        <v>4292.3525806451617</v>
      </c>
      <c r="H657">
        <f>INDEX(weekly!$D$2:$D$188,MATCH('Marketing Campaigns 22.11.22'!L657,weekly!$H$2:$H$188,0))</f>
        <v>800.93548387096769</v>
      </c>
      <c r="I657">
        <f>INDEX(weekly!$F$2:$F$188,MATCH('Marketing Campaigns 22.11.22'!L657,weekly!$H$2:$H$188,0))</f>
        <v>0</v>
      </c>
      <c r="J657">
        <v>0</v>
      </c>
      <c r="K657">
        <v>0</v>
      </c>
      <c r="L657" t="str">
        <f t="shared" si="20"/>
        <v>43-10-2021</v>
      </c>
      <c r="M657">
        <f t="shared" si="21"/>
        <v>2021</v>
      </c>
    </row>
    <row r="658" spans="1:13" x14ac:dyDescent="0.2">
      <c r="A658" s="1">
        <v>44494</v>
      </c>
      <c r="B658">
        <v>43</v>
      </c>
      <c r="C658">
        <v>10</v>
      </c>
      <c r="D658">
        <v>4</v>
      </c>
      <c r="E658" t="s">
        <v>48</v>
      </c>
      <c r="F658">
        <v>0</v>
      </c>
      <c r="G658">
        <f>INDEX(weekly!$E$2:$E$188,MATCH('Marketing Campaigns 22.11.22'!L658,weekly!$H$2:$H$188,0))</f>
        <v>4292.3525806451617</v>
      </c>
      <c r="H658">
        <f>INDEX(weekly!$D$2:$D$188,MATCH('Marketing Campaigns 22.11.22'!L658,weekly!$H$2:$H$188,0))</f>
        <v>800.93548387096769</v>
      </c>
      <c r="I658">
        <f>INDEX(weekly!$F$2:$F$188,MATCH('Marketing Campaigns 22.11.22'!L658,weekly!$H$2:$H$188,0))</f>
        <v>0</v>
      </c>
      <c r="J658">
        <v>0</v>
      </c>
      <c r="K658">
        <v>0</v>
      </c>
      <c r="L658" t="str">
        <f t="shared" si="20"/>
        <v>43-10-2021</v>
      </c>
      <c r="M658">
        <f t="shared" si="21"/>
        <v>2021</v>
      </c>
    </row>
    <row r="659" spans="1:13" x14ac:dyDescent="0.2">
      <c r="A659" s="1">
        <v>44494</v>
      </c>
      <c r="B659">
        <v>43</v>
      </c>
      <c r="C659">
        <v>10</v>
      </c>
      <c r="D659">
        <v>4</v>
      </c>
      <c r="E659" t="s">
        <v>49</v>
      </c>
      <c r="F659">
        <v>0</v>
      </c>
      <c r="G659">
        <f>INDEX(weekly!$E$2:$E$188,MATCH('Marketing Campaigns 22.11.22'!L659,weekly!$H$2:$H$188,0))</f>
        <v>4292.3525806451617</v>
      </c>
      <c r="H659">
        <f>INDEX(weekly!$D$2:$D$188,MATCH('Marketing Campaigns 22.11.22'!L659,weekly!$H$2:$H$188,0))</f>
        <v>800.93548387096769</v>
      </c>
      <c r="I659">
        <f>INDEX(weekly!$F$2:$F$188,MATCH('Marketing Campaigns 22.11.22'!L659,weekly!$H$2:$H$188,0))</f>
        <v>0</v>
      </c>
      <c r="J659">
        <v>0</v>
      </c>
      <c r="K659">
        <v>0</v>
      </c>
      <c r="L659" t="str">
        <f t="shared" si="20"/>
        <v>43-10-2021</v>
      </c>
      <c r="M659">
        <f t="shared" si="21"/>
        <v>2021</v>
      </c>
    </row>
    <row r="660" spans="1:13" x14ac:dyDescent="0.2">
      <c r="A660" s="1">
        <v>44494</v>
      </c>
      <c r="B660">
        <v>43</v>
      </c>
      <c r="C660">
        <v>10</v>
      </c>
      <c r="D660">
        <v>4</v>
      </c>
      <c r="E660" t="s">
        <v>50</v>
      </c>
      <c r="F660">
        <v>0</v>
      </c>
      <c r="G660">
        <f>INDEX(weekly!$E$2:$E$188,MATCH('Marketing Campaigns 22.11.22'!L660,weekly!$H$2:$H$188,0))</f>
        <v>4292.3525806451617</v>
      </c>
      <c r="H660">
        <f>INDEX(weekly!$D$2:$D$188,MATCH('Marketing Campaigns 22.11.22'!L660,weekly!$H$2:$H$188,0))</f>
        <v>800.93548387096769</v>
      </c>
      <c r="I660">
        <f>INDEX(weekly!$F$2:$F$188,MATCH('Marketing Campaigns 22.11.22'!L660,weekly!$H$2:$H$188,0))</f>
        <v>0</v>
      </c>
      <c r="J660">
        <v>0</v>
      </c>
      <c r="K660">
        <v>0</v>
      </c>
      <c r="L660" t="str">
        <f t="shared" si="20"/>
        <v>43-10-2021</v>
      </c>
      <c r="M660">
        <f t="shared" si="21"/>
        <v>2021</v>
      </c>
    </row>
    <row r="661" spans="1:13" x14ac:dyDescent="0.2">
      <c r="A661" s="1">
        <v>44494</v>
      </c>
      <c r="B661">
        <v>43</v>
      </c>
      <c r="C661">
        <v>10</v>
      </c>
      <c r="D661">
        <v>4</v>
      </c>
      <c r="E661" t="s">
        <v>51</v>
      </c>
      <c r="F661">
        <v>0</v>
      </c>
      <c r="G661">
        <f>INDEX(weekly!$E$2:$E$188,MATCH('Marketing Campaigns 22.11.22'!L661,weekly!$H$2:$H$188,0))</f>
        <v>4292.3525806451617</v>
      </c>
      <c r="H661">
        <f>INDEX(weekly!$D$2:$D$188,MATCH('Marketing Campaigns 22.11.22'!L661,weekly!$H$2:$H$188,0))</f>
        <v>800.93548387096769</v>
      </c>
      <c r="I661">
        <f>INDEX(weekly!$F$2:$F$188,MATCH('Marketing Campaigns 22.11.22'!L661,weekly!$H$2:$H$188,0))</f>
        <v>0</v>
      </c>
      <c r="J661">
        <v>0</v>
      </c>
      <c r="K661">
        <v>0</v>
      </c>
      <c r="L661" t="str">
        <f t="shared" si="20"/>
        <v>43-10-2021</v>
      </c>
      <c r="M661">
        <f t="shared" si="21"/>
        <v>2021</v>
      </c>
    </row>
    <row r="662" spans="1:13" x14ac:dyDescent="0.2">
      <c r="A662" s="1">
        <v>44494</v>
      </c>
      <c r="B662">
        <v>43</v>
      </c>
      <c r="C662">
        <v>10</v>
      </c>
      <c r="D662">
        <v>4</v>
      </c>
      <c r="E662" t="s">
        <v>52</v>
      </c>
      <c r="F662">
        <v>0</v>
      </c>
      <c r="G662">
        <f>INDEX(weekly!$E$2:$E$188,MATCH('Marketing Campaigns 22.11.22'!L662,weekly!$H$2:$H$188,0))</f>
        <v>4292.3525806451617</v>
      </c>
      <c r="H662">
        <f>INDEX(weekly!$D$2:$D$188,MATCH('Marketing Campaigns 22.11.22'!L662,weekly!$H$2:$H$188,0))</f>
        <v>800.93548387096769</v>
      </c>
      <c r="I662">
        <f>INDEX(weekly!$F$2:$F$188,MATCH('Marketing Campaigns 22.11.22'!L662,weekly!$H$2:$H$188,0))</f>
        <v>0</v>
      </c>
      <c r="J662">
        <v>0</v>
      </c>
      <c r="K662">
        <v>0</v>
      </c>
      <c r="L662" t="str">
        <f t="shared" si="20"/>
        <v>43-10-2021</v>
      </c>
      <c r="M662">
        <f t="shared" si="21"/>
        <v>2021</v>
      </c>
    </row>
    <row r="663" spans="1:13" x14ac:dyDescent="0.2">
      <c r="A663" s="1">
        <v>44501</v>
      </c>
      <c r="B663">
        <v>44</v>
      </c>
      <c r="C663">
        <v>11</v>
      </c>
      <c r="D663">
        <v>4</v>
      </c>
      <c r="E663" t="s">
        <v>24</v>
      </c>
      <c r="F663">
        <v>0</v>
      </c>
      <c r="G663">
        <f>INDEX(weekly!$E$2:$E$188,MATCH('Marketing Campaigns 22.11.22'!L663,weekly!$H$2:$H$188,0))</f>
        <v>5951.8666666666659</v>
      </c>
      <c r="H663">
        <f>INDEX(weekly!$D$2:$D$188,MATCH('Marketing Campaigns 22.11.22'!L663,weekly!$H$2:$H$188,0))</f>
        <v>626.9666666666667</v>
      </c>
      <c r="I663">
        <f>INDEX(weekly!$F$2:$F$188,MATCH('Marketing Campaigns 22.11.22'!L663,weekly!$H$2:$H$188,0))</f>
        <v>0</v>
      </c>
      <c r="J663">
        <v>0</v>
      </c>
      <c r="K663">
        <v>0</v>
      </c>
      <c r="L663" t="str">
        <f t="shared" si="20"/>
        <v>44-11-2021</v>
      </c>
      <c r="M663">
        <f t="shared" si="21"/>
        <v>2021</v>
      </c>
    </row>
    <row r="664" spans="1:13" x14ac:dyDescent="0.2">
      <c r="A664" s="1">
        <v>44501</v>
      </c>
      <c r="B664">
        <v>44</v>
      </c>
      <c r="C664">
        <v>11</v>
      </c>
      <c r="D664">
        <v>4</v>
      </c>
      <c r="E664" t="s">
        <v>39</v>
      </c>
      <c r="F664">
        <v>0</v>
      </c>
      <c r="G664">
        <f>INDEX(weekly!$E$2:$E$188,MATCH('Marketing Campaigns 22.11.22'!L664,weekly!$H$2:$H$188,0))</f>
        <v>5951.8666666666659</v>
      </c>
      <c r="H664">
        <f>INDEX(weekly!$D$2:$D$188,MATCH('Marketing Campaigns 22.11.22'!L664,weekly!$H$2:$H$188,0))</f>
        <v>626.9666666666667</v>
      </c>
      <c r="I664">
        <f>INDEX(weekly!$F$2:$F$188,MATCH('Marketing Campaigns 22.11.22'!L664,weekly!$H$2:$H$188,0))</f>
        <v>0</v>
      </c>
      <c r="J664">
        <v>0</v>
      </c>
      <c r="K664">
        <v>0</v>
      </c>
      <c r="L664" t="str">
        <f t="shared" si="20"/>
        <v>44-11-2021</v>
      </c>
      <c r="M664">
        <f t="shared" si="21"/>
        <v>2021</v>
      </c>
    </row>
    <row r="665" spans="1:13" x14ac:dyDescent="0.2">
      <c r="A665" s="1">
        <v>44501</v>
      </c>
      <c r="B665">
        <v>44</v>
      </c>
      <c r="C665">
        <v>11</v>
      </c>
      <c r="D665">
        <v>4</v>
      </c>
      <c r="E665" t="s">
        <v>40</v>
      </c>
      <c r="F665">
        <v>0</v>
      </c>
      <c r="G665">
        <f>INDEX(weekly!$E$2:$E$188,MATCH('Marketing Campaigns 22.11.22'!L665,weekly!$H$2:$H$188,0))</f>
        <v>5951.8666666666659</v>
      </c>
      <c r="H665">
        <f>INDEX(weekly!$D$2:$D$188,MATCH('Marketing Campaigns 22.11.22'!L665,weekly!$H$2:$H$188,0))</f>
        <v>626.9666666666667</v>
      </c>
      <c r="I665">
        <f>INDEX(weekly!$F$2:$F$188,MATCH('Marketing Campaigns 22.11.22'!L665,weekly!$H$2:$H$188,0))</f>
        <v>0</v>
      </c>
      <c r="J665">
        <v>0</v>
      </c>
      <c r="K665">
        <v>0</v>
      </c>
      <c r="L665" t="str">
        <f t="shared" si="20"/>
        <v>44-11-2021</v>
      </c>
      <c r="M665">
        <f t="shared" si="21"/>
        <v>2021</v>
      </c>
    </row>
    <row r="666" spans="1:13" x14ac:dyDescent="0.2">
      <c r="A666" s="1">
        <v>44501</v>
      </c>
      <c r="B666">
        <v>44</v>
      </c>
      <c r="C666">
        <v>11</v>
      </c>
      <c r="D666">
        <v>4</v>
      </c>
      <c r="E666" t="s">
        <v>41</v>
      </c>
      <c r="F666">
        <v>0</v>
      </c>
      <c r="G666">
        <f>INDEX(weekly!$E$2:$E$188,MATCH('Marketing Campaigns 22.11.22'!L666,weekly!$H$2:$H$188,0))</f>
        <v>5951.8666666666659</v>
      </c>
      <c r="H666">
        <f>INDEX(weekly!$D$2:$D$188,MATCH('Marketing Campaigns 22.11.22'!L666,weekly!$H$2:$H$188,0))</f>
        <v>626.9666666666667</v>
      </c>
      <c r="I666">
        <f>INDEX(weekly!$F$2:$F$188,MATCH('Marketing Campaigns 22.11.22'!L666,weekly!$H$2:$H$188,0))</f>
        <v>0</v>
      </c>
      <c r="J666">
        <v>0</v>
      </c>
      <c r="K666">
        <v>0</v>
      </c>
      <c r="L666" t="str">
        <f t="shared" si="20"/>
        <v>44-11-2021</v>
      </c>
      <c r="M666">
        <f t="shared" si="21"/>
        <v>2021</v>
      </c>
    </row>
    <row r="667" spans="1:13" x14ac:dyDescent="0.2">
      <c r="A667" s="1">
        <v>44501</v>
      </c>
      <c r="B667">
        <v>44</v>
      </c>
      <c r="C667">
        <v>11</v>
      </c>
      <c r="D667">
        <v>4</v>
      </c>
      <c r="E667" t="s">
        <v>42</v>
      </c>
      <c r="F667">
        <v>0</v>
      </c>
      <c r="G667">
        <f>INDEX(weekly!$E$2:$E$188,MATCH('Marketing Campaigns 22.11.22'!L667,weekly!$H$2:$H$188,0))</f>
        <v>5951.8666666666659</v>
      </c>
      <c r="H667">
        <f>INDEX(weekly!$D$2:$D$188,MATCH('Marketing Campaigns 22.11.22'!L667,weekly!$H$2:$H$188,0))</f>
        <v>626.9666666666667</v>
      </c>
      <c r="I667">
        <f>INDEX(weekly!$F$2:$F$188,MATCH('Marketing Campaigns 22.11.22'!L667,weekly!$H$2:$H$188,0))</f>
        <v>0</v>
      </c>
      <c r="J667">
        <v>0</v>
      </c>
      <c r="K667">
        <v>0</v>
      </c>
      <c r="L667" t="str">
        <f t="shared" si="20"/>
        <v>44-11-2021</v>
      </c>
      <c r="M667">
        <f t="shared" si="21"/>
        <v>2021</v>
      </c>
    </row>
    <row r="668" spans="1:13" x14ac:dyDescent="0.2">
      <c r="A668" s="1">
        <v>44501</v>
      </c>
      <c r="B668">
        <v>44</v>
      </c>
      <c r="C668">
        <v>11</v>
      </c>
      <c r="D668">
        <v>4</v>
      </c>
      <c r="E668" t="s">
        <v>43</v>
      </c>
      <c r="F668">
        <v>0</v>
      </c>
      <c r="G668">
        <f>INDEX(weekly!$E$2:$E$188,MATCH('Marketing Campaigns 22.11.22'!L668,weekly!$H$2:$H$188,0))</f>
        <v>5951.8666666666659</v>
      </c>
      <c r="H668">
        <f>INDEX(weekly!$D$2:$D$188,MATCH('Marketing Campaigns 22.11.22'!L668,weekly!$H$2:$H$188,0))</f>
        <v>626.9666666666667</v>
      </c>
      <c r="I668">
        <f>INDEX(weekly!$F$2:$F$188,MATCH('Marketing Campaigns 22.11.22'!L668,weekly!$H$2:$H$188,0))</f>
        <v>0</v>
      </c>
      <c r="J668">
        <v>0</v>
      </c>
      <c r="K668">
        <v>0</v>
      </c>
      <c r="L668" t="str">
        <f t="shared" si="20"/>
        <v>44-11-2021</v>
      </c>
      <c r="M668">
        <f t="shared" si="21"/>
        <v>2021</v>
      </c>
    </row>
    <row r="669" spans="1:13" x14ac:dyDescent="0.2">
      <c r="A669" s="1">
        <v>44501</v>
      </c>
      <c r="B669">
        <v>44</v>
      </c>
      <c r="C669">
        <v>11</v>
      </c>
      <c r="D669">
        <v>4</v>
      </c>
      <c r="E669" t="s">
        <v>44</v>
      </c>
      <c r="F669">
        <v>0</v>
      </c>
      <c r="G669">
        <f>INDEX(weekly!$E$2:$E$188,MATCH('Marketing Campaigns 22.11.22'!L669,weekly!$H$2:$H$188,0))</f>
        <v>5951.8666666666659</v>
      </c>
      <c r="H669">
        <f>INDEX(weekly!$D$2:$D$188,MATCH('Marketing Campaigns 22.11.22'!L669,weekly!$H$2:$H$188,0))</f>
        <v>626.9666666666667</v>
      </c>
      <c r="I669">
        <f>INDEX(weekly!$F$2:$F$188,MATCH('Marketing Campaigns 22.11.22'!L669,weekly!$H$2:$H$188,0))</f>
        <v>0</v>
      </c>
      <c r="J669">
        <v>0</v>
      </c>
      <c r="K669">
        <v>0</v>
      </c>
      <c r="L669" t="str">
        <f t="shared" si="20"/>
        <v>44-11-2021</v>
      </c>
      <c r="M669">
        <f t="shared" si="21"/>
        <v>2021</v>
      </c>
    </row>
    <row r="670" spans="1:13" x14ac:dyDescent="0.2">
      <c r="A670" s="1">
        <v>44501</v>
      </c>
      <c r="B670">
        <v>44</v>
      </c>
      <c r="C670">
        <v>11</v>
      </c>
      <c r="D670">
        <v>4</v>
      </c>
      <c r="E670" t="s">
        <v>45</v>
      </c>
      <c r="F670">
        <v>0</v>
      </c>
      <c r="G670">
        <f>INDEX(weekly!$E$2:$E$188,MATCH('Marketing Campaigns 22.11.22'!L670,weekly!$H$2:$H$188,0))</f>
        <v>5951.8666666666659</v>
      </c>
      <c r="H670">
        <f>INDEX(weekly!$D$2:$D$188,MATCH('Marketing Campaigns 22.11.22'!L670,weekly!$H$2:$H$188,0))</f>
        <v>626.9666666666667</v>
      </c>
      <c r="I670">
        <f>INDEX(weekly!$F$2:$F$188,MATCH('Marketing Campaigns 22.11.22'!L670,weekly!$H$2:$H$188,0))</f>
        <v>0</v>
      </c>
      <c r="J670">
        <v>0</v>
      </c>
      <c r="K670">
        <v>0</v>
      </c>
      <c r="L670" t="str">
        <f t="shared" si="20"/>
        <v>44-11-2021</v>
      </c>
      <c r="M670">
        <f t="shared" si="21"/>
        <v>2021</v>
      </c>
    </row>
    <row r="671" spans="1:13" x14ac:dyDescent="0.2">
      <c r="A671" s="1">
        <v>44501</v>
      </c>
      <c r="B671">
        <v>44</v>
      </c>
      <c r="C671">
        <v>11</v>
      </c>
      <c r="D671">
        <v>4</v>
      </c>
      <c r="E671" t="s">
        <v>46</v>
      </c>
      <c r="F671">
        <v>0</v>
      </c>
      <c r="G671">
        <f>INDEX(weekly!$E$2:$E$188,MATCH('Marketing Campaigns 22.11.22'!L671,weekly!$H$2:$H$188,0))</f>
        <v>5951.8666666666659</v>
      </c>
      <c r="H671">
        <f>INDEX(weekly!$D$2:$D$188,MATCH('Marketing Campaigns 22.11.22'!L671,weekly!$H$2:$H$188,0))</f>
        <v>626.9666666666667</v>
      </c>
      <c r="I671">
        <f>INDEX(weekly!$F$2:$F$188,MATCH('Marketing Campaigns 22.11.22'!L671,weekly!$H$2:$H$188,0))</f>
        <v>0</v>
      </c>
      <c r="J671">
        <v>0</v>
      </c>
      <c r="K671">
        <v>0</v>
      </c>
      <c r="L671" t="str">
        <f t="shared" si="20"/>
        <v>44-11-2021</v>
      </c>
      <c r="M671">
        <f t="shared" si="21"/>
        <v>2021</v>
      </c>
    </row>
    <row r="672" spans="1:13" x14ac:dyDescent="0.2">
      <c r="A672" s="1">
        <v>44501</v>
      </c>
      <c r="B672">
        <v>44</v>
      </c>
      <c r="C672">
        <v>11</v>
      </c>
      <c r="D672">
        <v>4</v>
      </c>
      <c r="E672" t="s">
        <v>47</v>
      </c>
      <c r="F672">
        <v>0</v>
      </c>
      <c r="G672">
        <f>INDEX(weekly!$E$2:$E$188,MATCH('Marketing Campaigns 22.11.22'!L672,weekly!$H$2:$H$188,0))</f>
        <v>5951.8666666666659</v>
      </c>
      <c r="H672">
        <f>INDEX(weekly!$D$2:$D$188,MATCH('Marketing Campaigns 22.11.22'!L672,weekly!$H$2:$H$188,0))</f>
        <v>626.9666666666667</v>
      </c>
      <c r="I672">
        <f>INDEX(weekly!$F$2:$F$188,MATCH('Marketing Campaigns 22.11.22'!L672,weekly!$H$2:$H$188,0))</f>
        <v>0</v>
      </c>
      <c r="J672">
        <v>0</v>
      </c>
      <c r="K672">
        <v>0</v>
      </c>
      <c r="L672" t="str">
        <f t="shared" si="20"/>
        <v>44-11-2021</v>
      </c>
      <c r="M672">
        <f t="shared" si="21"/>
        <v>2021</v>
      </c>
    </row>
    <row r="673" spans="1:13" x14ac:dyDescent="0.2">
      <c r="A673" s="1">
        <v>44501</v>
      </c>
      <c r="B673">
        <v>44</v>
      </c>
      <c r="C673">
        <v>11</v>
      </c>
      <c r="D673">
        <v>4</v>
      </c>
      <c r="E673" t="s">
        <v>48</v>
      </c>
      <c r="F673">
        <v>0</v>
      </c>
      <c r="G673">
        <f>INDEX(weekly!$E$2:$E$188,MATCH('Marketing Campaigns 22.11.22'!L673,weekly!$H$2:$H$188,0))</f>
        <v>5951.8666666666659</v>
      </c>
      <c r="H673">
        <f>INDEX(weekly!$D$2:$D$188,MATCH('Marketing Campaigns 22.11.22'!L673,weekly!$H$2:$H$188,0))</f>
        <v>626.9666666666667</v>
      </c>
      <c r="I673">
        <f>INDEX(weekly!$F$2:$F$188,MATCH('Marketing Campaigns 22.11.22'!L673,weekly!$H$2:$H$188,0))</f>
        <v>0</v>
      </c>
      <c r="J673">
        <v>0</v>
      </c>
      <c r="K673">
        <v>0</v>
      </c>
      <c r="L673" t="str">
        <f t="shared" si="20"/>
        <v>44-11-2021</v>
      </c>
      <c r="M673">
        <f t="shared" si="21"/>
        <v>2021</v>
      </c>
    </row>
    <row r="674" spans="1:13" x14ac:dyDescent="0.2">
      <c r="A674" s="1">
        <v>44501</v>
      </c>
      <c r="B674">
        <v>44</v>
      </c>
      <c r="C674">
        <v>11</v>
      </c>
      <c r="D674">
        <v>4</v>
      </c>
      <c r="E674" t="s">
        <v>49</v>
      </c>
      <c r="F674">
        <v>0</v>
      </c>
      <c r="G674">
        <f>INDEX(weekly!$E$2:$E$188,MATCH('Marketing Campaigns 22.11.22'!L674,weekly!$H$2:$H$188,0))</f>
        <v>5951.8666666666659</v>
      </c>
      <c r="H674">
        <f>INDEX(weekly!$D$2:$D$188,MATCH('Marketing Campaigns 22.11.22'!L674,weekly!$H$2:$H$188,0))</f>
        <v>626.9666666666667</v>
      </c>
      <c r="I674">
        <f>INDEX(weekly!$F$2:$F$188,MATCH('Marketing Campaigns 22.11.22'!L674,weekly!$H$2:$H$188,0))</f>
        <v>0</v>
      </c>
      <c r="J674">
        <v>0</v>
      </c>
      <c r="K674">
        <v>0</v>
      </c>
      <c r="L674" t="str">
        <f t="shared" si="20"/>
        <v>44-11-2021</v>
      </c>
      <c r="M674">
        <f t="shared" si="21"/>
        <v>2021</v>
      </c>
    </row>
    <row r="675" spans="1:13" x14ac:dyDescent="0.2">
      <c r="A675" s="1">
        <v>44501</v>
      </c>
      <c r="B675">
        <v>44</v>
      </c>
      <c r="C675">
        <v>11</v>
      </c>
      <c r="D675">
        <v>4</v>
      </c>
      <c r="E675" t="s">
        <v>50</v>
      </c>
      <c r="F675">
        <v>0</v>
      </c>
      <c r="G675">
        <f>INDEX(weekly!$E$2:$E$188,MATCH('Marketing Campaigns 22.11.22'!L675,weekly!$H$2:$H$188,0))</f>
        <v>5951.8666666666659</v>
      </c>
      <c r="H675">
        <f>INDEX(weekly!$D$2:$D$188,MATCH('Marketing Campaigns 22.11.22'!L675,weekly!$H$2:$H$188,0))</f>
        <v>626.9666666666667</v>
      </c>
      <c r="I675">
        <f>INDEX(weekly!$F$2:$F$188,MATCH('Marketing Campaigns 22.11.22'!L675,weekly!$H$2:$H$188,0))</f>
        <v>0</v>
      </c>
      <c r="J675">
        <v>0</v>
      </c>
      <c r="K675">
        <v>0</v>
      </c>
      <c r="L675" t="str">
        <f t="shared" si="20"/>
        <v>44-11-2021</v>
      </c>
      <c r="M675">
        <f t="shared" si="21"/>
        <v>2021</v>
      </c>
    </row>
    <row r="676" spans="1:13" x14ac:dyDescent="0.2">
      <c r="A676" s="1">
        <v>44501</v>
      </c>
      <c r="B676">
        <v>44</v>
      </c>
      <c r="C676">
        <v>11</v>
      </c>
      <c r="D676">
        <v>4</v>
      </c>
      <c r="E676" t="s">
        <v>51</v>
      </c>
      <c r="F676">
        <v>0</v>
      </c>
      <c r="G676">
        <f>INDEX(weekly!$E$2:$E$188,MATCH('Marketing Campaigns 22.11.22'!L676,weekly!$H$2:$H$188,0))</f>
        <v>5951.8666666666659</v>
      </c>
      <c r="H676">
        <f>INDEX(weekly!$D$2:$D$188,MATCH('Marketing Campaigns 22.11.22'!L676,weekly!$H$2:$H$188,0))</f>
        <v>626.9666666666667</v>
      </c>
      <c r="I676">
        <f>INDEX(weekly!$F$2:$F$188,MATCH('Marketing Campaigns 22.11.22'!L676,weekly!$H$2:$H$188,0))</f>
        <v>0</v>
      </c>
      <c r="J676">
        <v>0</v>
      </c>
      <c r="K676">
        <v>0</v>
      </c>
      <c r="L676" t="str">
        <f t="shared" si="20"/>
        <v>44-11-2021</v>
      </c>
      <c r="M676">
        <f t="shared" si="21"/>
        <v>2021</v>
      </c>
    </row>
    <row r="677" spans="1:13" x14ac:dyDescent="0.2">
      <c r="A677" s="1">
        <v>44501</v>
      </c>
      <c r="B677">
        <v>44</v>
      </c>
      <c r="C677">
        <v>11</v>
      </c>
      <c r="D677">
        <v>4</v>
      </c>
      <c r="E677" t="s">
        <v>52</v>
      </c>
      <c r="F677">
        <v>0</v>
      </c>
      <c r="G677">
        <f>INDEX(weekly!$E$2:$E$188,MATCH('Marketing Campaigns 22.11.22'!L677,weekly!$H$2:$H$188,0))</f>
        <v>5951.8666666666659</v>
      </c>
      <c r="H677">
        <f>INDEX(weekly!$D$2:$D$188,MATCH('Marketing Campaigns 22.11.22'!L677,weekly!$H$2:$H$188,0))</f>
        <v>626.9666666666667</v>
      </c>
      <c r="I677">
        <f>INDEX(weekly!$F$2:$F$188,MATCH('Marketing Campaigns 22.11.22'!L677,weekly!$H$2:$H$188,0))</f>
        <v>0</v>
      </c>
      <c r="J677">
        <v>0</v>
      </c>
      <c r="K677">
        <v>0</v>
      </c>
      <c r="L677" t="str">
        <f t="shared" si="20"/>
        <v>44-11-2021</v>
      </c>
      <c r="M677">
        <f t="shared" si="21"/>
        <v>2021</v>
      </c>
    </row>
    <row r="678" spans="1:13" x14ac:dyDescent="0.2">
      <c r="A678" s="1">
        <v>44508</v>
      </c>
      <c r="B678">
        <v>45</v>
      </c>
      <c r="C678">
        <v>11</v>
      </c>
      <c r="D678">
        <v>4</v>
      </c>
      <c r="E678" t="s">
        <v>24</v>
      </c>
      <c r="F678">
        <v>0</v>
      </c>
      <c r="G678">
        <f>INDEX(weekly!$E$2:$E$188,MATCH('Marketing Campaigns 22.11.22'!L678,weekly!$H$2:$H$188,0))</f>
        <v>5951.8666666666659</v>
      </c>
      <c r="H678">
        <f>INDEX(weekly!$D$2:$D$188,MATCH('Marketing Campaigns 22.11.22'!L678,weekly!$H$2:$H$188,0))</f>
        <v>626.9666666666667</v>
      </c>
      <c r="I678">
        <f>INDEX(weekly!$F$2:$F$188,MATCH('Marketing Campaigns 22.11.22'!L678,weekly!$H$2:$H$188,0))</f>
        <v>0</v>
      </c>
      <c r="J678">
        <v>0</v>
      </c>
      <c r="K678">
        <v>0</v>
      </c>
      <c r="L678" t="str">
        <f t="shared" si="20"/>
        <v>45-11-2021</v>
      </c>
      <c r="M678">
        <f t="shared" si="21"/>
        <v>2021</v>
      </c>
    </row>
    <row r="679" spans="1:13" x14ac:dyDescent="0.2">
      <c r="A679" s="1">
        <v>44508</v>
      </c>
      <c r="B679">
        <v>45</v>
      </c>
      <c r="C679">
        <v>11</v>
      </c>
      <c r="D679">
        <v>4</v>
      </c>
      <c r="E679" t="s">
        <v>39</v>
      </c>
      <c r="F679">
        <v>0</v>
      </c>
      <c r="G679">
        <f>INDEX(weekly!$E$2:$E$188,MATCH('Marketing Campaigns 22.11.22'!L679,weekly!$H$2:$H$188,0))</f>
        <v>5951.8666666666659</v>
      </c>
      <c r="H679">
        <f>INDEX(weekly!$D$2:$D$188,MATCH('Marketing Campaigns 22.11.22'!L679,weekly!$H$2:$H$188,0))</f>
        <v>626.9666666666667</v>
      </c>
      <c r="I679">
        <f>INDEX(weekly!$F$2:$F$188,MATCH('Marketing Campaigns 22.11.22'!L679,weekly!$H$2:$H$188,0))</f>
        <v>0</v>
      </c>
      <c r="J679">
        <v>0</v>
      </c>
      <c r="K679">
        <v>0</v>
      </c>
      <c r="L679" t="str">
        <f t="shared" si="20"/>
        <v>45-11-2021</v>
      </c>
      <c r="M679">
        <f t="shared" si="21"/>
        <v>2021</v>
      </c>
    </row>
    <row r="680" spans="1:13" x14ac:dyDescent="0.2">
      <c r="A680" s="1">
        <v>44508</v>
      </c>
      <c r="B680">
        <v>45</v>
      </c>
      <c r="C680">
        <v>11</v>
      </c>
      <c r="D680">
        <v>4</v>
      </c>
      <c r="E680" t="s">
        <v>40</v>
      </c>
      <c r="F680">
        <v>0</v>
      </c>
      <c r="G680">
        <f>INDEX(weekly!$E$2:$E$188,MATCH('Marketing Campaigns 22.11.22'!L680,weekly!$H$2:$H$188,0))</f>
        <v>5951.8666666666659</v>
      </c>
      <c r="H680">
        <f>INDEX(weekly!$D$2:$D$188,MATCH('Marketing Campaigns 22.11.22'!L680,weekly!$H$2:$H$188,0))</f>
        <v>626.9666666666667</v>
      </c>
      <c r="I680">
        <f>INDEX(weekly!$F$2:$F$188,MATCH('Marketing Campaigns 22.11.22'!L680,weekly!$H$2:$H$188,0))</f>
        <v>0</v>
      </c>
      <c r="J680">
        <v>0</v>
      </c>
      <c r="K680">
        <v>0</v>
      </c>
      <c r="L680" t="str">
        <f t="shared" si="20"/>
        <v>45-11-2021</v>
      </c>
      <c r="M680">
        <f t="shared" si="21"/>
        <v>2021</v>
      </c>
    </row>
    <row r="681" spans="1:13" x14ac:dyDescent="0.2">
      <c r="A681" s="1">
        <v>44508</v>
      </c>
      <c r="B681">
        <v>45</v>
      </c>
      <c r="C681">
        <v>11</v>
      </c>
      <c r="D681">
        <v>4</v>
      </c>
      <c r="E681" t="s">
        <v>41</v>
      </c>
      <c r="F681">
        <v>0</v>
      </c>
      <c r="G681">
        <f>INDEX(weekly!$E$2:$E$188,MATCH('Marketing Campaigns 22.11.22'!L681,weekly!$H$2:$H$188,0))</f>
        <v>5951.8666666666659</v>
      </c>
      <c r="H681">
        <f>INDEX(weekly!$D$2:$D$188,MATCH('Marketing Campaigns 22.11.22'!L681,weekly!$H$2:$H$188,0))</f>
        <v>626.9666666666667</v>
      </c>
      <c r="I681">
        <f>INDEX(weekly!$F$2:$F$188,MATCH('Marketing Campaigns 22.11.22'!L681,weekly!$H$2:$H$188,0))</f>
        <v>0</v>
      </c>
      <c r="J681">
        <v>0</v>
      </c>
      <c r="K681">
        <v>0</v>
      </c>
      <c r="L681" t="str">
        <f t="shared" si="20"/>
        <v>45-11-2021</v>
      </c>
      <c r="M681">
        <f t="shared" si="21"/>
        <v>2021</v>
      </c>
    </row>
    <row r="682" spans="1:13" x14ac:dyDescent="0.2">
      <c r="A682" s="1">
        <v>44508</v>
      </c>
      <c r="B682">
        <v>45</v>
      </c>
      <c r="C682">
        <v>11</v>
      </c>
      <c r="D682">
        <v>4</v>
      </c>
      <c r="E682" t="s">
        <v>42</v>
      </c>
      <c r="F682">
        <v>0</v>
      </c>
      <c r="G682">
        <f>INDEX(weekly!$E$2:$E$188,MATCH('Marketing Campaigns 22.11.22'!L682,weekly!$H$2:$H$188,0))</f>
        <v>5951.8666666666659</v>
      </c>
      <c r="H682">
        <f>INDEX(weekly!$D$2:$D$188,MATCH('Marketing Campaigns 22.11.22'!L682,weekly!$H$2:$H$188,0))</f>
        <v>626.9666666666667</v>
      </c>
      <c r="I682">
        <f>INDEX(weekly!$F$2:$F$188,MATCH('Marketing Campaigns 22.11.22'!L682,weekly!$H$2:$H$188,0))</f>
        <v>0</v>
      </c>
      <c r="J682">
        <v>0</v>
      </c>
      <c r="K682">
        <v>0</v>
      </c>
      <c r="L682" t="str">
        <f t="shared" si="20"/>
        <v>45-11-2021</v>
      </c>
      <c r="M682">
        <f t="shared" si="21"/>
        <v>2021</v>
      </c>
    </row>
    <row r="683" spans="1:13" x14ac:dyDescent="0.2">
      <c r="A683" s="1">
        <v>44508</v>
      </c>
      <c r="B683">
        <v>45</v>
      </c>
      <c r="C683">
        <v>11</v>
      </c>
      <c r="D683">
        <v>4</v>
      </c>
      <c r="E683" t="s">
        <v>43</v>
      </c>
      <c r="F683">
        <v>0</v>
      </c>
      <c r="G683">
        <f>INDEX(weekly!$E$2:$E$188,MATCH('Marketing Campaigns 22.11.22'!L683,weekly!$H$2:$H$188,0))</f>
        <v>5951.8666666666659</v>
      </c>
      <c r="H683">
        <f>INDEX(weekly!$D$2:$D$188,MATCH('Marketing Campaigns 22.11.22'!L683,weekly!$H$2:$H$188,0))</f>
        <v>626.9666666666667</v>
      </c>
      <c r="I683">
        <f>INDEX(weekly!$F$2:$F$188,MATCH('Marketing Campaigns 22.11.22'!L683,weekly!$H$2:$H$188,0))</f>
        <v>0</v>
      </c>
      <c r="J683">
        <v>0</v>
      </c>
      <c r="K683">
        <v>0</v>
      </c>
      <c r="L683" t="str">
        <f t="shared" si="20"/>
        <v>45-11-2021</v>
      </c>
      <c r="M683">
        <f t="shared" si="21"/>
        <v>2021</v>
      </c>
    </row>
    <row r="684" spans="1:13" x14ac:dyDescent="0.2">
      <c r="A684" s="1">
        <v>44508</v>
      </c>
      <c r="B684">
        <v>45</v>
      </c>
      <c r="C684">
        <v>11</v>
      </c>
      <c r="D684">
        <v>4</v>
      </c>
      <c r="E684" t="s">
        <v>44</v>
      </c>
      <c r="F684">
        <v>0</v>
      </c>
      <c r="G684">
        <f>INDEX(weekly!$E$2:$E$188,MATCH('Marketing Campaigns 22.11.22'!L684,weekly!$H$2:$H$188,0))</f>
        <v>5951.8666666666659</v>
      </c>
      <c r="H684">
        <f>INDEX(weekly!$D$2:$D$188,MATCH('Marketing Campaigns 22.11.22'!L684,weekly!$H$2:$H$188,0))</f>
        <v>626.9666666666667</v>
      </c>
      <c r="I684">
        <f>INDEX(weekly!$F$2:$F$188,MATCH('Marketing Campaigns 22.11.22'!L684,weekly!$H$2:$H$188,0))</f>
        <v>0</v>
      </c>
      <c r="J684">
        <v>0</v>
      </c>
      <c r="K684">
        <v>0</v>
      </c>
      <c r="L684" t="str">
        <f t="shared" si="20"/>
        <v>45-11-2021</v>
      </c>
      <c r="M684">
        <f t="shared" si="21"/>
        <v>2021</v>
      </c>
    </row>
    <row r="685" spans="1:13" x14ac:dyDescent="0.2">
      <c r="A685" s="1">
        <v>44508</v>
      </c>
      <c r="B685">
        <v>45</v>
      </c>
      <c r="C685">
        <v>11</v>
      </c>
      <c r="D685">
        <v>4</v>
      </c>
      <c r="E685" t="s">
        <v>45</v>
      </c>
      <c r="F685">
        <v>0</v>
      </c>
      <c r="G685">
        <f>INDEX(weekly!$E$2:$E$188,MATCH('Marketing Campaigns 22.11.22'!L685,weekly!$H$2:$H$188,0))</f>
        <v>5951.8666666666659</v>
      </c>
      <c r="H685">
        <f>INDEX(weekly!$D$2:$D$188,MATCH('Marketing Campaigns 22.11.22'!L685,weekly!$H$2:$H$188,0))</f>
        <v>626.9666666666667</v>
      </c>
      <c r="I685">
        <f>INDEX(weekly!$F$2:$F$188,MATCH('Marketing Campaigns 22.11.22'!L685,weekly!$H$2:$H$188,0))</f>
        <v>0</v>
      </c>
      <c r="J685">
        <v>0</v>
      </c>
      <c r="K685">
        <v>0</v>
      </c>
      <c r="L685" t="str">
        <f t="shared" si="20"/>
        <v>45-11-2021</v>
      </c>
      <c r="M685">
        <f t="shared" si="21"/>
        <v>2021</v>
      </c>
    </row>
    <row r="686" spans="1:13" x14ac:dyDescent="0.2">
      <c r="A686" s="1">
        <v>44508</v>
      </c>
      <c r="B686">
        <v>45</v>
      </c>
      <c r="C686">
        <v>11</v>
      </c>
      <c r="D686">
        <v>4</v>
      </c>
      <c r="E686" t="s">
        <v>46</v>
      </c>
      <c r="F686">
        <v>0</v>
      </c>
      <c r="G686">
        <f>INDEX(weekly!$E$2:$E$188,MATCH('Marketing Campaigns 22.11.22'!L686,weekly!$H$2:$H$188,0))</f>
        <v>5951.8666666666659</v>
      </c>
      <c r="H686">
        <f>INDEX(weekly!$D$2:$D$188,MATCH('Marketing Campaigns 22.11.22'!L686,weekly!$H$2:$H$188,0))</f>
        <v>626.9666666666667</v>
      </c>
      <c r="I686">
        <f>INDEX(weekly!$F$2:$F$188,MATCH('Marketing Campaigns 22.11.22'!L686,weekly!$H$2:$H$188,0))</f>
        <v>0</v>
      </c>
      <c r="J686">
        <v>0</v>
      </c>
      <c r="K686">
        <v>0</v>
      </c>
      <c r="L686" t="str">
        <f t="shared" si="20"/>
        <v>45-11-2021</v>
      </c>
      <c r="M686">
        <f t="shared" si="21"/>
        <v>2021</v>
      </c>
    </row>
    <row r="687" spans="1:13" x14ac:dyDescent="0.2">
      <c r="A687" s="1">
        <v>44508</v>
      </c>
      <c r="B687">
        <v>45</v>
      </c>
      <c r="C687">
        <v>11</v>
      </c>
      <c r="D687">
        <v>4</v>
      </c>
      <c r="E687" t="s">
        <v>47</v>
      </c>
      <c r="F687">
        <v>0</v>
      </c>
      <c r="G687">
        <f>INDEX(weekly!$E$2:$E$188,MATCH('Marketing Campaigns 22.11.22'!L687,weekly!$H$2:$H$188,0))</f>
        <v>5951.8666666666659</v>
      </c>
      <c r="H687">
        <f>INDEX(weekly!$D$2:$D$188,MATCH('Marketing Campaigns 22.11.22'!L687,weekly!$H$2:$H$188,0))</f>
        <v>626.9666666666667</v>
      </c>
      <c r="I687">
        <f>INDEX(weekly!$F$2:$F$188,MATCH('Marketing Campaigns 22.11.22'!L687,weekly!$H$2:$H$188,0))</f>
        <v>0</v>
      </c>
      <c r="J687">
        <v>0</v>
      </c>
      <c r="K687">
        <v>0</v>
      </c>
      <c r="L687" t="str">
        <f t="shared" si="20"/>
        <v>45-11-2021</v>
      </c>
      <c r="M687">
        <f t="shared" si="21"/>
        <v>2021</v>
      </c>
    </row>
    <row r="688" spans="1:13" x14ac:dyDescent="0.2">
      <c r="A688" s="1">
        <v>44508</v>
      </c>
      <c r="B688">
        <v>45</v>
      </c>
      <c r="C688">
        <v>11</v>
      </c>
      <c r="D688">
        <v>4</v>
      </c>
      <c r="E688" t="s">
        <v>48</v>
      </c>
      <c r="F688">
        <v>0</v>
      </c>
      <c r="G688">
        <f>INDEX(weekly!$E$2:$E$188,MATCH('Marketing Campaigns 22.11.22'!L688,weekly!$H$2:$H$188,0))</f>
        <v>5951.8666666666659</v>
      </c>
      <c r="H688">
        <f>INDEX(weekly!$D$2:$D$188,MATCH('Marketing Campaigns 22.11.22'!L688,weekly!$H$2:$H$188,0))</f>
        <v>626.9666666666667</v>
      </c>
      <c r="I688">
        <f>INDEX(weekly!$F$2:$F$188,MATCH('Marketing Campaigns 22.11.22'!L688,weekly!$H$2:$H$188,0))</f>
        <v>0</v>
      </c>
      <c r="J688">
        <v>0</v>
      </c>
      <c r="K688">
        <v>0</v>
      </c>
      <c r="L688" t="str">
        <f t="shared" si="20"/>
        <v>45-11-2021</v>
      </c>
      <c r="M688">
        <f t="shared" si="21"/>
        <v>2021</v>
      </c>
    </row>
    <row r="689" spans="1:13" x14ac:dyDescent="0.2">
      <c r="A689" s="1">
        <v>44508</v>
      </c>
      <c r="B689">
        <v>45</v>
      </c>
      <c r="C689">
        <v>11</v>
      </c>
      <c r="D689">
        <v>4</v>
      </c>
      <c r="E689" t="s">
        <v>49</v>
      </c>
      <c r="F689">
        <v>0</v>
      </c>
      <c r="G689">
        <f>INDEX(weekly!$E$2:$E$188,MATCH('Marketing Campaigns 22.11.22'!L689,weekly!$H$2:$H$188,0))</f>
        <v>5951.8666666666659</v>
      </c>
      <c r="H689">
        <f>INDEX(weekly!$D$2:$D$188,MATCH('Marketing Campaigns 22.11.22'!L689,weekly!$H$2:$H$188,0))</f>
        <v>626.9666666666667</v>
      </c>
      <c r="I689">
        <f>INDEX(weekly!$F$2:$F$188,MATCH('Marketing Campaigns 22.11.22'!L689,weekly!$H$2:$H$188,0))</f>
        <v>0</v>
      </c>
      <c r="J689">
        <v>0</v>
      </c>
      <c r="K689">
        <v>0</v>
      </c>
      <c r="L689" t="str">
        <f t="shared" si="20"/>
        <v>45-11-2021</v>
      </c>
      <c r="M689">
        <f t="shared" si="21"/>
        <v>2021</v>
      </c>
    </row>
    <row r="690" spans="1:13" x14ac:dyDescent="0.2">
      <c r="A690" s="1">
        <v>44508</v>
      </c>
      <c r="B690">
        <v>45</v>
      </c>
      <c r="C690">
        <v>11</v>
      </c>
      <c r="D690">
        <v>4</v>
      </c>
      <c r="E690" t="s">
        <v>50</v>
      </c>
      <c r="F690">
        <v>0</v>
      </c>
      <c r="G690">
        <f>INDEX(weekly!$E$2:$E$188,MATCH('Marketing Campaigns 22.11.22'!L690,weekly!$H$2:$H$188,0))</f>
        <v>5951.8666666666659</v>
      </c>
      <c r="H690">
        <f>INDEX(weekly!$D$2:$D$188,MATCH('Marketing Campaigns 22.11.22'!L690,weekly!$H$2:$H$188,0))</f>
        <v>626.9666666666667</v>
      </c>
      <c r="I690">
        <f>INDEX(weekly!$F$2:$F$188,MATCH('Marketing Campaigns 22.11.22'!L690,weekly!$H$2:$H$188,0))</f>
        <v>0</v>
      </c>
      <c r="J690">
        <v>0</v>
      </c>
      <c r="K690">
        <v>0</v>
      </c>
      <c r="L690" t="str">
        <f t="shared" si="20"/>
        <v>45-11-2021</v>
      </c>
      <c r="M690">
        <f t="shared" si="21"/>
        <v>2021</v>
      </c>
    </row>
    <row r="691" spans="1:13" x14ac:dyDescent="0.2">
      <c r="A691" s="1">
        <v>44508</v>
      </c>
      <c r="B691">
        <v>45</v>
      </c>
      <c r="C691">
        <v>11</v>
      </c>
      <c r="D691">
        <v>4</v>
      </c>
      <c r="E691" t="s">
        <v>51</v>
      </c>
      <c r="F691">
        <v>0</v>
      </c>
      <c r="G691">
        <f>INDEX(weekly!$E$2:$E$188,MATCH('Marketing Campaigns 22.11.22'!L691,weekly!$H$2:$H$188,0))</f>
        <v>5951.8666666666659</v>
      </c>
      <c r="H691">
        <f>INDEX(weekly!$D$2:$D$188,MATCH('Marketing Campaigns 22.11.22'!L691,weekly!$H$2:$H$188,0))</f>
        <v>626.9666666666667</v>
      </c>
      <c r="I691">
        <f>INDEX(weekly!$F$2:$F$188,MATCH('Marketing Campaigns 22.11.22'!L691,weekly!$H$2:$H$188,0))</f>
        <v>0</v>
      </c>
      <c r="J691">
        <v>0</v>
      </c>
      <c r="K691">
        <v>0</v>
      </c>
      <c r="L691" t="str">
        <f t="shared" si="20"/>
        <v>45-11-2021</v>
      </c>
      <c r="M691">
        <f t="shared" si="21"/>
        <v>2021</v>
      </c>
    </row>
    <row r="692" spans="1:13" x14ac:dyDescent="0.2">
      <c r="A692" s="1">
        <v>44508</v>
      </c>
      <c r="B692">
        <v>45</v>
      </c>
      <c r="C692">
        <v>11</v>
      </c>
      <c r="D692">
        <v>4</v>
      </c>
      <c r="E692" t="s">
        <v>52</v>
      </c>
      <c r="F692">
        <v>0</v>
      </c>
      <c r="G692">
        <f>INDEX(weekly!$E$2:$E$188,MATCH('Marketing Campaigns 22.11.22'!L692,weekly!$H$2:$H$188,0))</f>
        <v>5951.8666666666659</v>
      </c>
      <c r="H692">
        <f>INDEX(weekly!$D$2:$D$188,MATCH('Marketing Campaigns 22.11.22'!L692,weekly!$H$2:$H$188,0))</f>
        <v>626.9666666666667</v>
      </c>
      <c r="I692">
        <f>INDEX(weekly!$F$2:$F$188,MATCH('Marketing Campaigns 22.11.22'!L692,weekly!$H$2:$H$188,0))</f>
        <v>0</v>
      </c>
      <c r="J692">
        <v>0</v>
      </c>
      <c r="K692">
        <v>0</v>
      </c>
      <c r="L692" t="str">
        <f t="shared" si="20"/>
        <v>45-11-2021</v>
      </c>
      <c r="M692">
        <f t="shared" si="21"/>
        <v>2021</v>
      </c>
    </row>
    <row r="693" spans="1:13" x14ac:dyDescent="0.2">
      <c r="A693" s="1">
        <v>44515</v>
      </c>
      <c r="B693">
        <v>46</v>
      </c>
      <c r="C693">
        <v>11</v>
      </c>
      <c r="D693">
        <v>4</v>
      </c>
      <c r="E693" t="s">
        <v>24</v>
      </c>
      <c r="F693">
        <v>0</v>
      </c>
      <c r="G693">
        <f>INDEX(weekly!$E$2:$E$188,MATCH('Marketing Campaigns 22.11.22'!L693,weekly!$H$2:$H$188,0))</f>
        <v>5951.8666666666659</v>
      </c>
      <c r="H693">
        <f>INDEX(weekly!$D$2:$D$188,MATCH('Marketing Campaigns 22.11.22'!L693,weekly!$H$2:$H$188,0))</f>
        <v>626.9666666666667</v>
      </c>
      <c r="I693">
        <f>INDEX(weekly!$F$2:$F$188,MATCH('Marketing Campaigns 22.11.22'!L693,weekly!$H$2:$H$188,0))</f>
        <v>0</v>
      </c>
      <c r="J693">
        <v>0</v>
      </c>
      <c r="K693">
        <v>0</v>
      </c>
      <c r="L693" t="str">
        <f t="shared" si="20"/>
        <v>46-11-2021</v>
      </c>
      <c r="M693">
        <f t="shared" si="21"/>
        <v>2021</v>
      </c>
    </row>
    <row r="694" spans="1:13" x14ac:dyDescent="0.2">
      <c r="A694" s="1">
        <v>44515</v>
      </c>
      <c r="B694">
        <v>46</v>
      </c>
      <c r="C694">
        <v>11</v>
      </c>
      <c r="D694">
        <v>4</v>
      </c>
      <c r="E694" t="s">
        <v>39</v>
      </c>
      <c r="F694">
        <v>0</v>
      </c>
      <c r="G694">
        <f>INDEX(weekly!$E$2:$E$188,MATCH('Marketing Campaigns 22.11.22'!L694,weekly!$H$2:$H$188,0))</f>
        <v>5951.8666666666659</v>
      </c>
      <c r="H694">
        <f>INDEX(weekly!$D$2:$D$188,MATCH('Marketing Campaigns 22.11.22'!L694,weekly!$H$2:$H$188,0))</f>
        <v>626.9666666666667</v>
      </c>
      <c r="I694">
        <f>INDEX(weekly!$F$2:$F$188,MATCH('Marketing Campaigns 22.11.22'!L694,weekly!$H$2:$H$188,0))</f>
        <v>0</v>
      </c>
      <c r="J694">
        <v>0</v>
      </c>
      <c r="K694">
        <v>0</v>
      </c>
      <c r="L694" t="str">
        <f t="shared" si="20"/>
        <v>46-11-2021</v>
      </c>
      <c r="M694">
        <f t="shared" si="21"/>
        <v>2021</v>
      </c>
    </row>
    <row r="695" spans="1:13" x14ac:dyDescent="0.2">
      <c r="A695" s="1">
        <v>44515</v>
      </c>
      <c r="B695">
        <v>46</v>
      </c>
      <c r="C695">
        <v>11</v>
      </c>
      <c r="D695">
        <v>4</v>
      </c>
      <c r="E695" t="s">
        <v>40</v>
      </c>
      <c r="F695">
        <v>0</v>
      </c>
      <c r="G695">
        <f>INDEX(weekly!$E$2:$E$188,MATCH('Marketing Campaigns 22.11.22'!L695,weekly!$H$2:$H$188,0))</f>
        <v>5951.8666666666659</v>
      </c>
      <c r="H695">
        <f>INDEX(weekly!$D$2:$D$188,MATCH('Marketing Campaigns 22.11.22'!L695,weekly!$H$2:$H$188,0))</f>
        <v>626.9666666666667</v>
      </c>
      <c r="I695">
        <f>INDEX(weekly!$F$2:$F$188,MATCH('Marketing Campaigns 22.11.22'!L695,weekly!$H$2:$H$188,0))</f>
        <v>0</v>
      </c>
      <c r="J695">
        <v>0</v>
      </c>
      <c r="K695">
        <v>0</v>
      </c>
      <c r="L695" t="str">
        <f t="shared" si="20"/>
        <v>46-11-2021</v>
      </c>
      <c r="M695">
        <f t="shared" si="21"/>
        <v>2021</v>
      </c>
    </row>
    <row r="696" spans="1:13" x14ac:dyDescent="0.2">
      <c r="A696" s="1">
        <v>44515</v>
      </c>
      <c r="B696">
        <v>46</v>
      </c>
      <c r="C696">
        <v>11</v>
      </c>
      <c r="D696">
        <v>4</v>
      </c>
      <c r="E696" t="s">
        <v>41</v>
      </c>
      <c r="F696">
        <v>0</v>
      </c>
      <c r="G696">
        <f>INDEX(weekly!$E$2:$E$188,MATCH('Marketing Campaigns 22.11.22'!L696,weekly!$H$2:$H$188,0))</f>
        <v>5951.8666666666659</v>
      </c>
      <c r="H696">
        <f>INDEX(weekly!$D$2:$D$188,MATCH('Marketing Campaigns 22.11.22'!L696,weekly!$H$2:$H$188,0))</f>
        <v>626.9666666666667</v>
      </c>
      <c r="I696">
        <f>INDEX(weekly!$F$2:$F$188,MATCH('Marketing Campaigns 22.11.22'!L696,weekly!$H$2:$H$188,0))</f>
        <v>0</v>
      </c>
      <c r="J696">
        <v>0</v>
      </c>
      <c r="K696">
        <v>0</v>
      </c>
      <c r="L696" t="str">
        <f t="shared" si="20"/>
        <v>46-11-2021</v>
      </c>
      <c r="M696">
        <f t="shared" si="21"/>
        <v>2021</v>
      </c>
    </row>
    <row r="697" spans="1:13" x14ac:dyDescent="0.2">
      <c r="A697" s="1">
        <v>44515</v>
      </c>
      <c r="B697">
        <v>46</v>
      </c>
      <c r="C697">
        <v>11</v>
      </c>
      <c r="D697">
        <v>4</v>
      </c>
      <c r="E697" t="s">
        <v>42</v>
      </c>
      <c r="F697">
        <v>0</v>
      </c>
      <c r="G697">
        <f>INDEX(weekly!$E$2:$E$188,MATCH('Marketing Campaigns 22.11.22'!L697,weekly!$H$2:$H$188,0))</f>
        <v>5951.8666666666659</v>
      </c>
      <c r="H697">
        <f>INDEX(weekly!$D$2:$D$188,MATCH('Marketing Campaigns 22.11.22'!L697,weekly!$H$2:$H$188,0))</f>
        <v>626.9666666666667</v>
      </c>
      <c r="I697">
        <f>INDEX(weekly!$F$2:$F$188,MATCH('Marketing Campaigns 22.11.22'!L697,weekly!$H$2:$H$188,0))</f>
        <v>0</v>
      </c>
      <c r="J697">
        <v>0</v>
      </c>
      <c r="K697">
        <v>0</v>
      </c>
      <c r="L697" t="str">
        <f t="shared" si="20"/>
        <v>46-11-2021</v>
      </c>
      <c r="M697">
        <f t="shared" si="21"/>
        <v>2021</v>
      </c>
    </row>
    <row r="698" spans="1:13" x14ac:dyDescent="0.2">
      <c r="A698" s="1">
        <v>44515</v>
      </c>
      <c r="B698">
        <v>46</v>
      </c>
      <c r="C698">
        <v>11</v>
      </c>
      <c r="D698">
        <v>4</v>
      </c>
      <c r="E698" t="s">
        <v>43</v>
      </c>
      <c r="F698">
        <v>0</v>
      </c>
      <c r="G698">
        <f>INDEX(weekly!$E$2:$E$188,MATCH('Marketing Campaigns 22.11.22'!L698,weekly!$H$2:$H$188,0))</f>
        <v>5951.8666666666659</v>
      </c>
      <c r="H698">
        <f>INDEX(weekly!$D$2:$D$188,MATCH('Marketing Campaigns 22.11.22'!L698,weekly!$H$2:$H$188,0))</f>
        <v>626.9666666666667</v>
      </c>
      <c r="I698">
        <f>INDEX(weekly!$F$2:$F$188,MATCH('Marketing Campaigns 22.11.22'!L698,weekly!$H$2:$H$188,0))</f>
        <v>0</v>
      </c>
      <c r="J698">
        <v>0</v>
      </c>
      <c r="K698">
        <v>0</v>
      </c>
      <c r="L698" t="str">
        <f t="shared" si="20"/>
        <v>46-11-2021</v>
      </c>
      <c r="M698">
        <f t="shared" si="21"/>
        <v>2021</v>
      </c>
    </row>
    <row r="699" spans="1:13" x14ac:dyDescent="0.2">
      <c r="A699" s="1">
        <v>44515</v>
      </c>
      <c r="B699">
        <v>46</v>
      </c>
      <c r="C699">
        <v>11</v>
      </c>
      <c r="D699">
        <v>4</v>
      </c>
      <c r="E699" t="s">
        <v>44</v>
      </c>
      <c r="F699">
        <v>0</v>
      </c>
      <c r="G699">
        <f>INDEX(weekly!$E$2:$E$188,MATCH('Marketing Campaigns 22.11.22'!L699,weekly!$H$2:$H$188,0))</f>
        <v>5951.8666666666659</v>
      </c>
      <c r="H699">
        <f>INDEX(weekly!$D$2:$D$188,MATCH('Marketing Campaigns 22.11.22'!L699,weekly!$H$2:$H$188,0))</f>
        <v>626.9666666666667</v>
      </c>
      <c r="I699">
        <f>INDEX(weekly!$F$2:$F$188,MATCH('Marketing Campaigns 22.11.22'!L699,weekly!$H$2:$H$188,0))</f>
        <v>0</v>
      </c>
      <c r="J699">
        <v>0</v>
      </c>
      <c r="K699">
        <v>0</v>
      </c>
      <c r="L699" t="str">
        <f t="shared" si="20"/>
        <v>46-11-2021</v>
      </c>
      <c r="M699">
        <f t="shared" si="21"/>
        <v>2021</v>
      </c>
    </row>
    <row r="700" spans="1:13" x14ac:dyDescent="0.2">
      <c r="A700" s="1">
        <v>44515</v>
      </c>
      <c r="B700">
        <v>46</v>
      </c>
      <c r="C700">
        <v>11</v>
      </c>
      <c r="D700">
        <v>4</v>
      </c>
      <c r="E700" t="s">
        <v>45</v>
      </c>
      <c r="F700">
        <v>0</v>
      </c>
      <c r="G700">
        <f>INDEX(weekly!$E$2:$E$188,MATCH('Marketing Campaigns 22.11.22'!L700,weekly!$H$2:$H$188,0))</f>
        <v>5951.8666666666659</v>
      </c>
      <c r="H700">
        <f>INDEX(weekly!$D$2:$D$188,MATCH('Marketing Campaigns 22.11.22'!L700,weekly!$H$2:$H$188,0))</f>
        <v>626.9666666666667</v>
      </c>
      <c r="I700">
        <f>INDEX(weekly!$F$2:$F$188,MATCH('Marketing Campaigns 22.11.22'!L700,weekly!$H$2:$H$188,0))</f>
        <v>0</v>
      </c>
      <c r="J700">
        <v>0</v>
      </c>
      <c r="K700">
        <v>0</v>
      </c>
      <c r="L700" t="str">
        <f t="shared" si="20"/>
        <v>46-11-2021</v>
      </c>
      <c r="M700">
        <f t="shared" si="21"/>
        <v>2021</v>
      </c>
    </row>
    <row r="701" spans="1:13" x14ac:dyDescent="0.2">
      <c r="A701" s="1">
        <v>44515</v>
      </c>
      <c r="B701">
        <v>46</v>
      </c>
      <c r="C701">
        <v>11</v>
      </c>
      <c r="D701">
        <v>4</v>
      </c>
      <c r="E701" t="s">
        <v>46</v>
      </c>
      <c r="F701">
        <v>0</v>
      </c>
      <c r="G701">
        <f>INDEX(weekly!$E$2:$E$188,MATCH('Marketing Campaigns 22.11.22'!L701,weekly!$H$2:$H$188,0))</f>
        <v>5951.8666666666659</v>
      </c>
      <c r="H701">
        <f>INDEX(weekly!$D$2:$D$188,MATCH('Marketing Campaigns 22.11.22'!L701,weekly!$H$2:$H$188,0))</f>
        <v>626.9666666666667</v>
      </c>
      <c r="I701">
        <f>INDEX(weekly!$F$2:$F$188,MATCH('Marketing Campaigns 22.11.22'!L701,weekly!$H$2:$H$188,0))</f>
        <v>0</v>
      </c>
      <c r="J701">
        <v>0</v>
      </c>
      <c r="K701">
        <v>0</v>
      </c>
      <c r="L701" t="str">
        <f t="shared" si="20"/>
        <v>46-11-2021</v>
      </c>
      <c r="M701">
        <f t="shared" si="21"/>
        <v>2021</v>
      </c>
    </row>
    <row r="702" spans="1:13" x14ac:dyDescent="0.2">
      <c r="A702" s="1">
        <v>44515</v>
      </c>
      <c r="B702">
        <v>46</v>
      </c>
      <c r="C702">
        <v>11</v>
      </c>
      <c r="D702">
        <v>4</v>
      </c>
      <c r="E702" t="s">
        <v>47</v>
      </c>
      <c r="F702">
        <v>0</v>
      </c>
      <c r="G702">
        <f>INDEX(weekly!$E$2:$E$188,MATCH('Marketing Campaigns 22.11.22'!L702,weekly!$H$2:$H$188,0))</f>
        <v>5951.8666666666659</v>
      </c>
      <c r="H702">
        <f>INDEX(weekly!$D$2:$D$188,MATCH('Marketing Campaigns 22.11.22'!L702,weekly!$H$2:$H$188,0))</f>
        <v>626.9666666666667</v>
      </c>
      <c r="I702">
        <f>INDEX(weekly!$F$2:$F$188,MATCH('Marketing Campaigns 22.11.22'!L702,weekly!$H$2:$H$188,0))</f>
        <v>0</v>
      </c>
      <c r="J702">
        <v>0</v>
      </c>
      <c r="K702">
        <v>0</v>
      </c>
      <c r="L702" t="str">
        <f t="shared" si="20"/>
        <v>46-11-2021</v>
      </c>
      <c r="M702">
        <f t="shared" si="21"/>
        <v>2021</v>
      </c>
    </row>
    <row r="703" spans="1:13" x14ac:dyDescent="0.2">
      <c r="A703" s="1">
        <v>44515</v>
      </c>
      <c r="B703">
        <v>46</v>
      </c>
      <c r="C703">
        <v>11</v>
      </c>
      <c r="D703">
        <v>4</v>
      </c>
      <c r="E703" t="s">
        <v>48</v>
      </c>
      <c r="F703">
        <v>0</v>
      </c>
      <c r="G703">
        <f>INDEX(weekly!$E$2:$E$188,MATCH('Marketing Campaigns 22.11.22'!L703,weekly!$H$2:$H$188,0))</f>
        <v>5951.8666666666659</v>
      </c>
      <c r="H703">
        <f>INDEX(weekly!$D$2:$D$188,MATCH('Marketing Campaigns 22.11.22'!L703,weekly!$H$2:$H$188,0))</f>
        <v>626.9666666666667</v>
      </c>
      <c r="I703">
        <f>INDEX(weekly!$F$2:$F$188,MATCH('Marketing Campaigns 22.11.22'!L703,weekly!$H$2:$H$188,0))</f>
        <v>0</v>
      </c>
      <c r="J703">
        <v>0</v>
      </c>
      <c r="K703">
        <v>0</v>
      </c>
      <c r="L703" t="str">
        <f t="shared" si="20"/>
        <v>46-11-2021</v>
      </c>
      <c r="M703">
        <f t="shared" si="21"/>
        <v>2021</v>
      </c>
    </row>
    <row r="704" spans="1:13" x14ac:dyDescent="0.2">
      <c r="A704" s="1">
        <v>44515</v>
      </c>
      <c r="B704">
        <v>46</v>
      </c>
      <c r="C704">
        <v>11</v>
      </c>
      <c r="D704">
        <v>4</v>
      </c>
      <c r="E704" t="s">
        <v>49</v>
      </c>
      <c r="F704">
        <v>0</v>
      </c>
      <c r="G704">
        <f>INDEX(weekly!$E$2:$E$188,MATCH('Marketing Campaigns 22.11.22'!L704,weekly!$H$2:$H$188,0))</f>
        <v>5951.8666666666659</v>
      </c>
      <c r="H704">
        <f>INDEX(weekly!$D$2:$D$188,MATCH('Marketing Campaigns 22.11.22'!L704,weekly!$H$2:$H$188,0))</f>
        <v>626.9666666666667</v>
      </c>
      <c r="I704">
        <f>INDEX(weekly!$F$2:$F$188,MATCH('Marketing Campaigns 22.11.22'!L704,weekly!$H$2:$H$188,0))</f>
        <v>0</v>
      </c>
      <c r="J704">
        <v>0</v>
      </c>
      <c r="K704">
        <v>0</v>
      </c>
      <c r="L704" t="str">
        <f t="shared" si="20"/>
        <v>46-11-2021</v>
      </c>
      <c r="M704">
        <f t="shared" si="21"/>
        <v>2021</v>
      </c>
    </row>
    <row r="705" spans="1:13" x14ac:dyDescent="0.2">
      <c r="A705" s="1">
        <v>44515</v>
      </c>
      <c r="B705">
        <v>46</v>
      </c>
      <c r="C705">
        <v>11</v>
      </c>
      <c r="D705">
        <v>4</v>
      </c>
      <c r="E705" t="s">
        <v>50</v>
      </c>
      <c r="F705">
        <v>0</v>
      </c>
      <c r="G705">
        <f>INDEX(weekly!$E$2:$E$188,MATCH('Marketing Campaigns 22.11.22'!L705,weekly!$H$2:$H$188,0))</f>
        <v>5951.8666666666659</v>
      </c>
      <c r="H705">
        <f>INDEX(weekly!$D$2:$D$188,MATCH('Marketing Campaigns 22.11.22'!L705,weekly!$H$2:$H$188,0))</f>
        <v>626.9666666666667</v>
      </c>
      <c r="I705">
        <f>INDEX(weekly!$F$2:$F$188,MATCH('Marketing Campaigns 22.11.22'!L705,weekly!$H$2:$H$188,0))</f>
        <v>0</v>
      </c>
      <c r="J705">
        <v>0</v>
      </c>
      <c r="K705">
        <v>0</v>
      </c>
      <c r="L705" t="str">
        <f t="shared" si="20"/>
        <v>46-11-2021</v>
      </c>
      <c r="M705">
        <f t="shared" si="21"/>
        <v>2021</v>
      </c>
    </row>
    <row r="706" spans="1:13" x14ac:dyDescent="0.2">
      <c r="A706" s="1">
        <v>44515</v>
      </c>
      <c r="B706">
        <v>46</v>
      </c>
      <c r="C706">
        <v>11</v>
      </c>
      <c r="D706">
        <v>4</v>
      </c>
      <c r="E706" t="s">
        <v>51</v>
      </c>
      <c r="F706">
        <v>0</v>
      </c>
      <c r="G706">
        <f>INDEX(weekly!$E$2:$E$188,MATCH('Marketing Campaigns 22.11.22'!L706,weekly!$H$2:$H$188,0))</f>
        <v>5951.8666666666659</v>
      </c>
      <c r="H706">
        <f>INDEX(weekly!$D$2:$D$188,MATCH('Marketing Campaigns 22.11.22'!L706,weekly!$H$2:$H$188,0))</f>
        <v>626.9666666666667</v>
      </c>
      <c r="I706">
        <f>INDEX(weekly!$F$2:$F$188,MATCH('Marketing Campaigns 22.11.22'!L706,weekly!$H$2:$H$188,0))</f>
        <v>0</v>
      </c>
      <c r="J706">
        <v>0</v>
      </c>
      <c r="K706">
        <v>0</v>
      </c>
      <c r="L706" t="str">
        <f t="shared" si="20"/>
        <v>46-11-2021</v>
      </c>
      <c r="M706">
        <f t="shared" si="21"/>
        <v>2021</v>
      </c>
    </row>
    <row r="707" spans="1:13" x14ac:dyDescent="0.2">
      <c r="A707" s="1">
        <v>44515</v>
      </c>
      <c r="B707">
        <v>46</v>
      </c>
      <c r="C707">
        <v>11</v>
      </c>
      <c r="D707">
        <v>4</v>
      </c>
      <c r="E707" t="s">
        <v>52</v>
      </c>
      <c r="F707">
        <v>0</v>
      </c>
      <c r="G707">
        <f>INDEX(weekly!$E$2:$E$188,MATCH('Marketing Campaigns 22.11.22'!L707,weekly!$H$2:$H$188,0))</f>
        <v>5951.8666666666659</v>
      </c>
      <c r="H707">
        <f>INDEX(weekly!$D$2:$D$188,MATCH('Marketing Campaigns 22.11.22'!L707,weekly!$H$2:$H$188,0))</f>
        <v>626.9666666666667</v>
      </c>
      <c r="I707">
        <f>INDEX(weekly!$F$2:$F$188,MATCH('Marketing Campaigns 22.11.22'!L707,weekly!$H$2:$H$188,0))</f>
        <v>0</v>
      </c>
      <c r="J707">
        <v>0</v>
      </c>
      <c r="K707">
        <v>0</v>
      </c>
      <c r="L707" t="str">
        <f t="shared" si="20"/>
        <v>46-11-2021</v>
      </c>
      <c r="M707">
        <f t="shared" si="21"/>
        <v>2021</v>
      </c>
    </row>
    <row r="708" spans="1:13" x14ac:dyDescent="0.2">
      <c r="A708" s="1">
        <v>44522</v>
      </c>
      <c r="B708">
        <v>47</v>
      </c>
      <c r="C708">
        <v>11</v>
      </c>
      <c r="D708">
        <v>4</v>
      </c>
      <c r="E708" t="s">
        <v>24</v>
      </c>
      <c r="F708">
        <v>0</v>
      </c>
      <c r="G708">
        <f>INDEX(weekly!$E$2:$E$188,MATCH('Marketing Campaigns 22.11.22'!L708,weekly!$H$2:$H$188,0))</f>
        <v>5951.8666666666659</v>
      </c>
      <c r="H708">
        <f>INDEX(weekly!$D$2:$D$188,MATCH('Marketing Campaigns 22.11.22'!L708,weekly!$H$2:$H$188,0))</f>
        <v>626.9666666666667</v>
      </c>
      <c r="I708">
        <f>INDEX(weekly!$F$2:$F$188,MATCH('Marketing Campaigns 22.11.22'!L708,weekly!$H$2:$H$188,0))</f>
        <v>0</v>
      </c>
      <c r="J708">
        <v>0</v>
      </c>
      <c r="K708">
        <v>0</v>
      </c>
      <c r="L708" t="str">
        <f t="shared" ref="L708:L771" si="22">B708&amp;"-"&amp;C708&amp;"-"&amp;M708</f>
        <v>47-11-2021</v>
      </c>
      <c r="M708">
        <f t="shared" ref="M708:M771" si="23">YEAR(A708)</f>
        <v>2021</v>
      </c>
    </row>
    <row r="709" spans="1:13" x14ac:dyDescent="0.2">
      <c r="A709" s="1">
        <v>44522</v>
      </c>
      <c r="B709">
        <v>47</v>
      </c>
      <c r="C709">
        <v>11</v>
      </c>
      <c r="D709">
        <v>4</v>
      </c>
      <c r="E709" t="s">
        <v>39</v>
      </c>
      <c r="F709">
        <v>0</v>
      </c>
      <c r="G709">
        <f>INDEX(weekly!$E$2:$E$188,MATCH('Marketing Campaigns 22.11.22'!L709,weekly!$H$2:$H$188,0))</f>
        <v>5951.8666666666659</v>
      </c>
      <c r="H709">
        <f>INDEX(weekly!$D$2:$D$188,MATCH('Marketing Campaigns 22.11.22'!L709,weekly!$H$2:$H$188,0))</f>
        <v>626.9666666666667</v>
      </c>
      <c r="I709">
        <f>INDEX(weekly!$F$2:$F$188,MATCH('Marketing Campaigns 22.11.22'!L709,weekly!$H$2:$H$188,0))</f>
        <v>0</v>
      </c>
      <c r="J709">
        <v>0</v>
      </c>
      <c r="K709">
        <v>0</v>
      </c>
      <c r="L709" t="str">
        <f t="shared" si="22"/>
        <v>47-11-2021</v>
      </c>
      <c r="M709">
        <f t="shared" si="23"/>
        <v>2021</v>
      </c>
    </row>
    <row r="710" spans="1:13" x14ac:dyDescent="0.2">
      <c r="A710" s="1">
        <v>44522</v>
      </c>
      <c r="B710">
        <v>47</v>
      </c>
      <c r="C710">
        <v>11</v>
      </c>
      <c r="D710">
        <v>4</v>
      </c>
      <c r="E710" t="s">
        <v>40</v>
      </c>
      <c r="F710">
        <v>0</v>
      </c>
      <c r="G710">
        <f>INDEX(weekly!$E$2:$E$188,MATCH('Marketing Campaigns 22.11.22'!L710,weekly!$H$2:$H$188,0))</f>
        <v>5951.8666666666659</v>
      </c>
      <c r="H710">
        <f>INDEX(weekly!$D$2:$D$188,MATCH('Marketing Campaigns 22.11.22'!L710,weekly!$H$2:$H$188,0))</f>
        <v>626.9666666666667</v>
      </c>
      <c r="I710">
        <f>INDEX(weekly!$F$2:$F$188,MATCH('Marketing Campaigns 22.11.22'!L710,weekly!$H$2:$H$188,0))</f>
        <v>0</v>
      </c>
      <c r="J710">
        <v>0</v>
      </c>
      <c r="K710">
        <v>0</v>
      </c>
      <c r="L710" t="str">
        <f t="shared" si="22"/>
        <v>47-11-2021</v>
      </c>
      <c r="M710">
        <f t="shared" si="23"/>
        <v>2021</v>
      </c>
    </row>
    <row r="711" spans="1:13" x14ac:dyDescent="0.2">
      <c r="A711" s="1">
        <v>44522</v>
      </c>
      <c r="B711">
        <v>47</v>
      </c>
      <c r="C711">
        <v>11</v>
      </c>
      <c r="D711">
        <v>4</v>
      </c>
      <c r="E711" t="s">
        <v>41</v>
      </c>
      <c r="F711">
        <v>0</v>
      </c>
      <c r="G711">
        <f>INDEX(weekly!$E$2:$E$188,MATCH('Marketing Campaigns 22.11.22'!L711,weekly!$H$2:$H$188,0))</f>
        <v>5951.8666666666659</v>
      </c>
      <c r="H711">
        <f>INDEX(weekly!$D$2:$D$188,MATCH('Marketing Campaigns 22.11.22'!L711,weekly!$H$2:$H$188,0))</f>
        <v>626.9666666666667</v>
      </c>
      <c r="I711">
        <f>INDEX(weekly!$F$2:$F$188,MATCH('Marketing Campaigns 22.11.22'!L711,weekly!$H$2:$H$188,0))</f>
        <v>0</v>
      </c>
      <c r="J711">
        <v>0</v>
      </c>
      <c r="K711">
        <v>0</v>
      </c>
      <c r="L711" t="str">
        <f t="shared" si="22"/>
        <v>47-11-2021</v>
      </c>
      <c r="M711">
        <f t="shared" si="23"/>
        <v>2021</v>
      </c>
    </row>
    <row r="712" spans="1:13" x14ac:dyDescent="0.2">
      <c r="A712" s="1">
        <v>44522</v>
      </c>
      <c r="B712">
        <v>47</v>
      </c>
      <c r="C712">
        <v>11</v>
      </c>
      <c r="D712">
        <v>4</v>
      </c>
      <c r="E712" t="s">
        <v>42</v>
      </c>
      <c r="F712">
        <v>0</v>
      </c>
      <c r="G712">
        <f>INDEX(weekly!$E$2:$E$188,MATCH('Marketing Campaigns 22.11.22'!L712,weekly!$H$2:$H$188,0))</f>
        <v>5951.8666666666659</v>
      </c>
      <c r="H712">
        <f>INDEX(weekly!$D$2:$D$188,MATCH('Marketing Campaigns 22.11.22'!L712,weekly!$H$2:$H$188,0))</f>
        <v>626.9666666666667</v>
      </c>
      <c r="I712">
        <f>INDEX(weekly!$F$2:$F$188,MATCH('Marketing Campaigns 22.11.22'!L712,weekly!$H$2:$H$188,0))</f>
        <v>0</v>
      </c>
      <c r="J712">
        <v>0</v>
      </c>
      <c r="K712">
        <v>0</v>
      </c>
      <c r="L712" t="str">
        <f t="shared" si="22"/>
        <v>47-11-2021</v>
      </c>
      <c r="M712">
        <f t="shared" si="23"/>
        <v>2021</v>
      </c>
    </row>
    <row r="713" spans="1:13" x14ac:dyDescent="0.2">
      <c r="A713" s="1">
        <v>44522</v>
      </c>
      <c r="B713">
        <v>47</v>
      </c>
      <c r="C713">
        <v>11</v>
      </c>
      <c r="D713">
        <v>4</v>
      </c>
      <c r="E713" t="s">
        <v>43</v>
      </c>
      <c r="F713">
        <v>0</v>
      </c>
      <c r="G713">
        <f>INDEX(weekly!$E$2:$E$188,MATCH('Marketing Campaigns 22.11.22'!L713,weekly!$H$2:$H$188,0))</f>
        <v>5951.8666666666659</v>
      </c>
      <c r="H713">
        <f>INDEX(weekly!$D$2:$D$188,MATCH('Marketing Campaigns 22.11.22'!L713,weekly!$H$2:$H$188,0))</f>
        <v>626.9666666666667</v>
      </c>
      <c r="I713">
        <f>INDEX(weekly!$F$2:$F$188,MATCH('Marketing Campaigns 22.11.22'!L713,weekly!$H$2:$H$188,0))</f>
        <v>0</v>
      </c>
      <c r="J713">
        <v>0</v>
      </c>
      <c r="K713">
        <v>0</v>
      </c>
      <c r="L713" t="str">
        <f t="shared" si="22"/>
        <v>47-11-2021</v>
      </c>
      <c r="M713">
        <f t="shared" si="23"/>
        <v>2021</v>
      </c>
    </row>
    <row r="714" spans="1:13" x14ac:dyDescent="0.2">
      <c r="A714" s="1">
        <v>44522</v>
      </c>
      <c r="B714">
        <v>47</v>
      </c>
      <c r="C714">
        <v>11</v>
      </c>
      <c r="D714">
        <v>4</v>
      </c>
      <c r="E714" t="s">
        <v>44</v>
      </c>
      <c r="F714">
        <v>0</v>
      </c>
      <c r="G714">
        <f>INDEX(weekly!$E$2:$E$188,MATCH('Marketing Campaigns 22.11.22'!L714,weekly!$H$2:$H$188,0))</f>
        <v>5951.8666666666659</v>
      </c>
      <c r="H714">
        <f>INDEX(weekly!$D$2:$D$188,MATCH('Marketing Campaigns 22.11.22'!L714,weekly!$H$2:$H$188,0))</f>
        <v>626.9666666666667</v>
      </c>
      <c r="I714">
        <f>INDEX(weekly!$F$2:$F$188,MATCH('Marketing Campaigns 22.11.22'!L714,weekly!$H$2:$H$188,0))</f>
        <v>0</v>
      </c>
      <c r="J714">
        <v>0</v>
      </c>
      <c r="K714">
        <v>0</v>
      </c>
      <c r="L714" t="str">
        <f t="shared" si="22"/>
        <v>47-11-2021</v>
      </c>
      <c r="M714">
        <f t="shared" si="23"/>
        <v>2021</v>
      </c>
    </row>
    <row r="715" spans="1:13" x14ac:dyDescent="0.2">
      <c r="A715" s="1">
        <v>44522</v>
      </c>
      <c r="B715">
        <v>47</v>
      </c>
      <c r="C715">
        <v>11</v>
      </c>
      <c r="D715">
        <v>4</v>
      </c>
      <c r="E715" t="s">
        <v>45</v>
      </c>
      <c r="F715">
        <v>0</v>
      </c>
      <c r="G715">
        <f>INDEX(weekly!$E$2:$E$188,MATCH('Marketing Campaigns 22.11.22'!L715,weekly!$H$2:$H$188,0))</f>
        <v>5951.8666666666659</v>
      </c>
      <c r="H715">
        <f>INDEX(weekly!$D$2:$D$188,MATCH('Marketing Campaigns 22.11.22'!L715,weekly!$H$2:$H$188,0))</f>
        <v>626.9666666666667</v>
      </c>
      <c r="I715">
        <f>INDEX(weekly!$F$2:$F$188,MATCH('Marketing Campaigns 22.11.22'!L715,weekly!$H$2:$H$188,0))</f>
        <v>0</v>
      </c>
      <c r="J715">
        <v>0</v>
      </c>
      <c r="K715">
        <v>0</v>
      </c>
      <c r="L715" t="str">
        <f t="shared" si="22"/>
        <v>47-11-2021</v>
      </c>
      <c r="M715">
        <f t="shared" si="23"/>
        <v>2021</v>
      </c>
    </row>
    <row r="716" spans="1:13" x14ac:dyDescent="0.2">
      <c r="A716" s="1">
        <v>44522</v>
      </c>
      <c r="B716">
        <v>47</v>
      </c>
      <c r="C716">
        <v>11</v>
      </c>
      <c r="D716">
        <v>4</v>
      </c>
      <c r="E716" t="s">
        <v>46</v>
      </c>
      <c r="F716">
        <v>0</v>
      </c>
      <c r="G716">
        <f>INDEX(weekly!$E$2:$E$188,MATCH('Marketing Campaigns 22.11.22'!L716,weekly!$H$2:$H$188,0))</f>
        <v>5951.8666666666659</v>
      </c>
      <c r="H716">
        <f>INDEX(weekly!$D$2:$D$188,MATCH('Marketing Campaigns 22.11.22'!L716,weekly!$H$2:$H$188,0))</f>
        <v>626.9666666666667</v>
      </c>
      <c r="I716">
        <f>INDEX(weekly!$F$2:$F$188,MATCH('Marketing Campaigns 22.11.22'!L716,weekly!$H$2:$H$188,0))</f>
        <v>0</v>
      </c>
      <c r="J716">
        <v>0</v>
      </c>
      <c r="K716">
        <v>0</v>
      </c>
      <c r="L716" t="str">
        <f t="shared" si="22"/>
        <v>47-11-2021</v>
      </c>
      <c r="M716">
        <f t="shared" si="23"/>
        <v>2021</v>
      </c>
    </row>
    <row r="717" spans="1:13" x14ac:dyDescent="0.2">
      <c r="A717" s="1">
        <v>44522</v>
      </c>
      <c r="B717">
        <v>47</v>
      </c>
      <c r="C717">
        <v>11</v>
      </c>
      <c r="D717">
        <v>4</v>
      </c>
      <c r="E717" t="s">
        <v>47</v>
      </c>
      <c r="F717">
        <v>0</v>
      </c>
      <c r="G717">
        <f>INDEX(weekly!$E$2:$E$188,MATCH('Marketing Campaigns 22.11.22'!L717,weekly!$H$2:$H$188,0))</f>
        <v>5951.8666666666659</v>
      </c>
      <c r="H717">
        <f>INDEX(weekly!$D$2:$D$188,MATCH('Marketing Campaigns 22.11.22'!L717,weekly!$H$2:$H$188,0))</f>
        <v>626.9666666666667</v>
      </c>
      <c r="I717">
        <f>INDEX(weekly!$F$2:$F$188,MATCH('Marketing Campaigns 22.11.22'!L717,weekly!$H$2:$H$188,0))</f>
        <v>0</v>
      </c>
      <c r="J717">
        <v>0</v>
      </c>
      <c r="K717">
        <v>0</v>
      </c>
      <c r="L717" t="str">
        <f t="shared" si="22"/>
        <v>47-11-2021</v>
      </c>
      <c r="M717">
        <f t="shared" si="23"/>
        <v>2021</v>
      </c>
    </row>
    <row r="718" spans="1:13" x14ac:dyDescent="0.2">
      <c r="A718" s="1">
        <v>44522</v>
      </c>
      <c r="B718">
        <v>47</v>
      </c>
      <c r="C718">
        <v>11</v>
      </c>
      <c r="D718">
        <v>4</v>
      </c>
      <c r="E718" t="s">
        <v>48</v>
      </c>
      <c r="F718">
        <v>0</v>
      </c>
      <c r="G718">
        <f>INDEX(weekly!$E$2:$E$188,MATCH('Marketing Campaigns 22.11.22'!L718,weekly!$H$2:$H$188,0))</f>
        <v>5951.8666666666659</v>
      </c>
      <c r="H718">
        <f>INDEX(weekly!$D$2:$D$188,MATCH('Marketing Campaigns 22.11.22'!L718,weekly!$H$2:$H$188,0))</f>
        <v>626.9666666666667</v>
      </c>
      <c r="I718">
        <f>INDEX(weekly!$F$2:$F$188,MATCH('Marketing Campaigns 22.11.22'!L718,weekly!$H$2:$H$188,0))</f>
        <v>0</v>
      </c>
      <c r="J718">
        <v>0</v>
      </c>
      <c r="K718">
        <v>0</v>
      </c>
      <c r="L718" t="str">
        <f t="shared" si="22"/>
        <v>47-11-2021</v>
      </c>
      <c r="M718">
        <f t="shared" si="23"/>
        <v>2021</v>
      </c>
    </row>
    <row r="719" spans="1:13" x14ac:dyDescent="0.2">
      <c r="A719" s="1">
        <v>44522</v>
      </c>
      <c r="B719">
        <v>47</v>
      </c>
      <c r="C719">
        <v>11</v>
      </c>
      <c r="D719">
        <v>4</v>
      </c>
      <c r="E719" t="s">
        <v>49</v>
      </c>
      <c r="F719">
        <v>0</v>
      </c>
      <c r="G719">
        <f>INDEX(weekly!$E$2:$E$188,MATCH('Marketing Campaigns 22.11.22'!L719,weekly!$H$2:$H$188,0))</f>
        <v>5951.8666666666659</v>
      </c>
      <c r="H719">
        <f>INDEX(weekly!$D$2:$D$188,MATCH('Marketing Campaigns 22.11.22'!L719,weekly!$H$2:$H$188,0))</f>
        <v>626.9666666666667</v>
      </c>
      <c r="I719">
        <f>INDEX(weekly!$F$2:$F$188,MATCH('Marketing Campaigns 22.11.22'!L719,weekly!$H$2:$H$188,0))</f>
        <v>0</v>
      </c>
      <c r="J719">
        <v>0</v>
      </c>
      <c r="K719">
        <v>0</v>
      </c>
      <c r="L719" t="str">
        <f t="shared" si="22"/>
        <v>47-11-2021</v>
      </c>
      <c r="M719">
        <f t="shared" si="23"/>
        <v>2021</v>
      </c>
    </row>
    <row r="720" spans="1:13" x14ac:dyDescent="0.2">
      <c r="A720" s="1">
        <v>44522</v>
      </c>
      <c r="B720">
        <v>47</v>
      </c>
      <c r="C720">
        <v>11</v>
      </c>
      <c r="D720">
        <v>4</v>
      </c>
      <c r="E720" t="s">
        <v>50</v>
      </c>
      <c r="F720">
        <v>0</v>
      </c>
      <c r="G720">
        <f>INDEX(weekly!$E$2:$E$188,MATCH('Marketing Campaigns 22.11.22'!L720,weekly!$H$2:$H$188,0))</f>
        <v>5951.8666666666659</v>
      </c>
      <c r="H720">
        <f>INDEX(weekly!$D$2:$D$188,MATCH('Marketing Campaigns 22.11.22'!L720,weekly!$H$2:$H$188,0))</f>
        <v>626.9666666666667</v>
      </c>
      <c r="I720">
        <f>INDEX(weekly!$F$2:$F$188,MATCH('Marketing Campaigns 22.11.22'!L720,weekly!$H$2:$H$188,0))</f>
        <v>0</v>
      </c>
      <c r="J720">
        <v>0</v>
      </c>
      <c r="K720">
        <v>0</v>
      </c>
      <c r="L720" t="str">
        <f t="shared" si="22"/>
        <v>47-11-2021</v>
      </c>
      <c r="M720">
        <f t="shared" si="23"/>
        <v>2021</v>
      </c>
    </row>
    <row r="721" spans="1:13" x14ac:dyDescent="0.2">
      <c r="A721" s="1">
        <v>44522</v>
      </c>
      <c r="B721">
        <v>47</v>
      </c>
      <c r="C721">
        <v>11</v>
      </c>
      <c r="D721">
        <v>4</v>
      </c>
      <c r="E721" t="s">
        <v>51</v>
      </c>
      <c r="F721">
        <v>0</v>
      </c>
      <c r="G721">
        <f>INDEX(weekly!$E$2:$E$188,MATCH('Marketing Campaigns 22.11.22'!L721,weekly!$H$2:$H$188,0))</f>
        <v>5951.8666666666659</v>
      </c>
      <c r="H721">
        <f>INDEX(weekly!$D$2:$D$188,MATCH('Marketing Campaigns 22.11.22'!L721,weekly!$H$2:$H$188,0))</f>
        <v>626.9666666666667</v>
      </c>
      <c r="I721">
        <f>INDEX(weekly!$F$2:$F$188,MATCH('Marketing Campaigns 22.11.22'!L721,weekly!$H$2:$H$188,0))</f>
        <v>0</v>
      </c>
      <c r="J721">
        <v>0</v>
      </c>
      <c r="K721">
        <v>0</v>
      </c>
      <c r="L721" t="str">
        <f t="shared" si="22"/>
        <v>47-11-2021</v>
      </c>
      <c r="M721">
        <f t="shared" si="23"/>
        <v>2021</v>
      </c>
    </row>
    <row r="722" spans="1:13" x14ac:dyDescent="0.2">
      <c r="A722" s="1">
        <v>44522</v>
      </c>
      <c r="B722">
        <v>47</v>
      </c>
      <c r="C722">
        <v>11</v>
      </c>
      <c r="D722">
        <v>4</v>
      </c>
      <c r="E722" t="s">
        <v>52</v>
      </c>
      <c r="F722">
        <v>0</v>
      </c>
      <c r="G722">
        <f>INDEX(weekly!$E$2:$E$188,MATCH('Marketing Campaigns 22.11.22'!L722,weekly!$H$2:$H$188,0))</f>
        <v>5951.8666666666659</v>
      </c>
      <c r="H722">
        <f>INDEX(weekly!$D$2:$D$188,MATCH('Marketing Campaigns 22.11.22'!L722,weekly!$H$2:$H$188,0))</f>
        <v>626.9666666666667</v>
      </c>
      <c r="I722">
        <f>INDEX(weekly!$F$2:$F$188,MATCH('Marketing Campaigns 22.11.22'!L722,weekly!$H$2:$H$188,0))</f>
        <v>0</v>
      </c>
      <c r="J722">
        <v>0</v>
      </c>
      <c r="K722">
        <v>0</v>
      </c>
      <c r="L722" t="str">
        <f t="shared" si="22"/>
        <v>47-11-2021</v>
      </c>
      <c r="M722">
        <f t="shared" si="23"/>
        <v>2021</v>
      </c>
    </row>
    <row r="723" spans="1:13" x14ac:dyDescent="0.2">
      <c r="A723" s="1">
        <v>44529</v>
      </c>
      <c r="B723">
        <v>48</v>
      </c>
      <c r="C723">
        <v>11</v>
      </c>
      <c r="D723">
        <v>4</v>
      </c>
      <c r="E723" t="s">
        <v>24</v>
      </c>
      <c r="F723">
        <v>0</v>
      </c>
      <c r="G723">
        <f>INDEX(weekly!$E$2:$E$188,MATCH('Marketing Campaigns 22.11.22'!L723,weekly!$H$2:$H$188,0))</f>
        <v>1700.5333333333333</v>
      </c>
      <c r="H723">
        <f>INDEX(weekly!$D$2:$D$188,MATCH('Marketing Campaigns 22.11.22'!L723,weekly!$H$2:$H$188,0))</f>
        <v>179.13333333333333</v>
      </c>
      <c r="I723">
        <f>INDEX(weekly!$F$2:$F$188,MATCH('Marketing Campaigns 22.11.22'!L723,weekly!$H$2:$H$188,0))</f>
        <v>0</v>
      </c>
      <c r="J723">
        <v>0</v>
      </c>
      <c r="K723">
        <v>0</v>
      </c>
      <c r="L723" t="str">
        <f t="shared" si="22"/>
        <v>48-11-2021</v>
      </c>
      <c r="M723">
        <f t="shared" si="23"/>
        <v>2021</v>
      </c>
    </row>
    <row r="724" spans="1:13" x14ac:dyDescent="0.2">
      <c r="A724" s="1">
        <v>44529</v>
      </c>
      <c r="B724">
        <v>48</v>
      </c>
      <c r="C724">
        <v>11</v>
      </c>
      <c r="D724">
        <v>4</v>
      </c>
      <c r="E724" t="s">
        <v>39</v>
      </c>
      <c r="F724">
        <v>0</v>
      </c>
      <c r="G724">
        <f>INDEX(weekly!$E$2:$E$188,MATCH('Marketing Campaigns 22.11.22'!L724,weekly!$H$2:$H$188,0))</f>
        <v>1700.5333333333333</v>
      </c>
      <c r="H724">
        <f>INDEX(weekly!$D$2:$D$188,MATCH('Marketing Campaigns 22.11.22'!L724,weekly!$H$2:$H$188,0))</f>
        <v>179.13333333333333</v>
      </c>
      <c r="I724">
        <f>INDEX(weekly!$F$2:$F$188,MATCH('Marketing Campaigns 22.11.22'!L724,weekly!$H$2:$H$188,0))</f>
        <v>0</v>
      </c>
      <c r="J724">
        <v>0</v>
      </c>
      <c r="K724">
        <v>0</v>
      </c>
      <c r="L724" t="str">
        <f t="shared" si="22"/>
        <v>48-11-2021</v>
      </c>
      <c r="M724">
        <f t="shared" si="23"/>
        <v>2021</v>
      </c>
    </row>
    <row r="725" spans="1:13" x14ac:dyDescent="0.2">
      <c r="A725" s="1">
        <v>44529</v>
      </c>
      <c r="B725">
        <v>48</v>
      </c>
      <c r="C725">
        <v>11</v>
      </c>
      <c r="D725">
        <v>4</v>
      </c>
      <c r="E725" t="s">
        <v>40</v>
      </c>
      <c r="F725">
        <v>0</v>
      </c>
      <c r="G725">
        <f>INDEX(weekly!$E$2:$E$188,MATCH('Marketing Campaigns 22.11.22'!L725,weekly!$H$2:$H$188,0))</f>
        <v>1700.5333333333333</v>
      </c>
      <c r="H725">
        <f>INDEX(weekly!$D$2:$D$188,MATCH('Marketing Campaigns 22.11.22'!L725,weekly!$H$2:$H$188,0))</f>
        <v>179.13333333333333</v>
      </c>
      <c r="I725">
        <f>INDEX(weekly!$F$2:$F$188,MATCH('Marketing Campaigns 22.11.22'!L725,weekly!$H$2:$H$188,0))</f>
        <v>0</v>
      </c>
      <c r="J725">
        <v>0</v>
      </c>
      <c r="K725">
        <v>0</v>
      </c>
      <c r="L725" t="str">
        <f t="shared" si="22"/>
        <v>48-11-2021</v>
      </c>
      <c r="M725">
        <f t="shared" si="23"/>
        <v>2021</v>
      </c>
    </row>
    <row r="726" spans="1:13" x14ac:dyDescent="0.2">
      <c r="A726" s="1">
        <v>44529</v>
      </c>
      <c r="B726">
        <v>48</v>
      </c>
      <c r="C726">
        <v>11</v>
      </c>
      <c r="D726">
        <v>4</v>
      </c>
      <c r="E726" t="s">
        <v>41</v>
      </c>
      <c r="F726">
        <v>0</v>
      </c>
      <c r="G726">
        <f>INDEX(weekly!$E$2:$E$188,MATCH('Marketing Campaigns 22.11.22'!L726,weekly!$H$2:$H$188,0))</f>
        <v>1700.5333333333333</v>
      </c>
      <c r="H726">
        <f>INDEX(weekly!$D$2:$D$188,MATCH('Marketing Campaigns 22.11.22'!L726,weekly!$H$2:$H$188,0))</f>
        <v>179.13333333333333</v>
      </c>
      <c r="I726">
        <f>INDEX(weekly!$F$2:$F$188,MATCH('Marketing Campaigns 22.11.22'!L726,weekly!$H$2:$H$188,0))</f>
        <v>0</v>
      </c>
      <c r="J726">
        <v>0</v>
      </c>
      <c r="K726">
        <v>0</v>
      </c>
      <c r="L726" t="str">
        <f t="shared" si="22"/>
        <v>48-11-2021</v>
      </c>
      <c r="M726">
        <f t="shared" si="23"/>
        <v>2021</v>
      </c>
    </row>
    <row r="727" spans="1:13" x14ac:dyDescent="0.2">
      <c r="A727" s="1">
        <v>44529</v>
      </c>
      <c r="B727">
        <v>48</v>
      </c>
      <c r="C727">
        <v>11</v>
      </c>
      <c r="D727">
        <v>4</v>
      </c>
      <c r="E727" t="s">
        <v>42</v>
      </c>
      <c r="F727">
        <v>0</v>
      </c>
      <c r="G727">
        <f>INDEX(weekly!$E$2:$E$188,MATCH('Marketing Campaigns 22.11.22'!L727,weekly!$H$2:$H$188,0))</f>
        <v>1700.5333333333333</v>
      </c>
      <c r="H727">
        <f>INDEX(weekly!$D$2:$D$188,MATCH('Marketing Campaigns 22.11.22'!L727,weekly!$H$2:$H$188,0))</f>
        <v>179.13333333333333</v>
      </c>
      <c r="I727">
        <f>INDEX(weekly!$F$2:$F$188,MATCH('Marketing Campaigns 22.11.22'!L727,weekly!$H$2:$H$188,0))</f>
        <v>0</v>
      </c>
      <c r="J727">
        <v>0</v>
      </c>
      <c r="K727">
        <v>0</v>
      </c>
      <c r="L727" t="str">
        <f t="shared" si="22"/>
        <v>48-11-2021</v>
      </c>
      <c r="M727">
        <f t="shared" si="23"/>
        <v>2021</v>
      </c>
    </row>
    <row r="728" spans="1:13" x14ac:dyDescent="0.2">
      <c r="A728" s="1">
        <v>44529</v>
      </c>
      <c r="B728">
        <v>48</v>
      </c>
      <c r="C728">
        <v>11</v>
      </c>
      <c r="D728">
        <v>4</v>
      </c>
      <c r="E728" t="s">
        <v>43</v>
      </c>
      <c r="F728">
        <v>0</v>
      </c>
      <c r="G728">
        <f>INDEX(weekly!$E$2:$E$188,MATCH('Marketing Campaigns 22.11.22'!L728,weekly!$H$2:$H$188,0))</f>
        <v>1700.5333333333333</v>
      </c>
      <c r="H728">
        <f>INDEX(weekly!$D$2:$D$188,MATCH('Marketing Campaigns 22.11.22'!L728,weekly!$H$2:$H$188,0))</f>
        <v>179.13333333333333</v>
      </c>
      <c r="I728">
        <f>INDEX(weekly!$F$2:$F$188,MATCH('Marketing Campaigns 22.11.22'!L728,weekly!$H$2:$H$188,0))</f>
        <v>0</v>
      </c>
      <c r="J728">
        <v>0</v>
      </c>
      <c r="K728">
        <v>0</v>
      </c>
      <c r="L728" t="str">
        <f t="shared" si="22"/>
        <v>48-11-2021</v>
      </c>
      <c r="M728">
        <f t="shared" si="23"/>
        <v>2021</v>
      </c>
    </row>
    <row r="729" spans="1:13" x14ac:dyDescent="0.2">
      <c r="A729" s="1">
        <v>44529</v>
      </c>
      <c r="B729">
        <v>48</v>
      </c>
      <c r="C729">
        <v>11</v>
      </c>
      <c r="D729">
        <v>4</v>
      </c>
      <c r="E729" t="s">
        <v>44</v>
      </c>
      <c r="F729">
        <v>0</v>
      </c>
      <c r="G729">
        <f>INDEX(weekly!$E$2:$E$188,MATCH('Marketing Campaigns 22.11.22'!L729,weekly!$H$2:$H$188,0))</f>
        <v>1700.5333333333333</v>
      </c>
      <c r="H729">
        <f>INDEX(weekly!$D$2:$D$188,MATCH('Marketing Campaigns 22.11.22'!L729,weekly!$H$2:$H$188,0))</f>
        <v>179.13333333333333</v>
      </c>
      <c r="I729">
        <f>INDEX(weekly!$F$2:$F$188,MATCH('Marketing Campaigns 22.11.22'!L729,weekly!$H$2:$H$188,0))</f>
        <v>0</v>
      </c>
      <c r="J729">
        <v>0</v>
      </c>
      <c r="K729">
        <v>0</v>
      </c>
      <c r="L729" t="str">
        <f t="shared" si="22"/>
        <v>48-11-2021</v>
      </c>
      <c r="M729">
        <f t="shared" si="23"/>
        <v>2021</v>
      </c>
    </row>
    <row r="730" spans="1:13" x14ac:dyDescent="0.2">
      <c r="A730" s="1">
        <v>44529</v>
      </c>
      <c r="B730">
        <v>48</v>
      </c>
      <c r="C730">
        <v>11</v>
      </c>
      <c r="D730">
        <v>4</v>
      </c>
      <c r="E730" t="s">
        <v>45</v>
      </c>
      <c r="F730">
        <v>0</v>
      </c>
      <c r="G730">
        <f>INDEX(weekly!$E$2:$E$188,MATCH('Marketing Campaigns 22.11.22'!L730,weekly!$H$2:$H$188,0))</f>
        <v>1700.5333333333333</v>
      </c>
      <c r="H730">
        <f>INDEX(weekly!$D$2:$D$188,MATCH('Marketing Campaigns 22.11.22'!L730,weekly!$H$2:$H$188,0))</f>
        <v>179.13333333333333</v>
      </c>
      <c r="I730">
        <f>INDEX(weekly!$F$2:$F$188,MATCH('Marketing Campaigns 22.11.22'!L730,weekly!$H$2:$H$188,0))</f>
        <v>0</v>
      </c>
      <c r="J730">
        <v>0</v>
      </c>
      <c r="K730">
        <v>0</v>
      </c>
      <c r="L730" t="str">
        <f t="shared" si="22"/>
        <v>48-11-2021</v>
      </c>
      <c r="M730">
        <f t="shared" si="23"/>
        <v>2021</v>
      </c>
    </row>
    <row r="731" spans="1:13" x14ac:dyDescent="0.2">
      <c r="A731" s="1">
        <v>44529</v>
      </c>
      <c r="B731">
        <v>48</v>
      </c>
      <c r="C731">
        <v>11</v>
      </c>
      <c r="D731">
        <v>4</v>
      </c>
      <c r="E731" t="s">
        <v>46</v>
      </c>
      <c r="F731">
        <v>0</v>
      </c>
      <c r="G731">
        <f>INDEX(weekly!$E$2:$E$188,MATCH('Marketing Campaigns 22.11.22'!L731,weekly!$H$2:$H$188,0))</f>
        <v>1700.5333333333333</v>
      </c>
      <c r="H731">
        <f>INDEX(weekly!$D$2:$D$188,MATCH('Marketing Campaigns 22.11.22'!L731,weekly!$H$2:$H$188,0))</f>
        <v>179.13333333333333</v>
      </c>
      <c r="I731">
        <f>INDEX(weekly!$F$2:$F$188,MATCH('Marketing Campaigns 22.11.22'!L731,weekly!$H$2:$H$188,0))</f>
        <v>0</v>
      </c>
      <c r="J731">
        <v>0</v>
      </c>
      <c r="K731">
        <v>0</v>
      </c>
      <c r="L731" t="str">
        <f t="shared" si="22"/>
        <v>48-11-2021</v>
      </c>
      <c r="M731">
        <f t="shared" si="23"/>
        <v>2021</v>
      </c>
    </row>
    <row r="732" spans="1:13" x14ac:dyDescent="0.2">
      <c r="A732" s="1">
        <v>44529</v>
      </c>
      <c r="B732">
        <v>48</v>
      </c>
      <c r="C732">
        <v>11</v>
      </c>
      <c r="D732">
        <v>4</v>
      </c>
      <c r="E732" t="s">
        <v>47</v>
      </c>
      <c r="F732">
        <v>0</v>
      </c>
      <c r="G732">
        <f>INDEX(weekly!$E$2:$E$188,MATCH('Marketing Campaigns 22.11.22'!L732,weekly!$H$2:$H$188,0))</f>
        <v>1700.5333333333333</v>
      </c>
      <c r="H732">
        <f>INDEX(weekly!$D$2:$D$188,MATCH('Marketing Campaigns 22.11.22'!L732,weekly!$H$2:$H$188,0))</f>
        <v>179.13333333333333</v>
      </c>
      <c r="I732">
        <f>INDEX(weekly!$F$2:$F$188,MATCH('Marketing Campaigns 22.11.22'!L732,weekly!$H$2:$H$188,0))</f>
        <v>0</v>
      </c>
      <c r="J732">
        <v>0</v>
      </c>
      <c r="K732">
        <v>0</v>
      </c>
      <c r="L732" t="str">
        <f t="shared" si="22"/>
        <v>48-11-2021</v>
      </c>
      <c r="M732">
        <f t="shared" si="23"/>
        <v>2021</v>
      </c>
    </row>
    <row r="733" spans="1:13" x14ac:dyDescent="0.2">
      <c r="A733" s="1">
        <v>44529</v>
      </c>
      <c r="B733">
        <v>48</v>
      </c>
      <c r="C733">
        <v>11</v>
      </c>
      <c r="D733">
        <v>4</v>
      </c>
      <c r="E733" t="s">
        <v>48</v>
      </c>
      <c r="F733">
        <v>0</v>
      </c>
      <c r="G733">
        <f>INDEX(weekly!$E$2:$E$188,MATCH('Marketing Campaigns 22.11.22'!L733,weekly!$H$2:$H$188,0))</f>
        <v>1700.5333333333333</v>
      </c>
      <c r="H733">
        <f>INDEX(weekly!$D$2:$D$188,MATCH('Marketing Campaigns 22.11.22'!L733,weekly!$H$2:$H$188,0))</f>
        <v>179.13333333333333</v>
      </c>
      <c r="I733">
        <f>INDEX(weekly!$F$2:$F$188,MATCH('Marketing Campaigns 22.11.22'!L733,weekly!$H$2:$H$188,0))</f>
        <v>0</v>
      </c>
      <c r="J733">
        <v>0</v>
      </c>
      <c r="K733">
        <v>0</v>
      </c>
      <c r="L733" t="str">
        <f t="shared" si="22"/>
        <v>48-11-2021</v>
      </c>
      <c r="M733">
        <f t="shared" si="23"/>
        <v>2021</v>
      </c>
    </row>
    <row r="734" spans="1:13" x14ac:dyDescent="0.2">
      <c r="A734" s="1">
        <v>44529</v>
      </c>
      <c r="B734">
        <v>48</v>
      </c>
      <c r="C734">
        <v>11</v>
      </c>
      <c r="D734">
        <v>4</v>
      </c>
      <c r="E734" t="s">
        <v>49</v>
      </c>
      <c r="F734">
        <v>0</v>
      </c>
      <c r="G734">
        <f>INDEX(weekly!$E$2:$E$188,MATCH('Marketing Campaigns 22.11.22'!L734,weekly!$H$2:$H$188,0))</f>
        <v>1700.5333333333333</v>
      </c>
      <c r="H734">
        <f>INDEX(weekly!$D$2:$D$188,MATCH('Marketing Campaigns 22.11.22'!L734,weekly!$H$2:$H$188,0))</f>
        <v>179.13333333333333</v>
      </c>
      <c r="I734">
        <f>INDEX(weekly!$F$2:$F$188,MATCH('Marketing Campaigns 22.11.22'!L734,weekly!$H$2:$H$188,0))</f>
        <v>0</v>
      </c>
      <c r="J734">
        <v>0</v>
      </c>
      <c r="K734">
        <v>0</v>
      </c>
      <c r="L734" t="str">
        <f t="shared" si="22"/>
        <v>48-11-2021</v>
      </c>
      <c r="M734">
        <f t="shared" si="23"/>
        <v>2021</v>
      </c>
    </row>
    <row r="735" spans="1:13" x14ac:dyDescent="0.2">
      <c r="A735" s="1">
        <v>44529</v>
      </c>
      <c r="B735">
        <v>48</v>
      </c>
      <c r="C735">
        <v>11</v>
      </c>
      <c r="D735">
        <v>4</v>
      </c>
      <c r="E735" t="s">
        <v>50</v>
      </c>
      <c r="F735">
        <v>0</v>
      </c>
      <c r="G735">
        <f>INDEX(weekly!$E$2:$E$188,MATCH('Marketing Campaigns 22.11.22'!L735,weekly!$H$2:$H$188,0))</f>
        <v>1700.5333333333333</v>
      </c>
      <c r="H735">
        <f>INDEX(weekly!$D$2:$D$188,MATCH('Marketing Campaigns 22.11.22'!L735,weekly!$H$2:$H$188,0))</f>
        <v>179.13333333333333</v>
      </c>
      <c r="I735">
        <f>INDEX(weekly!$F$2:$F$188,MATCH('Marketing Campaigns 22.11.22'!L735,weekly!$H$2:$H$188,0))</f>
        <v>0</v>
      </c>
      <c r="J735">
        <v>0</v>
      </c>
      <c r="K735">
        <v>0</v>
      </c>
      <c r="L735" t="str">
        <f t="shared" si="22"/>
        <v>48-11-2021</v>
      </c>
      <c r="M735">
        <f t="shared" si="23"/>
        <v>2021</v>
      </c>
    </row>
    <row r="736" spans="1:13" x14ac:dyDescent="0.2">
      <c r="A736" s="1">
        <v>44529</v>
      </c>
      <c r="B736">
        <v>48</v>
      </c>
      <c r="C736">
        <v>11</v>
      </c>
      <c r="D736">
        <v>4</v>
      </c>
      <c r="E736" t="s">
        <v>51</v>
      </c>
      <c r="F736">
        <v>0</v>
      </c>
      <c r="G736">
        <f>INDEX(weekly!$E$2:$E$188,MATCH('Marketing Campaigns 22.11.22'!L736,weekly!$H$2:$H$188,0))</f>
        <v>1700.5333333333333</v>
      </c>
      <c r="H736">
        <f>INDEX(weekly!$D$2:$D$188,MATCH('Marketing Campaigns 22.11.22'!L736,weekly!$H$2:$H$188,0))</f>
        <v>179.13333333333333</v>
      </c>
      <c r="I736">
        <f>INDEX(weekly!$F$2:$F$188,MATCH('Marketing Campaigns 22.11.22'!L736,weekly!$H$2:$H$188,0))</f>
        <v>0</v>
      </c>
      <c r="J736">
        <v>0</v>
      </c>
      <c r="K736">
        <v>0</v>
      </c>
      <c r="L736" t="str">
        <f t="shared" si="22"/>
        <v>48-11-2021</v>
      </c>
      <c r="M736">
        <f t="shared" si="23"/>
        <v>2021</v>
      </c>
    </row>
    <row r="737" spans="1:13" x14ac:dyDescent="0.2">
      <c r="A737" s="1">
        <v>44529</v>
      </c>
      <c r="B737">
        <v>48</v>
      </c>
      <c r="C737">
        <v>11</v>
      </c>
      <c r="D737">
        <v>4</v>
      </c>
      <c r="E737" t="s">
        <v>52</v>
      </c>
      <c r="F737">
        <v>0</v>
      </c>
      <c r="G737">
        <f>INDEX(weekly!$E$2:$E$188,MATCH('Marketing Campaigns 22.11.22'!L737,weekly!$H$2:$H$188,0))</f>
        <v>1700.5333333333333</v>
      </c>
      <c r="H737">
        <f>INDEX(weekly!$D$2:$D$188,MATCH('Marketing Campaigns 22.11.22'!L737,weekly!$H$2:$H$188,0))</f>
        <v>179.13333333333333</v>
      </c>
      <c r="I737">
        <f>INDEX(weekly!$F$2:$F$188,MATCH('Marketing Campaigns 22.11.22'!L737,weekly!$H$2:$H$188,0))</f>
        <v>0</v>
      </c>
      <c r="J737">
        <v>0</v>
      </c>
      <c r="K737">
        <v>0</v>
      </c>
      <c r="L737" t="str">
        <f t="shared" si="22"/>
        <v>48-11-2021</v>
      </c>
      <c r="M737">
        <f t="shared" si="23"/>
        <v>2021</v>
      </c>
    </row>
    <row r="738" spans="1:13" x14ac:dyDescent="0.2">
      <c r="A738" s="1">
        <v>44536</v>
      </c>
      <c r="B738">
        <v>49</v>
      </c>
      <c r="C738">
        <v>12</v>
      </c>
      <c r="D738">
        <v>4</v>
      </c>
      <c r="E738" t="s">
        <v>24</v>
      </c>
      <c r="F738">
        <v>0</v>
      </c>
      <c r="G738">
        <f>INDEX(weekly!$E$2:$E$188,MATCH('Marketing Campaigns 22.11.22'!L738,weekly!$H$2:$H$188,0))</f>
        <v>3241.9664516129033</v>
      </c>
      <c r="H738">
        <f>INDEX(weekly!$D$2:$D$188,MATCH('Marketing Campaigns 22.11.22'!L738,weekly!$H$2:$H$188,0))</f>
        <v>676.9677419354839</v>
      </c>
      <c r="I738">
        <f>INDEX(weekly!$F$2:$F$188,MATCH('Marketing Campaigns 22.11.22'!L738,weekly!$H$2:$H$188,0))</f>
        <v>0</v>
      </c>
      <c r="J738">
        <v>0</v>
      </c>
      <c r="K738">
        <v>0</v>
      </c>
      <c r="L738" t="str">
        <f t="shared" si="22"/>
        <v>49-12-2021</v>
      </c>
      <c r="M738">
        <f t="shared" si="23"/>
        <v>2021</v>
      </c>
    </row>
    <row r="739" spans="1:13" x14ac:dyDescent="0.2">
      <c r="A739" s="1">
        <v>44536</v>
      </c>
      <c r="B739">
        <v>49</v>
      </c>
      <c r="C739">
        <v>12</v>
      </c>
      <c r="D739">
        <v>4</v>
      </c>
      <c r="E739" t="s">
        <v>39</v>
      </c>
      <c r="F739">
        <v>0</v>
      </c>
      <c r="G739">
        <f>INDEX(weekly!$E$2:$E$188,MATCH('Marketing Campaigns 22.11.22'!L739,weekly!$H$2:$H$188,0))</f>
        <v>3241.9664516129033</v>
      </c>
      <c r="H739">
        <f>INDEX(weekly!$D$2:$D$188,MATCH('Marketing Campaigns 22.11.22'!L739,weekly!$H$2:$H$188,0))</f>
        <v>676.9677419354839</v>
      </c>
      <c r="I739">
        <f>INDEX(weekly!$F$2:$F$188,MATCH('Marketing Campaigns 22.11.22'!L739,weekly!$H$2:$H$188,0))</f>
        <v>0</v>
      </c>
      <c r="J739">
        <v>0</v>
      </c>
      <c r="K739">
        <v>0</v>
      </c>
      <c r="L739" t="str">
        <f t="shared" si="22"/>
        <v>49-12-2021</v>
      </c>
      <c r="M739">
        <f t="shared" si="23"/>
        <v>2021</v>
      </c>
    </row>
    <row r="740" spans="1:13" x14ac:dyDescent="0.2">
      <c r="A740" s="1">
        <v>44536</v>
      </c>
      <c r="B740">
        <v>49</v>
      </c>
      <c r="C740">
        <v>12</v>
      </c>
      <c r="D740">
        <v>4</v>
      </c>
      <c r="E740" t="s">
        <v>40</v>
      </c>
      <c r="F740">
        <v>0</v>
      </c>
      <c r="G740">
        <f>INDEX(weekly!$E$2:$E$188,MATCH('Marketing Campaigns 22.11.22'!L740,weekly!$H$2:$H$188,0))</f>
        <v>3241.9664516129033</v>
      </c>
      <c r="H740">
        <f>INDEX(weekly!$D$2:$D$188,MATCH('Marketing Campaigns 22.11.22'!L740,weekly!$H$2:$H$188,0))</f>
        <v>676.9677419354839</v>
      </c>
      <c r="I740">
        <f>INDEX(weekly!$F$2:$F$188,MATCH('Marketing Campaigns 22.11.22'!L740,weekly!$H$2:$H$188,0))</f>
        <v>0</v>
      </c>
      <c r="J740">
        <v>0</v>
      </c>
      <c r="K740">
        <v>0</v>
      </c>
      <c r="L740" t="str">
        <f t="shared" si="22"/>
        <v>49-12-2021</v>
      </c>
      <c r="M740">
        <f t="shared" si="23"/>
        <v>2021</v>
      </c>
    </row>
    <row r="741" spans="1:13" x14ac:dyDescent="0.2">
      <c r="A741" s="1">
        <v>44536</v>
      </c>
      <c r="B741">
        <v>49</v>
      </c>
      <c r="C741">
        <v>12</v>
      </c>
      <c r="D741">
        <v>4</v>
      </c>
      <c r="E741" t="s">
        <v>41</v>
      </c>
      <c r="F741">
        <v>0</v>
      </c>
      <c r="G741">
        <f>INDEX(weekly!$E$2:$E$188,MATCH('Marketing Campaigns 22.11.22'!L741,weekly!$H$2:$H$188,0))</f>
        <v>3241.9664516129033</v>
      </c>
      <c r="H741">
        <f>INDEX(weekly!$D$2:$D$188,MATCH('Marketing Campaigns 22.11.22'!L741,weekly!$H$2:$H$188,0))</f>
        <v>676.9677419354839</v>
      </c>
      <c r="I741">
        <f>INDEX(weekly!$F$2:$F$188,MATCH('Marketing Campaigns 22.11.22'!L741,weekly!$H$2:$H$188,0))</f>
        <v>0</v>
      </c>
      <c r="J741">
        <v>0</v>
      </c>
      <c r="K741">
        <v>0</v>
      </c>
      <c r="L741" t="str">
        <f t="shared" si="22"/>
        <v>49-12-2021</v>
      </c>
      <c r="M741">
        <f t="shared" si="23"/>
        <v>2021</v>
      </c>
    </row>
    <row r="742" spans="1:13" x14ac:dyDescent="0.2">
      <c r="A742" s="1">
        <v>44536</v>
      </c>
      <c r="B742">
        <v>49</v>
      </c>
      <c r="C742">
        <v>12</v>
      </c>
      <c r="D742">
        <v>4</v>
      </c>
      <c r="E742" t="s">
        <v>42</v>
      </c>
      <c r="F742">
        <v>0</v>
      </c>
      <c r="G742">
        <f>INDEX(weekly!$E$2:$E$188,MATCH('Marketing Campaigns 22.11.22'!L742,weekly!$H$2:$H$188,0))</f>
        <v>3241.9664516129033</v>
      </c>
      <c r="H742">
        <f>INDEX(weekly!$D$2:$D$188,MATCH('Marketing Campaigns 22.11.22'!L742,weekly!$H$2:$H$188,0))</f>
        <v>676.9677419354839</v>
      </c>
      <c r="I742">
        <f>INDEX(weekly!$F$2:$F$188,MATCH('Marketing Campaigns 22.11.22'!L742,weekly!$H$2:$H$188,0))</f>
        <v>0</v>
      </c>
      <c r="J742">
        <v>0</v>
      </c>
      <c r="K742">
        <v>0</v>
      </c>
      <c r="L742" t="str">
        <f t="shared" si="22"/>
        <v>49-12-2021</v>
      </c>
      <c r="M742">
        <f t="shared" si="23"/>
        <v>2021</v>
      </c>
    </row>
    <row r="743" spans="1:13" x14ac:dyDescent="0.2">
      <c r="A743" s="1">
        <v>44536</v>
      </c>
      <c r="B743">
        <v>49</v>
      </c>
      <c r="C743">
        <v>12</v>
      </c>
      <c r="D743">
        <v>4</v>
      </c>
      <c r="E743" t="s">
        <v>43</v>
      </c>
      <c r="F743">
        <v>0</v>
      </c>
      <c r="G743">
        <f>INDEX(weekly!$E$2:$E$188,MATCH('Marketing Campaigns 22.11.22'!L743,weekly!$H$2:$H$188,0))</f>
        <v>3241.9664516129033</v>
      </c>
      <c r="H743">
        <f>INDEX(weekly!$D$2:$D$188,MATCH('Marketing Campaigns 22.11.22'!L743,weekly!$H$2:$H$188,0))</f>
        <v>676.9677419354839</v>
      </c>
      <c r="I743">
        <f>INDEX(weekly!$F$2:$F$188,MATCH('Marketing Campaigns 22.11.22'!L743,weekly!$H$2:$H$188,0))</f>
        <v>0</v>
      </c>
      <c r="J743">
        <v>0</v>
      </c>
      <c r="K743">
        <v>0</v>
      </c>
      <c r="L743" t="str">
        <f t="shared" si="22"/>
        <v>49-12-2021</v>
      </c>
      <c r="M743">
        <f t="shared" si="23"/>
        <v>2021</v>
      </c>
    </row>
    <row r="744" spans="1:13" x14ac:dyDescent="0.2">
      <c r="A744" s="1">
        <v>44536</v>
      </c>
      <c r="B744">
        <v>49</v>
      </c>
      <c r="C744">
        <v>12</v>
      </c>
      <c r="D744">
        <v>4</v>
      </c>
      <c r="E744" t="s">
        <v>44</v>
      </c>
      <c r="F744">
        <v>0</v>
      </c>
      <c r="G744">
        <f>INDEX(weekly!$E$2:$E$188,MATCH('Marketing Campaigns 22.11.22'!L744,weekly!$H$2:$H$188,0))</f>
        <v>3241.9664516129033</v>
      </c>
      <c r="H744">
        <f>INDEX(weekly!$D$2:$D$188,MATCH('Marketing Campaigns 22.11.22'!L744,weekly!$H$2:$H$188,0))</f>
        <v>676.9677419354839</v>
      </c>
      <c r="I744">
        <f>INDEX(weekly!$F$2:$F$188,MATCH('Marketing Campaigns 22.11.22'!L744,weekly!$H$2:$H$188,0))</f>
        <v>0</v>
      </c>
      <c r="J744">
        <v>0</v>
      </c>
      <c r="K744">
        <v>0</v>
      </c>
      <c r="L744" t="str">
        <f t="shared" si="22"/>
        <v>49-12-2021</v>
      </c>
      <c r="M744">
        <f t="shared" si="23"/>
        <v>2021</v>
      </c>
    </row>
    <row r="745" spans="1:13" x14ac:dyDescent="0.2">
      <c r="A745" s="1">
        <v>44536</v>
      </c>
      <c r="B745">
        <v>49</v>
      </c>
      <c r="C745">
        <v>12</v>
      </c>
      <c r="D745">
        <v>4</v>
      </c>
      <c r="E745" t="s">
        <v>45</v>
      </c>
      <c r="F745">
        <v>0</v>
      </c>
      <c r="G745">
        <f>INDEX(weekly!$E$2:$E$188,MATCH('Marketing Campaigns 22.11.22'!L745,weekly!$H$2:$H$188,0))</f>
        <v>3241.9664516129033</v>
      </c>
      <c r="H745">
        <f>INDEX(weekly!$D$2:$D$188,MATCH('Marketing Campaigns 22.11.22'!L745,weekly!$H$2:$H$188,0))</f>
        <v>676.9677419354839</v>
      </c>
      <c r="I745">
        <f>INDEX(weekly!$F$2:$F$188,MATCH('Marketing Campaigns 22.11.22'!L745,weekly!$H$2:$H$188,0))</f>
        <v>0</v>
      </c>
      <c r="J745">
        <v>0</v>
      </c>
      <c r="K745">
        <v>0</v>
      </c>
      <c r="L745" t="str">
        <f t="shared" si="22"/>
        <v>49-12-2021</v>
      </c>
      <c r="M745">
        <f t="shared" si="23"/>
        <v>2021</v>
      </c>
    </row>
    <row r="746" spans="1:13" x14ac:dyDescent="0.2">
      <c r="A746" s="1">
        <v>44536</v>
      </c>
      <c r="B746">
        <v>49</v>
      </c>
      <c r="C746">
        <v>12</v>
      </c>
      <c r="D746">
        <v>4</v>
      </c>
      <c r="E746" t="s">
        <v>46</v>
      </c>
      <c r="F746">
        <v>0</v>
      </c>
      <c r="G746">
        <f>INDEX(weekly!$E$2:$E$188,MATCH('Marketing Campaigns 22.11.22'!L746,weekly!$H$2:$H$188,0))</f>
        <v>3241.9664516129033</v>
      </c>
      <c r="H746">
        <f>INDEX(weekly!$D$2:$D$188,MATCH('Marketing Campaigns 22.11.22'!L746,weekly!$H$2:$H$188,0))</f>
        <v>676.9677419354839</v>
      </c>
      <c r="I746">
        <f>INDEX(weekly!$F$2:$F$188,MATCH('Marketing Campaigns 22.11.22'!L746,weekly!$H$2:$H$188,0))</f>
        <v>0</v>
      </c>
      <c r="J746">
        <v>0</v>
      </c>
      <c r="K746">
        <v>0</v>
      </c>
      <c r="L746" t="str">
        <f t="shared" si="22"/>
        <v>49-12-2021</v>
      </c>
      <c r="M746">
        <f t="shared" si="23"/>
        <v>2021</v>
      </c>
    </row>
    <row r="747" spans="1:13" x14ac:dyDescent="0.2">
      <c r="A747" s="1">
        <v>44536</v>
      </c>
      <c r="B747">
        <v>49</v>
      </c>
      <c r="C747">
        <v>12</v>
      </c>
      <c r="D747">
        <v>4</v>
      </c>
      <c r="E747" t="s">
        <v>47</v>
      </c>
      <c r="F747">
        <v>0</v>
      </c>
      <c r="G747">
        <f>INDEX(weekly!$E$2:$E$188,MATCH('Marketing Campaigns 22.11.22'!L747,weekly!$H$2:$H$188,0))</f>
        <v>3241.9664516129033</v>
      </c>
      <c r="H747">
        <f>INDEX(weekly!$D$2:$D$188,MATCH('Marketing Campaigns 22.11.22'!L747,weekly!$H$2:$H$188,0))</f>
        <v>676.9677419354839</v>
      </c>
      <c r="I747">
        <f>INDEX(weekly!$F$2:$F$188,MATCH('Marketing Campaigns 22.11.22'!L747,weekly!$H$2:$H$188,0))</f>
        <v>0</v>
      </c>
      <c r="J747">
        <v>0</v>
      </c>
      <c r="K747">
        <v>0</v>
      </c>
      <c r="L747" t="str">
        <f t="shared" si="22"/>
        <v>49-12-2021</v>
      </c>
      <c r="M747">
        <f t="shared" si="23"/>
        <v>2021</v>
      </c>
    </row>
    <row r="748" spans="1:13" x14ac:dyDescent="0.2">
      <c r="A748" s="1">
        <v>44536</v>
      </c>
      <c r="B748">
        <v>49</v>
      </c>
      <c r="C748">
        <v>12</v>
      </c>
      <c r="D748">
        <v>4</v>
      </c>
      <c r="E748" t="s">
        <v>48</v>
      </c>
      <c r="F748">
        <v>0</v>
      </c>
      <c r="G748">
        <f>INDEX(weekly!$E$2:$E$188,MATCH('Marketing Campaigns 22.11.22'!L748,weekly!$H$2:$H$188,0))</f>
        <v>3241.9664516129033</v>
      </c>
      <c r="H748">
        <f>INDEX(weekly!$D$2:$D$188,MATCH('Marketing Campaigns 22.11.22'!L748,weekly!$H$2:$H$188,0))</f>
        <v>676.9677419354839</v>
      </c>
      <c r="I748">
        <f>INDEX(weekly!$F$2:$F$188,MATCH('Marketing Campaigns 22.11.22'!L748,weekly!$H$2:$H$188,0))</f>
        <v>0</v>
      </c>
      <c r="J748">
        <v>0</v>
      </c>
      <c r="K748">
        <v>0</v>
      </c>
      <c r="L748" t="str">
        <f t="shared" si="22"/>
        <v>49-12-2021</v>
      </c>
      <c r="M748">
        <f t="shared" si="23"/>
        <v>2021</v>
      </c>
    </row>
    <row r="749" spans="1:13" x14ac:dyDescent="0.2">
      <c r="A749" s="1">
        <v>44536</v>
      </c>
      <c r="B749">
        <v>49</v>
      </c>
      <c r="C749">
        <v>12</v>
      </c>
      <c r="D749">
        <v>4</v>
      </c>
      <c r="E749" t="s">
        <v>49</v>
      </c>
      <c r="F749">
        <v>0</v>
      </c>
      <c r="G749">
        <f>INDEX(weekly!$E$2:$E$188,MATCH('Marketing Campaigns 22.11.22'!L749,weekly!$H$2:$H$188,0))</f>
        <v>3241.9664516129033</v>
      </c>
      <c r="H749">
        <f>INDEX(weekly!$D$2:$D$188,MATCH('Marketing Campaigns 22.11.22'!L749,weekly!$H$2:$H$188,0))</f>
        <v>676.9677419354839</v>
      </c>
      <c r="I749">
        <f>INDEX(weekly!$F$2:$F$188,MATCH('Marketing Campaigns 22.11.22'!L749,weekly!$H$2:$H$188,0))</f>
        <v>0</v>
      </c>
      <c r="J749">
        <v>0</v>
      </c>
      <c r="K749">
        <v>0</v>
      </c>
      <c r="L749" t="str">
        <f t="shared" si="22"/>
        <v>49-12-2021</v>
      </c>
      <c r="M749">
        <f t="shared" si="23"/>
        <v>2021</v>
      </c>
    </row>
    <row r="750" spans="1:13" x14ac:dyDescent="0.2">
      <c r="A750" s="1">
        <v>44536</v>
      </c>
      <c r="B750">
        <v>49</v>
      </c>
      <c r="C750">
        <v>12</v>
      </c>
      <c r="D750">
        <v>4</v>
      </c>
      <c r="E750" t="s">
        <v>50</v>
      </c>
      <c r="F750">
        <v>0</v>
      </c>
      <c r="G750">
        <f>INDEX(weekly!$E$2:$E$188,MATCH('Marketing Campaigns 22.11.22'!L750,weekly!$H$2:$H$188,0))</f>
        <v>3241.9664516129033</v>
      </c>
      <c r="H750">
        <f>INDEX(weekly!$D$2:$D$188,MATCH('Marketing Campaigns 22.11.22'!L750,weekly!$H$2:$H$188,0))</f>
        <v>676.9677419354839</v>
      </c>
      <c r="I750">
        <f>INDEX(weekly!$F$2:$F$188,MATCH('Marketing Campaigns 22.11.22'!L750,weekly!$H$2:$H$188,0))</f>
        <v>0</v>
      </c>
      <c r="J750">
        <v>0</v>
      </c>
      <c r="K750">
        <v>0</v>
      </c>
      <c r="L750" t="str">
        <f t="shared" si="22"/>
        <v>49-12-2021</v>
      </c>
      <c r="M750">
        <f t="shared" si="23"/>
        <v>2021</v>
      </c>
    </row>
    <row r="751" spans="1:13" x14ac:dyDescent="0.2">
      <c r="A751" s="1">
        <v>44536</v>
      </c>
      <c r="B751">
        <v>49</v>
      </c>
      <c r="C751">
        <v>12</v>
      </c>
      <c r="D751">
        <v>4</v>
      </c>
      <c r="E751" t="s">
        <v>51</v>
      </c>
      <c r="F751">
        <v>0</v>
      </c>
      <c r="G751">
        <f>INDEX(weekly!$E$2:$E$188,MATCH('Marketing Campaigns 22.11.22'!L751,weekly!$H$2:$H$188,0))</f>
        <v>3241.9664516129033</v>
      </c>
      <c r="H751">
        <f>INDEX(weekly!$D$2:$D$188,MATCH('Marketing Campaigns 22.11.22'!L751,weekly!$H$2:$H$188,0))</f>
        <v>676.9677419354839</v>
      </c>
      <c r="I751">
        <f>INDEX(weekly!$F$2:$F$188,MATCH('Marketing Campaigns 22.11.22'!L751,weekly!$H$2:$H$188,0))</f>
        <v>0</v>
      </c>
      <c r="J751">
        <v>0</v>
      </c>
      <c r="K751">
        <v>0</v>
      </c>
      <c r="L751" t="str">
        <f t="shared" si="22"/>
        <v>49-12-2021</v>
      </c>
      <c r="M751">
        <f t="shared" si="23"/>
        <v>2021</v>
      </c>
    </row>
    <row r="752" spans="1:13" x14ac:dyDescent="0.2">
      <c r="A752" s="1">
        <v>44536</v>
      </c>
      <c r="B752">
        <v>49</v>
      </c>
      <c r="C752">
        <v>12</v>
      </c>
      <c r="D752">
        <v>4</v>
      </c>
      <c r="E752" t="s">
        <v>52</v>
      </c>
      <c r="F752">
        <v>0</v>
      </c>
      <c r="G752">
        <f>INDEX(weekly!$E$2:$E$188,MATCH('Marketing Campaigns 22.11.22'!L752,weekly!$H$2:$H$188,0))</f>
        <v>3241.9664516129033</v>
      </c>
      <c r="H752">
        <f>INDEX(weekly!$D$2:$D$188,MATCH('Marketing Campaigns 22.11.22'!L752,weekly!$H$2:$H$188,0))</f>
        <v>676.9677419354839</v>
      </c>
      <c r="I752">
        <f>INDEX(weekly!$F$2:$F$188,MATCH('Marketing Campaigns 22.11.22'!L752,weekly!$H$2:$H$188,0))</f>
        <v>0</v>
      </c>
      <c r="J752">
        <v>0</v>
      </c>
      <c r="K752">
        <v>0</v>
      </c>
      <c r="L752" t="str">
        <f t="shared" si="22"/>
        <v>49-12-2021</v>
      </c>
      <c r="M752">
        <f t="shared" si="23"/>
        <v>2021</v>
      </c>
    </row>
    <row r="753" spans="1:13" x14ac:dyDescent="0.2">
      <c r="A753" s="1">
        <v>44543</v>
      </c>
      <c r="B753">
        <v>50</v>
      </c>
      <c r="C753">
        <v>12</v>
      </c>
      <c r="D753">
        <v>4</v>
      </c>
      <c r="E753" t="s">
        <v>24</v>
      </c>
      <c r="F753">
        <v>0</v>
      </c>
      <c r="G753">
        <f>INDEX(weekly!$E$2:$E$188,MATCH('Marketing Campaigns 22.11.22'!L753,weekly!$H$2:$H$188,0))</f>
        <v>3241.9664516129033</v>
      </c>
      <c r="H753">
        <f>INDEX(weekly!$D$2:$D$188,MATCH('Marketing Campaigns 22.11.22'!L753,weekly!$H$2:$H$188,0))</f>
        <v>676.9677419354839</v>
      </c>
      <c r="I753">
        <f>INDEX(weekly!$F$2:$F$188,MATCH('Marketing Campaigns 22.11.22'!L753,weekly!$H$2:$H$188,0))</f>
        <v>0</v>
      </c>
      <c r="J753">
        <v>0</v>
      </c>
      <c r="K753">
        <v>0</v>
      </c>
      <c r="L753" t="str">
        <f t="shared" si="22"/>
        <v>50-12-2021</v>
      </c>
      <c r="M753">
        <f t="shared" si="23"/>
        <v>2021</v>
      </c>
    </row>
    <row r="754" spans="1:13" x14ac:dyDescent="0.2">
      <c r="A754" s="1">
        <v>44543</v>
      </c>
      <c r="B754">
        <v>50</v>
      </c>
      <c r="C754">
        <v>12</v>
      </c>
      <c r="D754">
        <v>4</v>
      </c>
      <c r="E754" t="s">
        <v>39</v>
      </c>
      <c r="F754">
        <v>0</v>
      </c>
      <c r="G754">
        <f>INDEX(weekly!$E$2:$E$188,MATCH('Marketing Campaigns 22.11.22'!L754,weekly!$H$2:$H$188,0))</f>
        <v>3241.9664516129033</v>
      </c>
      <c r="H754">
        <f>INDEX(weekly!$D$2:$D$188,MATCH('Marketing Campaigns 22.11.22'!L754,weekly!$H$2:$H$188,0))</f>
        <v>676.9677419354839</v>
      </c>
      <c r="I754">
        <f>INDEX(weekly!$F$2:$F$188,MATCH('Marketing Campaigns 22.11.22'!L754,weekly!$H$2:$H$188,0))</f>
        <v>0</v>
      </c>
      <c r="J754">
        <v>0</v>
      </c>
      <c r="K754">
        <v>0</v>
      </c>
      <c r="L754" t="str">
        <f t="shared" si="22"/>
        <v>50-12-2021</v>
      </c>
      <c r="M754">
        <f t="shared" si="23"/>
        <v>2021</v>
      </c>
    </row>
    <row r="755" spans="1:13" x14ac:dyDescent="0.2">
      <c r="A755" s="1">
        <v>44543</v>
      </c>
      <c r="B755">
        <v>50</v>
      </c>
      <c r="C755">
        <v>12</v>
      </c>
      <c r="D755">
        <v>4</v>
      </c>
      <c r="E755" t="s">
        <v>40</v>
      </c>
      <c r="F755">
        <v>0</v>
      </c>
      <c r="G755">
        <f>INDEX(weekly!$E$2:$E$188,MATCH('Marketing Campaigns 22.11.22'!L755,weekly!$H$2:$H$188,0))</f>
        <v>3241.9664516129033</v>
      </c>
      <c r="H755">
        <f>INDEX(weekly!$D$2:$D$188,MATCH('Marketing Campaigns 22.11.22'!L755,weekly!$H$2:$H$188,0))</f>
        <v>676.9677419354839</v>
      </c>
      <c r="I755">
        <f>INDEX(weekly!$F$2:$F$188,MATCH('Marketing Campaigns 22.11.22'!L755,weekly!$H$2:$H$188,0))</f>
        <v>0</v>
      </c>
      <c r="J755">
        <v>0</v>
      </c>
      <c r="K755">
        <v>0</v>
      </c>
      <c r="L755" t="str">
        <f t="shared" si="22"/>
        <v>50-12-2021</v>
      </c>
      <c r="M755">
        <f t="shared" si="23"/>
        <v>2021</v>
      </c>
    </row>
    <row r="756" spans="1:13" x14ac:dyDescent="0.2">
      <c r="A756" s="1">
        <v>44543</v>
      </c>
      <c r="B756">
        <v>50</v>
      </c>
      <c r="C756">
        <v>12</v>
      </c>
      <c r="D756">
        <v>4</v>
      </c>
      <c r="E756" t="s">
        <v>41</v>
      </c>
      <c r="F756">
        <v>0</v>
      </c>
      <c r="G756">
        <f>INDEX(weekly!$E$2:$E$188,MATCH('Marketing Campaigns 22.11.22'!L756,weekly!$H$2:$H$188,0))</f>
        <v>3241.9664516129033</v>
      </c>
      <c r="H756">
        <f>INDEX(weekly!$D$2:$D$188,MATCH('Marketing Campaigns 22.11.22'!L756,weekly!$H$2:$H$188,0))</f>
        <v>676.9677419354839</v>
      </c>
      <c r="I756">
        <f>INDEX(weekly!$F$2:$F$188,MATCH('Marketing Campaigns 22.11.22'!L756,weekly!$H$2:$H$188,0))</f>
        <v>0</v>
      </c>
      <c r="J756">
        <v>0</v>
      </c>
      <c r="K756">
        <v>0</v>
      </c>
      <c r="L756" t="str">
        <f t="shared" si="22"/>
        <v>50-12-2021</v>
      </c>
      <c r="M756">
        <f t="shared" si="23"/>
        <v>2021</v>
      </c>
    </row>
    <row r="757" spans="1:13" x14ac:dyDescent="0.2">
      <c r="A757" s="1">
        <v>44543</v>
      </c>
      <c r="B757">
        <v>50</v>
      </c>
      <c r="C757">
        <v>12</v>
      </c>
      <c r="D757">
        <v>4</v>
      </c>
      <c r="E757" t="s">
        <v>42</v>
      </c>
      <c r="F757">
        <v>0</v>
      </c>
      <c r="G757">
        <f>INDEX(weekly!$E$2:$E$188,MATCH('Marketing Campaigns 22.11.22'!L757,weekly!$H$2:$H$188,0))</f>
        <v>3241.9664516129033</v>
      </c>
      <c r="H757">
        <f>INDEX(weekly!$D$2:$D$188,MATCH('Marketing Campaigns 22.11.22'!L757,weekly!$H$2:$H$188,0))</f>
        <v>676.9677419354839</v>
      </c>
      <c r="I757">
        <f>INDEX(weekly!$F$2:$F$188,MATCH('Marketing Campaigns 22.11.22'!L757,weekly!$H$2:$H$188,0))</f>
        <v>0</v>
      </c>
      <c r="J757">
        <v>0</v>
      </c>
      <c r="K757">
        <v>0</v>
      </c>
      <c r="L757" t="str">
        <f t="shared" si="22"/>
        <v>50-12-2021</v>
      </c>
      <c r="M757">
        <f t="shared" si="23"/>
        <v>2021</v>
      </c>
    </row>
    <row r="758" spans="1:13" x14ac:dyDescent="0.2">
      <c r="A758" s="1">
        <v>44543</v>
      </c>
      <c r="B758">
        <v>50</v>
      </c>
      <c r="C758">
        <v>12</v>
      </c>
      <c r="D758">
        <v>4</v>
      </c>
      <c r="E758" t="s">
        <v>43</v>
      </c>
      <c r="F758">
        <v>0</v>
      </c>
      <c r="G758">
        <f>INDEX(weekly!$E$2:$E$188,MATCH('Marketing Campaigns 22.11.22'!L758,weekly!$H$2:$H$188,0))</f>
        <v>3241.9664516129033</v>
      </c>
      <c r="H758">
        <f>INDEX(weekly!$D$2:$D$188,MATCH('Marketing Campaigns 22.11.22'!L758,weekly!$H$2:$H$188,0))</f>
        <v>676.9677419354839</v>
      </c>
      <c r="I758">
        <f>INDEX(weekly!$F$2:$F$188,MATCH('Marketing Campaigns 22.11.22'!L758,weekly!$H$2:$H$188,0))</f>
        <v>0</v>
      </c>
      <c r="J758">
        <v>0</v>
      </c>
      <c r="K758">
        <v>0</v>
      </c>
      <c r="L758" t="str">
        <f t="shared" si="22"/>
        <v>50-12-2021</v>
      </c>
      <c r="M758">
        <f t="shared" si="23"/>
        <v>2021</v>
      </c>
    </row>
    <row r="759" spans="1:13" x14ac:dyDescent="0.2">
      <c r="A759" s="1">
        <v>44543</v>
      </c>
      <c r="B759">
        <v>50</v>
      </c>
      <c r="C759">
        <v>12</v>
      </c>
      <c r="D759">
        <v>4</v>
      </c>
      <c r="E759" t="s">
        <v>44</v>
      </c>
      <c r="F759">
        <v>0</v>
      </c>
      <c r="G759">
        <f>INDEX(weekly!$E$2:$E$188,MATCH('Marketing Campaigns 22.11.22'!L759,weekly!$H$2:$H$188,0))</f>
        <v>3241.9664516129033</v>
      </c>
      <c r="H759">
        <f>INDEX(weekly!$D$2:$D$188,MATCH('Marketing Campaigns 22.11.22'!L759,weekly!$H$2:$H$188,0))</f>
        <v>676.9677419354839</v>
      </c>
      <c r="I759">
        <f>INDEX(weekly!$F$2:$F$188,MATCH('Marketing Campaigns 22.11.22'!L759,weekly!$H$2:$H$188,0))</f>
        <v>0</v>
      </c>
      <c r="J759">
        <v>0</v>
      </c>
      <c r="K759">
        <v>0</v>
      </c>
      <c r="L759" t="str">
        <f t="shared" si="22"/>
        <v>50-12-2021</v>
      </c>
      <c r="M759">
        <f t="shared" si="23"/>
        <v>2021</v>
      </c>
    </row>
    <row r="760" spans="1:13" x14ac:dyDescent="0.2">
      <c r="A760" s="1">
        <v>44543</v>
      </c>
      <c r="B760">
        <v>50</v>
      </c>
      <c r="C760">
        <v>12</v>
      </c>
      <c r="D760">
        <v>4</v>
      </c>
      <c r="E760" t="s">
        <v>45</v>
      </c>
      <c r="F760">
        <v>0</v>
      </c>
      <c r="G760">
        <f>INDEX(weekly!$E$2:$E$188,MATCH('Marketing Campaigns 22.11.22'!L760,weekly!$H$2:$H$188,0))</f>
        <v>3241.9664516129033</v>
      </c>
      <c r="H760">
        <f>INDEX(weekly!$D$2:$D$188,MATCH('Marketing Campaigns 22.11.22'!L760,weekly!$H$2:$H$188,0))</f>
        <v>676.9677419354839</v>
      </c>
      <c r="I760">
        <f>INDEX(weekly!$F$2:$F$188,MATCH('Marketing Campaigns 22.11.22'!L760,weekly!$H$2:$H$188,0))</f>
        <v>0</v>
      </c>
      <c r="J760">
        <v>0</v>
      </c>
      <c r="K760">
        <v>0</v>
      </c>
      <c r="L760" t="str">
        <f t="shared" si="22"/>
        <v>50-12-2021</v>
      </c>
      <c r="M760">
        <f t="shared" si="23"/>
        <v>2021</v>
      </c>
    </row>
    <row r="761" spans="1:13" x14ac:dyDescent="0.2">
      <c r="A761" s="1">
        <v>44543</v>
      </c>
      <c r="B761">
        <v>50</v>
      </c>
      <c r="C761">
        <v>12</v>
      </c>
      <c r="D761">
        <v>4</v>
      </c>
      <c r="E761" t="s">
        <v>46</v>
      </c>
      <c r="F761">
        <v>0</v>
      </c>
      <c r="G761">
        <f>INDEX(weekly!$E$2:$E$188,MATCH('Marketing Campaigns 22.11.22'!L761,weekly!$H$2:$H$188,0))</f>
        <v>3241.9664516129033</v>
      </c>
      <c r="H761">
        <f>INDEX(weekly!$D$2:$D$188,MATCH('Marketing Campaigns 22.11.22'!L761,weekly!$H$2:$H$188,0))</f>
        <v>676.9677419354839</v>
      </c>
      <c r="I761">
        <f>INDEX(weekly!$F$2:$F$188,MATCH('Marketing Campaigns 22.11.22'!L761,weekly!$H$2:$H$188,0))</f>
        <v>0</v>
      </c>
      <c r="J761">
        <v>0</v>
      </c>
      <c r="K761">
        <v>0</v>
      </c>
      <c r="L761" t="str">
        <f t="shared" si="22"/>
        <v>50-12-2021</v>
      </c>
      <c r="M761">
        <f t="shared" si="23"/>
        <v>2021</v>
      </c>
    </row>
    <row r="762" spans="1:13" x14ac:dyDescent="0.2">
      <c r="A762" s="1">
        <v>44543</v>
      </c>
      <c r="B762">
        <v>50</v>
      </c>
      <c r="C762">
        <v>12</v>
      </c>
      <c r="D762">
        <v>4</v>
      </c>
      <c r="E762" t="s">
        <v>47</v>
      </c>
      <c r="F762">
        <v>0</v>
      </c>
      <c r="G762">
        <f>INDEX(weekly!$E$2:$E$188,MATCH('Marketing Campaigns 22.11.22'!L762,weekly!$H$2:$H$188,0))</f>
        <v>3241.9664516129033</v>
      </c>
      <c r="H762">
        <f>INDEX(weekly!$D$2:$D$188,MATCH('Marketing Campaigns 22.11.22'!L762,weekly!$H$2:$H$188,0))</f>
        <v>676.9677419354839</v>
      </c>
      <c r="I762">
        <f>INDEX(weekly!$F$2:$F$188,MATCH('Marketing Campaigns 22.11.22'!L762,weekly!$H$2:$H$188,0))</f>
        <v>0</v>
      </c>
      <c r="J762">
        <v>0</v>
      </c>
      <c r="K762">
        <v>0</v>
      </c>
      <c r="L762" t="str">
        <f t="shared" si="22"/>
        <v>50-12-2021</v>
      </c>
      <c r="M762">
        <f t="shared" si="23"/>
        <v>2021</v>
      </c>
    </row>
    <row r="763" spans="1:13" x14ac:dyDescent="0.2">
      <c r="A763" s="1">
        <v>44543</v>
      </c>
      <c r="B763">
        <v>50</v>
      </c>
      <c r="C763">
        <v>12</v>
      </c>
      <c r="D763">
        <v>4</v>
      </c>
      <c r="E763" t="s">
        <v>48</v>
      </c>
      <c r="F763">
        <v>0</v>
      </c>
      <c r="G763">
        <f>INDEX(weekly!$E$2:$E$188,MATCH('Marketing Campaigns 22.11.22'!L763,weekly!$H$2:$H$188,0))</f>
        <v>3241.9664516129033</v>
      </c>
      <c r="H763">
        <f>INDEX(weekly!$D$2:$D$188,MATCH('Marketing Campaigns 22.11.22'!L763,weekly!$H$2:$H$188,0))</f>
        <v>676.9677419354839</v>
      </c>
      <c r="I763">
        <f>INDEX(weekly!$F$2:$F$188,MATCH('Marketing Campaigns 22.11.22'!L763,weekly!$H$2:$H$188,0))</f>
        <v>0</v>
      </c>
      <c r="J763">
        <v>0</v>
      </c>
      <c r="K763">
        <v>0</v>
      </c>
      <c r="L763" t="str">
        <f t="shared" si="22"/>
        <v>50-12-2021</v>
      </c>
      <c r="M763">
        <f t="shared" si="23"/>
        <v>2021</v>
      </c>
    </row>
    <row r="764" spans="1:13" x14ac:dyDescent="0.2">
      <c r="A764" s="1">
        <v>44543</v>
      </c>
      <c r="B764">
        <v>50</v>
      </c>
      <c r="C764">
        <v>12</v>
      </c>
      <c r="D764">
        <v>4</v>
      </c>
      <c r="E764" t="s">
        <v>49</v>
      </c>
      <c r="F764">
        <v>0</v>
      </c>
      <c r="G764">
        <f>INDEX(weekly!$E$2:$E$188,MATCH('Marketing Campaigns 22.11.22'!L764,weekly!$H$2:$H$188,0))</f>
        <v>3241.9664516129033</v>
      </c>
      <c r="H764">
        <f>INDEX(weekly!$D$2:$D$188,MATCH('Marketing Campaigns 22.11.22'!L764,weekly!$H$2:$H$188,0))</f>
        <v>676.9677419354839</v>
      </c>
      <c r="I764">
        <f>INDEX(weekly!$F$2:$F$188,MATCH('Marketing Campaigns 22.11.22'!L764,weekly!$H$2:$H$188,0))</f>
        <v>0</v>
      </c>
      <c r="J764">
        <v>0</v>
      </c>
      <c r="K764">
        <v>0</v>
      </c>
      <c r="L764" t="str">
        <f t="shared" si="22"/>
        <v>50-12-2021</v>
      </c>
      <c r="M764">
        <f t="shared" si="23"/>
        <v>2021</v>
      </c>
    </row>
    <row r="765" spans="1:13" x14ac:dyDescent="0.2">
      <c r="A765" s="1">
        <v>44543</v>
      </c>
      <c r="B765">
        <v>50</v>
      </c>
      <c r="C765">
        <v>12</v>
      </c>
      <c r="D765">
        <v>4</v>
      </c>
      <c r="E765" t="s">
        <v>50</v>
      </c>
      <c r="F765">
        <v>0</v>
      </c>
      <c r="G765">
        <f>INDEX(weekly!$E$2:$E$188,MATCH('Marketing Campaigns 22.11.22'!L765,weekly!$H$2:$H$188,0))</f>
        <v>3241.9664516129033</v>
      </c>
      <c r="H765">
        <f>INDEX(weekly!$D$2:$D$188,MATCH('Marketing Campaigns 22.11.22'!L765,weekly!$H$2:$H$188,0))</f>
        <v>676.9677419354839</v>
      </c>
      <c r="I765">
        <f>INDEX(weekly!$F$2:$F$188,MATCH('Marketing Campaigns 22.11.22'!L765,weekly!$H$2:$H$188,0))</f>
        <v>0</v>
      </c>
      <c r="J765">
        <v>0</v>
      </c>
      <c r="K765">
        <v>0</v>
      </c>
      <c r="L765" t="str">
        <f t="shared" si="22"/>
        <v>50-12-2021</v>
      </c>
      <c r="M765">
        <f t="shared" si="23"/>
        <v>2021</v>
      </c>
    </row>
    <row r="766" spans="1:13" x14ac:dyDescent="0.2">
      <c r="A766" s="1">
        <v>44543</v>
      </c>
      <c r="B766">
        <v>50</v>
      </c>
      <c r="C766">
        <v>12</v>
      </c>
      <c r="D766">
        <v>4</v>
      </c>
      <c r="E766" t="s">
        <v>51</v>
      </c>
      <c r="F766">
        <v>0</v>
      </c>
      <c r="G766">
        <f>INDEX(weekly!$E$2:$E$188,MATCH('Marketing Campaigns 22.11.22'!L766,weekly!$H$2:$H$188,0))</f>
        <v>3241.9664516129033</v>
      </c>
      <c r="H766">
        <f>INDEX(weekly!$D$2:$D$188,MATCH('Marketing Campaigns 22.11.22'!L766,weekly!$H$2:$H$188,0))</f>
        <v>676.9677419354839</v>
      </c>
      <c r="I766">
        <f>INDEX(weekly!$F$2:$F$188,MATCH('Marketing Campaigns 22.11.22'!L766,weekly!$H$2:$H$188,0))</f>
        <v>0</v>
      </c>
      <c r="J766">
        <v>0</v>
      </c>
      <c r="K766">
        <v>0</v>
      </c>
      <c r="L766" t="str">
        <f t="shared" si="22"/>
        <v>50-12-2021</v>
      </c>
      <c r="M766">
        <f t="shared" si="23"/>
        <v>2021</v>
      </c>
    </row>
    <row r="767" spans="1:13" x14ac:dyDescent="0.2">
      <c r="A767" s="1">
        <v>44543</v>
      </c>
      <c r="B767">
        <v>50</v>
      </c>
      <c r="C767">
        <v>12</v>
      </c>
      <c r="D767">
        <v>4</v>
      </c>
      <c r="E767" t="s">
        <v>52</v>
      </c>
      <c r="F767">
        <v>0</v>
      </c>
      <c r="G767">
        <f>INDEX(weekly!$E$2:$E$188,MATCH('Marketing Campaigns 22.11.22'!L767,weekly!$H$2:$H$188,0))</f>
        <v>3241.9664516129033</v>
      </c>
      <c r="H767">
        <f>INDEX(weekly!$D$2:$D$188,MATCH('Marketing Campaigns 22.11.22'!L767,weekly!$H$2:$H$188,0))</f>
        <v>676.9677419354839</v>
      </c>
      <c r="I767">
        <f>INDEX(weekly!$F$2:$F$188,MATCH('Marketing Campaigns 22.11.22'!L767,weekly!$H$2:$H$188,0))</f>
        <v>0</v>
      </c>
      <c r="J767">
        <v>0</v>
      </c>
      <c r="K767">
        <v>0</v>
      </c>
      <c r="L767" t="str">
        <f t="shared" si="22"/>
        <v>50-12-2021</v>
      </c>
      <c r="M767">
        <f t="shared" si="23"/>
        <v>2021</v>
      </c>
    </row>
    <row r="768" spans="1:13" x14ac:dyDescent="0.2">
      <c r="A768" s="1">
        <v>44550</v>
      </c>
      <c r="B768">
        <v>51</v>
      </c>
      <c r="C768">
        <v>12</v>
      </c>
      <c r="D768">
        <v>4</v>
      </c>
      <c r="E768" t="s">
        <v>24</v>
      </c>
      <c r="F768">
        <v>0</v>
      </c>
      <c r="G768">
        <f>INDEX(weekly!$E$2:$E$188,MATCH('Marketing Campaigns 22.11.22'!L768,weekly!$H$2:$H$188,0))</f>
        <v>3241.9664516129033</v>
      </c>
      <c r="H768">
        <f>INDEX(weekly!$D$2:$D$188,MATCH('Marketing Campaigns 22.11.22'!L768,weekly!$H$2:$H$188,0))</f>
        <v>676.9677419354839</v>
      </c>
      <c r="I768">
        <f>INDEX(weekly!$F$2:$F$188,MATCH('Marketing Campaigns 22.11.22'!L768,weekly!$H$2:$H$188,0))</f>
        <v>0</v>
      </c>
      <c r="J768">
        <v>0</v>
      </c>
      <c r="K768">
        <v>0</v>
      </c>
      <c r="L768" t="str">
        <f t="shared" si="22"/>
        <v>51-12-2021</v>
      </c>
      <c r="M768">
        <f t="shared" si="23"/>
        <v>2021</v>
      </c>
    </row>
    <row r="769" spans="1:13" x14ac:dyDescent="0.2">
      <c r="A769" s="1">
        <v>44550</v>
      </c>
      <c r="B769">
        <v>51</v>
      </c>
      <c r="C769">
        <v>12</v>
      </c>
      <c r="D769">
        <v>4</v>
      </c>
      <c r="E769" t="s">
        <v>39</v>
      </c>
      <c r="F769">
        <v>0</v>
      </c>
      <c r="G769">
        <f>INDEX(weekly!$E$2:$E$188,MATCH('Marketing Campaigns 22.11.22'!L769,weekly!$H$2:$H$188,0))</f>
        <v>3241.9664516129033</v>
      </c>
      <c r="H769">
        <f>INDEX(weekly!$D$2:$D$188,MATCH('Marketing Campaigns 22.11.22'!L769,weekly!$H$2:$H$188,0))</f>
        <v>676.9677419354839</v>
      </c>
      <c r="I769">
        <f>INDEX(weekly!$F$2:$F$188,MATCH('Marketing Campaigns 22.11.22'!L769,weekly!$H$2:$H$188,0))</f>
        <v>0</v>
      </c>
      <c r="J769">
        <v>0</v>
      </c>
      <c r="K769">
        <v>0</v>
      </c>
      <c r="L769" t="str">
        <f t="shared" si="22"/>
        <v>51-12-2021</v>
      </c>
      <c r="M769">
        <f t="shared" si="23"/>
        <v>2021</v>
      </c>
    </row>
    <row r="770" spans="1:13" x14ac:dyDescent="0.2">
      <c r="A770" s="1">
        <v>44550</v>
      </c>
      <c r="B770">
        <v>51</v>
      </c>
      <c r="C770">
        <v>12</v>
      </c>
      <c r="D770">
        <v>4</v>
      </c>
      <c r="E770" t="s">
        <v>40</v>
      </c>
      <c r="F770">
        <v>0</v>
      </c>
      <c r="G770">
        <f>INDEX(weekly!$E$2:$E$188,MATCH('Marketing Campaigns 22.11.22'!L770,weekly!$H$2:$H$188,0))</f>
        <v>3241.9664516129033</v>
      </c>
      <c r="H770">
        <f>INDEX(weekly!$D$2:$D$188,MATCH('Marketing Campaigns 22.11.22'!L770,weekly!$H$2:$H$188,0))</f>
        <v>676.9677419354839</v>
      </c>
      <c r="I770">
        <f>INDEX(weekly!$F$2:$F$188,MATCH('Marketing Campaigns 22.11.22'!L770,weekly!$H$2:$H$188,0))</f>
        <v>0</v>
      </c>
      <c r="J770">
        <v>0</v>
      </c>
      <c r="K770">
        <v>0</v>
      </c>
      <c r="L770" t="str">
        <f t="shared" si="22"/>
        <v>51-12-2021</v>
      </c>
      <c r="M770">
        <f t="shared" si="23"/>
        <v>2021</v>
      </c>
    </row>
    <row r="771" spans="1:13" x14ac:dyDescent="0.2">
      <c r="A771" s="1">
        <v>44550</v>
      </c>
      <c r="B771">
        <v>51</v>
      </c>
      <c r="C771">
        <v>12</v>
      </c>
      <c r="D771">
        <v>4</v>
      </c>
      <c r="E771" t="s">
        <v>41</v>
      </c>
      <c r="F771">
        <v>0</v>
      </c>
      <c r="G771">
        <f>INDEX(weekly!$E$2:$E$188,MATCH('Marketing Campaigns 22.11.22'!L771,weekly!$H$2:$H$188,0))</f>
        <v>3241.9664516129033</v>
      </c>
      <c r="H771">
        <f>INDEX(weekly!$D$2:$D$188,MATCH('Marketing Campaigns 22.11.22'!L771,weekly!$H$2:$H$188,0))</f>
        <v>676.9677419354839</v>
      </c>
      <c r="I771">
        <f>INDEX(weekly!$F$2:$F$188,MATCH('Marketing Campaigns 22.11.22'!L771,weekly!$H$2:$H$188,0))</f>
        <v>0</v>
      </c>
      <c r="J771">
        <v>0</v>
      </c>
      <c r="K771">
        <v>0</v>
      </c>
      <c r="L771" t="str">
        <f t="shared" si="22"/>
        <v>51-12-2021</v>
      </c>
      <c r="M771">
        <f t="shared" si="23"/>
        <v>2021</v>
      </c>
    </row>
    <row r="772" spans="1:13" x14ac:dyDescent="0.2">
      <c r="A772" s="1">
        <v>44550</v>
      </c>
      <c r="B772">
        <v>51</v>
      </c>
      <c r="C772">
        <v>12</v>
      </c>
      <c r="D772">
        <v>4</v>
      </c>
      <c r="E772" t="s">
        <v>42</v>
      </c>
      <c r="F772">
        <v>0</v>
      </c>
      <c r="G772">
        <f>INDEX(weekly!$E$2:$E$188,MATCH('Marketing Campaigns 22.11.22'!L772,weekly!$H$2:$H$188,0))</f>
        <v>3241.9664516129033</v>
      </c>
      <c r="H772">
        <f>INDEX(weekly!$D$2:$D$188,MATCH('Marketing Campaigns 22.11.22'!L772,weekly!$H$2:$H$188,0))</f>
        <v>676.9677419354839</v>
      </c>
      <c r="I772">
        <f>INDEX(weekly!$F$2:$F$188,MATCH('Marketing Campaigns 22.11.22'!L772,weekly!$H$2:$H$188,0))</f>
        <v>0</v>
      </c>
      <c r="J772">
        <v>0</v>
      </c>
      <c r="K772">
        <v>0</v>
      </c>
      <c r="L772" t="str">
        <f t="shared" ref="L772:L835" si="24">B772&amp;"-"&amp;C772&amp;"-"&amp;M772</f>
        <v>51-12-2021</v>
      </c>
      <c r="M772">
        <f t="shared" ref="M772:M835" si="25">YEAR(A772)</f>
        <v>2021</v>
      </c>
    </row>
    <row r="773" spans="1:13" x14ac:dyDescent="0.2">
      <c r="A773" s="1">
        <v>44550</v>
      </c>
      <c r="B773">
        <v>51</v>
      </c>
      <c r="C773">
        <v>12</v>
      </c>
      <c r="D773">
        <v>4</v>
      </c>
      <c r="E773" t="s">
        <v>43</v>
      </c>
      <c r="F773">
        <v>0</v>
      </c>
      <c r="G773">
        <f>INDEX(weekly!$E$2:$E$188,MATCH('Marketing Campaigns 22.11.22'!L773,weekly!$H$2:$H$188,0))</f>
        <v>3241.9664516129033</v>
      </c>
      <c r="H773">
        <f>INDEX(weekly!$D$2:$D$188,MATCH('Marketing Campaigns 22.11.22'!L773,weekly!$H$2:$H$188,0))</f>
        <v>676.9677419354839</v>
      </c>
      <c r="I773">
        <f>INDEX(weekly!$F$2:$F$188,MATCH('Marketing Campaigns 22.11.22'!L773,weekly!$H$2:$H$188,0))</f>
        <v>0</v>
      </c>
      <c r="J773">
        <v>0</v>
      </c>
      <c r="K773">
        <v>0</v>
      </c>
      <c r="L773" t="str">
        <f t="shared" si="24"/>
        <v>51-12-2021</v>
      </c>
      <c r="M773">
        <f t="shared" si="25"/>
        <v>2021</v>
      </c>
    </row>
    <row r="774" spans="1:13" x14ac:dyDescent="0.2">
      <c r="A774" s="1">
        <v>44550</v>
      </c>
      <c r="B774">
        <v>51</v>
      </c>
      <c r="C774">
        <v>12</v>
      </c>
      <c r="D774">
        <v>4</v>
      </c>
      <c r="E774" t="s">
        <v>44</v>
      </c>
      <c r="F774">
        <v>0</v>
      </c>
      <c r="G774">
        <f>INDEX(weekly!$E$2:$E$188,MATCH('Marketing Campaigns 22.11.22'!L774,weekly!$H$2:$H$188,0))</f>
        <v>3241.9664516129033</v>
      </c>
      <c r="H774">
        <f>INDEX(weekly!$D$2:$D$188,MATCH('Marketing Campaigns 22.11.22'!L774,weekly!$H$2:$H$188,0))</f>
        <v>676.9677419354839</v>
      </c>
      <c r="I774">
        <f>INDEX(weekly!$F$2:$F$188,MATCH('Marketing Campaigns 22.11.22'!L774,weekly!$H$2:$H$188,0))</f>
        <v>0</v>
      </c>
      <c r="J774">
        <v>0</v>
      </c>
      <c r="K774">
        <v>0</v>
      </c>
      <c r="L774" t="str">
        <f t="shared" si="24"/>
        <v>51-12-2021</v>
      </c>
      <c r="M774">
        <f t="shared" si="25"/>
        <v>2021</v>
      </c>
    </row>
    <row r="775" spans="1:13" x14ac:dyDescent="0.2">
      <c r="A775" s="1">
        <v>44550</v>
      </c>
      <c r="B775">
        <v>51</v>
      </c>
      <c r="C775">
        <v>12</v>
      </c>
      <c r="D775">
        <v>4</v>
      </c>
      <c r="E775" t="s">
        <v>45</v>
      </c>
      <c r="F775">
        <v>0</v>
      </c>
      <c r="G775">
        <f>INDEX(weekly!$E$2:$E$188,MATCH('Marketing Campaigns 22.11.22'!L775,weekly!$H$2:$H$188,0))</f>
        <v>3241.9664516129033</v>
      </c>
      <c r="H775">
        <f>INDEX(weekly!$D$2:$D$188,MATCH('Marketing Campaigns 22.11.22'!L775,weekly!$H$2:$H$188,0))</f>
        <v>676.9677419354839</v>
      </c>
      <c r="I775">
        <f>INDEX(weekly!$F$2:$F$188,MATCH('Marketing Campaigns 22.11.22'!L775,weekly!$H$2:$H$188,0))</f>
        <v>0</v>
      </c>
      <c r="J775">
        <v>0</v>
      </c>
      <c r="K775">
        <v>0</v>
      </c>
      <c r="L775" t="str">
        <f t="shared" si="24"/>
        <v>51-12-2021</v>
      </c>
      <c r="M775">
        <f t="shared" si="25"/>
        <v>2021</v>
      </c>
    </row>
    <row r="776" spans="1:13" x14ac:dyDescent="0.2">
      <c r="A776" s="1">
        <v>44550</v>
      </c>
      <c r="B776">
        <v>51</v>
      </c>
      <c r="C776">
        <v>12</v>
      </c>
      <c r="D776">
        <v>4</v>
      </c>
      <c r="E776" t="s">
        <v>46</v>
      </c>
      <c r="F776">
        <v>0</v>
      </c>
      <c r="G776">
        <f>INDEX(weekly!$E$2:$E$188,MATCH('Marketing Campaigns 22.11.22'!L776,weekly!$H$2:$H$188,0))</f>
        <v>3241.9664516129033</v>
      </c>
      <c r="H776">
        <f>INDEX(weekly!$D$2:$D$188,MATCH('Marketing Campaigns 22.11.22'!L776,weekly!$H$2:$H$188,0))</f>
        <v>676.9677419354839</v>
      </c>
      <c r="I776">
        <f>INDEX(weekly!$F$2:$F$188,MATCH('Marketing Campaigns 22.11.22'!L776,weekly!$H$2:$H$188,0))</f>
        <v>0</v>
      </c>
      <c r="J776">
        <v>0</v>
      </c>
      <c r="K776">
        <v>0</v>
      </c>
      <c r="L776" t="str">
        <f t="shared" si="24"/>
        <v>51-12-2021</v>
      </c>
      <c r="M776">
        <f t="shared" si="25"/>
        <v>2021</v>
      </c>
    </row>
    <row r="777" spans="1:13" x14ac:dyDescent="0.2">
      <c r="A777" s="1">
        <v>44550</v>
      </c>
      <c r="B777">
        <v>51</v>
      </c>
      <c r="C777">
        <v>12</v>
      </c>
      <c r="D777">
        <v>4</v>
      </c>
      <c r="E777" t="s">
        <v>47</v>
      </c>
      <c r="F777">
        <v>0</v>
      </c>
      <c r="G777">
        <f>INDEX(weekly!$E$2:$E$188,MATCH('Marketing Campaigns 22.11.22'!L777,weekly!$H$2:$H$188,0))</f>
        <v>3241.9664516129033</v>
      </c>
      <c r="H777">
        <f>INDEX(weekly!$D$2:$D$188,MATCH('Marketing Campaigns 22.11.22'!L777,weekly!$H$2:$H$188,0))</f>
        <v>676.9677419354839</v>
      </c>
      <c r="I777">
        <f>INDEX(weekly!$F$2:$F$188,MATCH('Marketing Campaigns 22.11.22'!L777,weekly!$H$2:$H$188,0))</f>
        <v>0</v>
      </c>
      <c r="J777">
        <v>0</v>
      </c>
      <c r="K777">
        <v>0</v>
      </c>
      <c r="L777" t="str">
        <f t="shared" si="24"/>
        <v>51-12-2021</v>
      </c>
      <c r="M777">
        <f t="shared" si="25"/>
        <v>2021</v>
      </c>
    </row>
    <row r="778" spans="1:13" x14ac:dyDescent="0.2">
      <c r="A778" s="1">
        <v>44550</v>
      </c>
      <c r="B778">
        <v>51</v>
      </c>
      <c r="C778">
        <v>12</v>
      </c>
      <c r="D778">
        <v>4</v>
      </c>
      <c r="E778" t="s">
        <v>48</v>
      </c>
      <c r="F778">
        <v>0</v>
      </c>
      <c r="G778">
        <f>INDEX(weekly!$E$2:$E$188,MATCH('Marketing Campaigns 22.11.22'!L778,weekly!$H$2:$H$188,0))</f>
        <v>3241.9664516129033</v>
      </c>
      <c r="H778">
        <f>INDEX(weekly!$D$2:$D$188,MATCH('Marketing Campaigns 22.11.22'!L778,weekly!$H$2:$H$188,0))</f>
        <v>676.9677419354839</v>
      </c>
      <c r="I778">
        <f>INDEX(weekly!$F$2:$F$188,MATCH('Marketing Campaigns 22.11.22'!L778,weekly!$H$2:$H$188,0))</f>
        <v>0</v>
      </c>
      <c r="J778">
        <v>0</v>
      </c>
      <c r="K778">
        <v>0</v>
      </c>
      <c r="L778" t="str">
        <f t="shared" si="24"/>
        <v>51-12-2021</v>
      </c>
      <c r="M778">
        <f t="shared" si="25"/>
        <v>2021</v>
      </c>
    </row>
    <row r="779" spans="1:13" x14ac:dyDescent="0.2">
      <c r="A779" s="1">
        <v>44550</v>
      </c>
      <c r="B779">
        <v>51</v>
      </c>
      <c r="C779">
        <v>12</v>
      </c>
      <c r="D779">
        <v>4</v>
      </c>
      <c r="E779" t="s">
        <v>49</v>
      </c>
      <c r="F779">
        <v>0</v>
      </c>
      <c r="G779">
        <f>INDEX(weekly!$E$2:$E$188,MATCH('Marketing Campaigns 22.11.22'!L779,weekly!$H$2:$H$188,0))</f>
        <v>3241.9664516129033</v>
      </c>
      <c r="H779">
        <f>INDEX(weekly!$D$2:$D$188,MATCH('Marketing Campaigns 22.11.22'!L779,weekly!$H$2:$H$188,0))</f>
        <v>676.9677419354839</v>
      </c>
      <c r="I779">
        <f>INDEX(weekly!$F$2:$F$188,MATCH('Marketing Campaigns 22.11.22'!L779,weekly!$H$2:$H$188,0))</f>
        <v>0</v>
      </c>
      <c r="J779">
        <v>0</v>
      </c>
      <c r="K779">
        <v>0</v>
      </c>
      <c r="L779" t="str">
        <f t="shared" si="24"/>
        <v>51-12-2021</v>
      </c>
      <c r="M779">
        <f t="shared" si="25"/>
        <v>2021</v>
      </c>
    </row>
    <row r="780" spans="1:13" x14ac:dyDescent="0.2">
      <c r="A780" s="1">
        <v>44550</v>
      </c>
      <c r="B780">
        <v>51</v>
      </c>
      <c r="C780">
        <v>12</v>
      </c>
      <c r="D780">
        <v>4</v>
      </c>
      <c r="E780" t="s">
        <v>50</v>
      </c>
      <c r="F780">
        <v>0</v>
      </c>
      <c r="G780">
        <f>INDEX(weekly!$E$2:$E$188,MATCH('Marketing Campaigns 22.11.22'!L780,weekly!$H$2:$H$188,0))</f>
        <v>3241.9664516129033</v>
      </c>
      <c r="H780">
        <f>INDEX(weekly!$D$2:$D$188,MATCH('Marketing Campaigns 22.11.22'!L780,weekly!$H$2:$H$188,0))</f>
        <v>676.9677419354839</v>
      </c>
      <c r="I780">
        <f>INDEX(weekly!$F$2:$F$188,MATCH('Marketing Campaigns 22.11.22'!L780,weekly!$H$2:$H$188,0))</f>
        <v>0</v>
      </c>
      <c r="J780">
        <v>0</v>
      </c>
      <c r="K780">
        <v>0</v>
      </c>
      <c r="L780" t="str">
        <f t="shared" si="24"/>
        <v>51-12-2021</v>
      </c>
      <c r="M780">
        <f t="shared" si="25"/>
        <v>2021</v>
      </c>
    </row>
    <row r="781" spans="1:13" x14ac:dyDescent="0.2">
      <c r="A781" s="1">
        <v>44550</v>
      </c>
      <c r="B781">
        <v>51</v>
      </c>
      <c r="C781">
        <v>12</v>
      </c>
      <c r="D781">
        <v>4</v>
      </c>
      <c r="E781" t="s">
        <v>51</v>
      </c>
      <c r="F781">
        <v>0</v>
      </c>
      <c r="G781">
        <f>INDEX(weekly!$E$2:$E$188,MATCH('Marketing Campaigns 22.11.22'!L781,weekly!$H$2:$H$188,0))</f>
        <v>3241.9664516129033</v>
      </c>
      <c r="H781">
        <f>INDEX(weekly!$D$2:$D$188,MATCH('Marketing Campaigns 22.11.22'!L781,weekly!$H$2:$H$188,0))</f>
        <v>676.9677419354839</v>
      </c>
      <c r="I781">
        <f>INDEX(weekly!$F$2:$F$188,MATCH('Marketing Campaigns 22.11.22'!L781,weekly!$H$2:$H$188,0))</f>
        <v>0</v>
      </c>
      <c r="J781">
        <v>0</v>
      </c>
      <c r="K781">
        <v>0</v>
      </c>
      <c r="L781" t="str">
        <f t="shared" si="24"/>
        <v>51-12-2021</v>
      </c>
      <c r="M781">
        <f t="shared" si="25"/>
        <v>2021</v>
      </c>
    </row>
    <row r="782" spans="1:13" x14ac:dyDescent="0.2">
      <c r="A782" s="1">
        <v>44550</v>
      </c>
      <c r="B782">
        <v>51</v>
      </c>
      <c r="C782">
        <v>12</v>
      </c>
      <c r="D782">
        <v>4</v>
      </c>
      <c r="E782" t="s">
        <v>52</v>
      </c>
      <c r="F782">
        <v>0</v>
      </c>
      <c r="G782">
        <f>INDEX(weekly!$E$2:$E$188,MATCH('Marketing Campaigns 22.11.22'!L782,weekly!$H$2:$H$188,0))</f>
        <v>3241.9664516129033</v>
      </c>
      <c r="H782">
        <f>INDEX(weekly!$D$2:$D$188,MATCH('Marketing Campaigns 22.11.22'!L782,weekly!$H$2:$H$188,0))</f>
        <v>676.9677419354839</v>
      </c>
      <c r="I782">
        <f>INDEX(weekly!$F$2:$F$188,MATCH('Marketing Campaigns 22.11.22'!L782,weekly!$H$2:$H$188,0))</f>
        <v>0</v>
      </c>
      <c r="J782">
        <v>0</v>
      </c>
      <c r="K782">
        <v>0</v>
      </c>
      <c r="L782" t="str">
        <f t="shared" si="24"/>
        <v>51-12-2021</v>
      </c>
      <c r="M782">
        <f t="shared" si="25"/>
        <v>2021</v>
      </c>
    </row>
    <row r="783" spans="1:13" x14ac:dyDescent="0.2">
      <c r="A783" s="1">
        <v>44557</v>
      </c>
      <c r="B783">
        <v>52</v>
      </c>
      <c r="C783">
        <v>12</v>
      </c>
      <c r="D783">
        <v>4</v>
      </c>
      <c r="E783" t="s">
        <v>24</v>
      </c>
      <c r="F783">
        <v>0</v>
      </c>
      <c r="G783">
        <f>INDEX(weekly!$E$2:$E$188,MATCH('Marketing Campaigns 22.11.22'!L783,weekly!$H$2:$H$188,0))</f>
        <v>2315.6903225806454</v>
      </c>
      <c r="H783">
        <f>INDEX(weekly!$D$2:$D$188,MATCH('Marketing Campaigns 22.11.22'!L783,weekly!$H$2:$H$188,0))</f>
        <v>483.54838709677415</v>
      </c>
      <c r="I783">
        <f>INDEX(weekly!$F$2:$F$188,MATCH('Marketing Campaigns 22.11.22'!L783,weekly!$H$2:$H$188,0))</f>
        <v>0</v>
      </c>
      <c r="J783">
        <v>0</v>
      </c>
      <c r="K783">
        <v>0</v>
      </c>
      <c r="L783" t="str">
        <f t="shared" si="24"/>
        <v>52-12-2021</v>
      </c>
      <c r="M783">
        <f t="shared" si="25"/>
        <v>2021</v>
      </c>
    </row>
    <row r="784" spans="1:13" x14ac:dyDescent="0.2">
      <c r="A784" s="1">
        <v>44557</v>
      </c>
      <c r="B784">
        <v>52</v>
      </c>
      <c r="C784">
        <v>12</v>
      </c>
      <c r="D784">
        <v>4</v>
      </c>
      <c r="E784" t="s">
        <v>39</v>
      </c>
      <c r="F784">
        <v>0</v>
      </c>
      <c r="G784">
        <f>INDEX(weekly!$E$2:$E$188,MATCH('Marketing Campaigns 22.11.22'!L784,weekly!$H$2:$H$188,0))</f>
        <v>2315.6903225806454</v>
      </c>
      <c r="H784">
        <f>INDEX(weekly!$D$2:$D$188,MATCH('Marketing Campaigns 22.11.22'!L784,weekly!$H$2:$H$188,0))</f>
        <v>483.54838709677415</v>
      </c>
      <c r="I784">
        <f>INDEX(weekly!$F$2:$F$188,MATCH('Marketing Campaigns 22.11.22'!L784,weekly!$H$2:$H$188,0))</f>
        <v>0</v>
      </c>
      <c r="J784">
        <v>0</v>
      </c>
      <c r="K784">
        <v>0</v>
      </c>
      <c r="L784" t="str">
        <f t="shared" si="24"/>
        <v>52-12-2021</v>
      </c>
      <c r="M784">
        <f t="shared" si="25"/>
        <v>2021</v>
      </c>
    </row>
    <row r="785" spans="1:13" x14ac:dyDescent="0.2">
      <c r="A785" s="1">
        <v>44557</v>
      </c>
      <c r="B785">
        <v>52</v>
      </c>
      <c r="C785">
        <v>12</v>
      </c>
      <c r="D785">
        <v>4</v>
      </c>
      <c r="E785" t="s">
        <v>40</v>
      </c>
      <c r="F785">
        <v>0</v>
      </c>
      <c r="G785">
        <f>INDEX(weekly!$E$2:$E$188,MATCH('Marketing Campaigns 22.11.22'!L785,weekly!$H$2:$H$188,0))</f>
        <v>2315.6903225806454</v>
      </c>
      <c r="H785">
        <f>INDEX(weekly!$D$2:$D$188,MATCH('Marketing Campaigns 22.11.22'!L785,weekly!$H$2:$H$188,0))</f>
        <v>483.54838709677415</v>
      </c>
      <c r="I785">
        <f>INDEX(weekly!$F$2:$F$188,MATCH('Marketing Campaigns 22.11.22'!L785,weekly!$H$2:$H$188,0))</f>
        <v>0</v>
      </c>
      <c r="J785">
        <v>0</v>
      </c>
      <c r="K785">
        <v>0</v>
      </c>
      <c r="L785" t="str">
        <f t="shared" si="24"/>
        <v>52-12-2021</v>
      </c>
      <c r="M785">
        <f t="shared" si="25"/>
        <v>2021</v>
      </c>
    </row>
    <row r="786" spans="1:13" x14ac:dyDescent="0.2">
      <c r="A786" s="1">
        <v>44557</v>
      </c>
      <c r="B786">
        <v>52</v>
      </c>
      <c r="C786">
        <v>12</v>
      </c>
      <c r="D786">
        <v>4</v>
      </c>
      <c r="E786" t="s">
        <v>41</v>
      </c>
      <c r="F786">
        <v>0</v>
      </c>
      <c r="G786">
        <f>INDEX(weekly!$E$2:$E$188,MATCH('Marketing Campaigns 22.11.22'!L786,weekly!$H$2:$H$188,0))</f>
        <v>2315.6903225806454</v>
      </c>
      <c r="H786">
        <f>INDEX(weekly!$D$2:$D$188,MATCH('Marketing Campaigns 22.11.22'!L786,weekly!$H$2:$H$188,0))</f>
        <v>483.54838709677415</v>
      </c>
      <c r="I786">
        <f>INDEX(weekly!$F$2:$F$188,MATCH('Marketing Campaigns 22.11.22'!L786,weekly!$H$2:$H$188,0))</f>
        <v>0</v>
      </c>
      <c r="J786">
        <v>0</v>
      </c>
      <c r="K786">
        <v>0</v>
      </c>
      <c r="L786" t="str">
        <f t="shared" si="24"/>
        <v>52-12-2021</v>
      </c>
      <c r="M786">
        <f t="shared" si="25"/>
        <v>2021</v>
      </c>
    </row>
    <row r="787" spans="1:13" x14ac:dyDescent="0.2">
      <c r="A787" s="1">
        <v>44557</v>
      </c>
      <c r="B787">
        <v>52</v>
      </c>
      <c r="C787">
        <v>12</v>
      </c>
      <c r="D787">
        <v>4</v>
      </c>
      <c r="E787" t="s">
        <v>42</v>
      </c>
      <c r="F787">
        <v>0</v>
      </c>
      <c r="G787">
        <f>INDEX(weekly!$E$2:$E$188,MATCH('Marketing Campaigns 22.11.22'!L787,weekly!$H$2:$H$188,0))</f>
        <v>2315.6903225806454</v>
      </c>
      <c r="H787">
        <f>INDEX(weekly!$D$2:$D$188,MATCH('Marketing Campaigns 22.11.22'!L787,weekly!$H$2:$H$188,0))</f>
        <v>483.54838709677415</v>
      </c>
      <c r="I787">
        <f>INDEX(weekly!$F$2:$F$188,MATCH('Marketing Campaigns 22.11.22'!L787,weekly!$H$2:$H$188,0))</f>
        <v>0</v>
      </c>
      <c r="J787">
        <v>0</v>
      </c>
      <c r="K787">
        <v>0</v>
      </c>
      <c r="L787" t="str">
        <f t="shared" si="24"/>
        <v>52-12-2021</v>
      </c>
      <c r="M787">
        <f t="shared" si="25"/>
        <v>2021</v>
      </c>
    </row>
    <row r="788" spans="1:13" x14ac:dyDescent="0.2">
      <c r="A788" s="1">
        <v>44557</v>
      </c>
      <c r="B788">
        <v>52</v>
      </c>
      <c r="C788">
        <v>12</v>
      </c>
      <c r="D788">
        <v>4</v>
      </c>
      <c r="E788" t="s">
        <v>43</v>
      </c>
      <c r="F788">
        <v>0</v>
      </c>
      <c r="G788">
        <f>INDEX(weekly!$E$2:$E$188,MATCH('Marketing Campaigns 22.11.22'!L788,weekly!$H$2:$H$188,0))</f>
        <v>2315.6903225806454</v>
      </c>
      <c r="H788">
        <f>INDEX(weekly!$D$2:$D$188,MATCH('Marketing Campaigns 22.11.22'!L788,weekly!$H$2:$H$188,0))</f>
        <v>483.54838709677415</v>
      </c>
      <c r="I788">
        <f>INDEX(weekly!$F$2:$F$188,MATCH('Marketing Campaigns 22.11.22'!L788,weekly!$H$2:$H$188,0))</f>
        <v>0</v>
      </c>
      <c r="J788">
        <v>0</v>
      </c>
      <c r="K788">
        <v>0</v>
      </c>
      <c r="L788" t="str">
        <f t="shared" si="24"/>
        <v>52-12-2021</v>
      </c>
      <c r="M788">
        <f t="shared" si="25"/>
        <v>2021</v>
      </c>
    </row>
    <row r="789" spans="1:13" x14ac:dyDescent="0.2">
      <c r="A789" s="1">
        <v>44557</v>
      </c>
      <c r="B789">
        <v>52</v>
      </c>
      <c r="C789">
        <v>12</v>
      </c>
      <c r="D789">
        <v>4</v>
      </c>
      <c r="E789" t="s">
        <v>44</v>
      </c>
      <c r="F789">
        <v>0</v>
      </c>
      <c r="G789">
        <f>INDEX(weekly!$E$2:$E$188,MATCH('Marketing Campaigns 22.11.22'!L789,weekly!$H$2:$H$188,0))</f>
        <v>2315.6903225806454</v>
      </c>
      <c r="H789">
        <f>INDEX(weekly!$D$2:$D$188,MATCH('Marketing Campaigns 22.11.22'!L789,weekly!$H$2:$H$188,0))</f>
        <v>483.54838709677415</v>
      </c>
      <c r="I789">
        <f>INDEX(weekly!$F$2:$F$188,MATCH('Marketing Campaigns 22.11.22'!L789,weekly!$H$2:$H$188,0))</f>
        <v>0</v>
      </c>
      <c r="J789">
        <v>0</v>
      </c>
      <c r="K789">
        <v>0</v>
      </c>
      <c r="L789" t="str">
        <f t="shared" si="24"/>
        <v>52-12-2021</v>
      </c>
      <c r="M789">
        <f t="shared" si="25"/>
        <v>2021</v>
      </c>
    </row>
    <row r="790" spans="1:13" x14ac:dyDescent="0.2">
      <c r="A790" s="1">
        <v>44557</v>
      </c>
      <c r="B790">
        <v>52</v>
      </c>
      <c r="C790">
        <v>12</v>
      </c>
      <c r="D790">
        <v>4</v>
      </c>
      <c r="E790" t="s">
        <v>45</v>
      </c>
      <c r="F790">
        <v>0</v>
      </c>
      <c r="G790">
        <f>INDEX(weekly!$E$2:$E$188,MATCH('Marketing Campaigns 22.11.22'!L790,weekly!$H$2:$H$188,0))</f>
        <v>2315.6903225806454</v>
      </c>
      <c r="H790">
        <f>INDEX(weekly!$D$2:$D$188,MATCH('Marketing Campaigns 22.11.22'!L790,weekly!$H$2:$H$188,0))</f>
        <v>483.54838709677415</v>
      </c>
      <c r="I790">
        <f>INDEX(weekly!$F$2:$F$188,MATCH('Marketing Campaigns 22.11.22'!L790,weekly!$H$2:$H$188,0))</f>
        <v>0</v>
      </c>
      <c r="J790">
        <v>0</v>
      </c>
      <c r="K790">
        <v>0</v>
      </c>
      <c r="L790" t="str">
        <f t="shared" si="24"/>
        <v>52-12-2021</v>
      </c>
      <c r="M790">
        <f t="shared" si="25"/>
        <v>2021</v>
      </c>
    </row>
    <row r="791" spans="1:13" x14ac:dyDescent="0.2">
      <c r="A791" s="1">
        <v>44557</v>
      </c>
      <c r="B791">
        <v>52</v>
      </c>
      <c r="C791">
        <v>12</v>
      </c>
      <c r="D791">
        <v>4</v>
      </c>
      <c r="E791" t="s">
        <v>46</v>
      </c>
      <c r="F791">
        <v>0</v>
      </c>
      <c r="G791">
        <f>INDEX(weekly!$E$2:$E$188,MATCH('Marketing Campaigns 22.11.22'!L791,weekly!$H$2:$H$188,0))</f>
        <v>2315.6903225806454</v>
      </c>
      <c r="H791">
        <f>INDEX(weekly!$D$2:$D$188,MATCH('Marketing Campaigns 22.11.22'!L791,weekly!$H$2:$H$188,0))</f>
        <v>483.54838709677415</v>
      </c>
      <c r="I791">
        <f>INDEX(weekly!$F$2:$F$188,MATCH('Marketing Campaigns 22.11.22'!L791,weekly!$H$2:$H$188,0))</f>
        <v>0</v>
      </c>
      <c r="J791">
        <v>0</v>
      </c>
      <c r="K791">
        <v>0</v>
      </c>
      <c r="L791" t="str">
        <f t="shared" si="24"/>
        <v>52-12-2021</v>
      </c>
      <c r="M791">
        <f t="shared" si="25"/>
        <v>2021</v>
      </c>
    </row>
    <row r="792" spans="1:13" x14ac:dyDescent="0.2">
      <c r="A792" s="1">
        <v>44557</v>
      </c>
      <c r="B792">
        <v>52</v>
      </c>
      <c r="C792">
        <v>12</v>
      </c>
      <c r="D792">
        <v>4</v>
      </c>
      <c r="E792" t="s">
        <v>47</v>
      </c>
      <c r="F792">
        <v>0</v>
      </c>
      <c r="G792">
        <f>INDEX(weekly!$E$2:$E$188,MATCH('Marketing Campaigns 22.11.22'!L792,weekly!$H$2:$H$188,0))</f>
        <v>2315.6903225806454</v>
      </c>
      <c r="H792">
        <f>INDEX(weekly!$D$2:$D$188,MATCH('Marketing Campaigns 22.11.22'!L792,weekly!$H$2:$H$188,0))</f>
        <v>483.54838709677415</v>
      </c>
      <c r="I792">
        <f>INDEX(weekly!$F$2:$F$188,MATCH('Marketing Campaigns 22.11.22'!L792,weekly!$H$2:$H$188,0))</f>
        <v>0</v>
      </c>
      <c r="J792">
        <v>0</v>
      </c>
      <c r="K792">
        <v>0</v>
      </c>
      <c r="L792" t="str">
        <f t="shared" si="24"/>
        <v>52-12-2021</v>
      </c>
      <c r="M792">
        <f t="shared" si="25"/>
        <v>2021</v>
      </c>
    </row>
    <row r="793" spans="1:13" x14ac:dyDescent="0.2">
      <c r="A793" s="1">
        <v>44557</v>
      </c>
      <c r="B793">
        <v>52</v>
      </c>
      <c r="C793">
        <v>12</v>
      </c>
      <c r="D793">
        <v>4</v>
      </c>
      <c r="E793" t="s">
        <v>48</v>
      </c>
      <c r="F793">
        <v>0</v>
      </c>
      <c r="G793">
        <f>INDEX(weekly!$E$2:$E$188,MATCH('Marketing Campaigns 22.11.22'!L793,weekly!$H$2:$H$188,0))</f>
        <v>2315.6903225806454</v>
      </c>
      <c r="H793">
        <f>INDEX(weekly!$D$2:$D$188,MATCH('Marketing Campaigns 22.11.22'!L793,weekly!$H$2:$H$188,0))</f>
        <v>483.54838709677415</v>
      </c>
      <c r="I793">
        <f>INDEX(weekly!$F$2:$F$188,MATCH('Marketing Campaigns 22.11.22'!L793,weekly!$H$2:$H$188,0))</f>
        <v>0</v>
      </c>
      <c r="J793">
        <v>0</v>
      </c>
      <c r="K793">
        <v>0</v>
      </c>
      <c r="L793" t="str">
        <f t="shared" si="24"/>
        <v>52-12-2021</v>
      </c>
      <c r="M793">
        <f t="shared" si="25"/>
        <v>2021</v>
      </c>
    </row>
    <row r="794" spans="1:13" x14ac:dyDescent="0.2">
      <c r="A794" s="1">
        <v>44557</v>
      </c>
      <c r="B794">
        <v>52</v>
      </c>
      <c r="C794">
        <v>12</v>
      </c>
      <c r="D794">
        <v>4</v>
      </c>
      <c r="E794" t="s">
        <v>49</v>
      </c>
      <c r="F794">
        <v>0</v>
      </c>
      <c r="G794">
        <f>INDEX(weekly!$E$2:$E$188,MATCH('Marketing Campaigns 22.11.22'!L794,weekly!$H$2:$H$188,0))</f>
        <v>2315.6903225806454</v>
      </c>
      <c r="H794">
        <f>INDEX(weekly!$D$2:$D$188,MATCH('Marketing Campaigns 22.11.22'!L794,weekly!$H$2:$H$188,0))</f>
        <v>483.54838709677415</v>
      </c>
      <c r="I794">
        <f>INDEX(weekly!$F$2:$F$188,MATCH('Marketing Campaigns 22.11.22'!L794,weekly!$H$2:$H$188,0))</f>
        <v>0</v>
      </c>
      <c r="J794">
        <v>0</v>
      </c>
      <c r="K794">
        <v>0</v>
      </c>
      <c r="L794" t="str">
        <f t="shared" si="24"/>
        <v>52-12-2021</v>
      </c>
      <c r="M794">
        <f t="shared" si="25"/>
        <v>2021</v>
      </c>
    </row>
    <row r="795" spans="1:13" x14ac:dyDescent="0.2">
      <c r="A795" s="1">
        <v>44557</v>
      </c>
      <c r="B795">
        <v>52</v>
      </c>
      <c r="C795">
        <v>12</v>
      </c>
      <c r="D795">
        <v>4</v>
      </c>
      <c r="E795" t="s">
        <v>50</v>
      </c>
      <c r="F795">
        <v>0</v>
      </c>
      <c r="G795">
        <f>INDEX(weekly!$E$2:$E$188,MATCH('Marketing Campaigns 22.11.22'!L795,weekly!$H$2:$H$188,0))</f>
        <v>2315.6903225806454</v>
      </c>
      <c r="H795">
        <f>INDEX(weekly!$D$2:$D$188,MATCH('Marketing Campaigns 22.11.22'!L795,weekly!$H$2:$H$188,0))</f>
        <v>483.54838709677415</v>
      </c>
      <c r="I795">
        <f>INDEX(weekly!$F$2:$F$188,MATCH('Marketing Campaigns 22.11.22'!L795,weekly!$H$2:$H$188,0))</f>
        <v>0</v>
      </c>
      <c r="J795">
        <v>0</v>
      </c>
      <c r="K795">
        <v>0</v>
      </c>
      <c r="L795" t="str">
        <f t="shared" si="24"/>
        <v>52-12-2021</v>
      </c>
      <c r="M795">
        <f t="shared" si="25"/>
        <v>2021</v>
      </c>
    </row>
    <row r="796" spans="1:13" x14ac:dyDescent="0.2">
      <c r="A796" s="1">
        <v>44557</v>
      </c>
      <c r="B796">
        <v>52</v>
      </c>
      <c r="C796">
        <v>12</v>
      </c>
      <c r="D796">
        <v>4</v>
      </c>
      <c r="E796" t="s">
        <v>51</v>
      </c>
      <c r="F796">
        <v>0</v>
      </c>
      <c r="G796">
        <f>INDEX(weekly!$E$2:$E$188,MATCH('Marketing Campaigns 22.11.22'!L796,weekly!$H$2:$H$188,0))</f>
        <v>2315.6903225806454</v>
      </c>
      <c r="H796">
        <f>INDEX(weekly!$D$2:$D$188,MATCH('Marketing Campaigns 22.11.22'!L796,weekly!$H$2:$H$188,0))</f>
        <v>483.54838709677415</v>
      </c>
      <c r="I796">
        <f>INDEX(weekly!$F$2:$F$188,MATCH('Marketing Campaigns 22.11.22'!L796,weekly!$H$2:$H$188,0))</f>
        <v>0</v>
      </c>
      <c r="J796">
        <v>0</v>
      </c>
      <c r="K796">
        <v>0</v>
      </c>
      <c r="L796" t="str">
        <f t="shared" si="24"/>
        <v>52-12-2021</v>
      </c>
      <c r="M796">
        <f t="shared" si="25"/>
        <v>2021</v>
      </c>
    </row>
    <row r="797" spans="1:13" x14ac:dyDescent="0.2">
      <c r="A797" s="1">
        <v>44557</v>
      </c>
      <c r="B797">
        <v>52</v>
      </c>
      <c r="C797">
        <v>12</v>
      </c>
      <c r="D797">
        <v>4</v>
      </c>
      <c r="E797" t="s">
        <v>52</v>
      </c>
      <c r="F797">
        <v>0</v>
      </c>
      <c r="G797">
        <f>INDEX(weekly!$E$2:$E$188,MATCH('Marketing Campaigns 22.11.22'!L797,weekly!$H$2:$H$188,0))</f>
        <v>2315.6903225806454</v>
      </c>
      <c r="H797">
        <f>INDEX(weekly!$D$2:$D$188,MATCH('Marketing Campaigns 22.11.22'!L797,weekly!$H$2:$H$188,0))</f>
        <v>483.54838709677415</v>
      </c>
      <c r="I797">
        <f>INDEX(weekly!$F$2:$F$188,MATCH('Marketing Campaigns 22.11.22'!L797,weekly!$H$2:$H$188,0))</f>
        <v>0</v>
      </c>
      <c r="J797">
        <v>0</v>
      </c>
      <c r="K797">
        <v>0</v>
      </c>
      <c r="L797" t="str">
        <f t="shared" si="24"/>
        <v>52-12-2021</v>
      </c>
      <c r="M797">
        <f t="shared" si="25"/>
        <v>2021</v>
      </c>
    </row>
    <row r="798" spans="1:13" x14ac:dyDescent="0.2">
      <c r="A798" s="1">
        <v>44564</v>
      </c>
      <c r="B798">
        <v>1</v>
      </c>
      <c r="C798">
        <v>1</v>
      </c>
      <c r="D798">
        <v>1</v>
      </c>
      <c r="E798" t="s">
        <v>24</v>
      </c>
      <c r="F798">
        <v>0</v>
      </c>
      <c r="G798">
        <f>INDEX(weekly!$E$2:$E$188,MATCH('Marketing Campaigns 22.11.22'!L798,weekly!$H$2:$H$188,0))</f>
        <v>5168.5538709677421</v>
      </c>
      <c r="H798">
        <f>INDEX(weekly!$D$2:$D$188,MATCH('Marketing Campaigns 22.11.22'!L798,weekly!$H$2:$H$188,0))</f>
        <v>793.70967741935488</v>
      </c>
      <c r="I798">
        <f>INDEX(weekly!$F$2:$F$188,MATCH('Marketing Campaigns 22.11.22'!L798,weekly!$H$2:$H$188,0))</f>
        <v>0</v>
      </c>
      <c r="J798">
        <v>0</v>
      </c>
      <c r="K798">
        <v>0</v>
      </c>
      <c r="L798" t="str">
        <f t="shared" si="24"/>
        <v>1-1-2022</v>
      </c>
      <c r="M798">
        <f t="shared" si="25"/>
        <v>2022</v>
      </c>
    </row>
    <row r="799" spans="1:13" x14ac:dyDescent="0.2">
      <c r="A799" s="1">
        <v>44564</v>
      </c>
      <c r="B799">
        <v>1</v>
      </c>
      <c r="C799">
        <v>1</v>
      </c>
      <c r="D799">
        <v>1</v>
      </c>
      <c r="E799" t="s">
        <v>39</v>
      </c>
      <c r="F799">
        <v>0</v>
      </c>
      <c r="G799">
        <f>INDEX(weekly!$E$2:$E$188,MATCH('Marketing Campaigns 22.11.22'!L799,weekly!$H$2:$H$188,0))</f>
        <v>5168.5538709677421</v>
      </c>
      <c r="H799">
        <f>INDEX(weekly!$D$2:$D$188,MATCH('Marketing Campaigns 22.11.22'!L799,weekly!$H$2:$H$188,0))</f>
        <v>793.70967741935488</v>
      </c>
      <c r="I799">
        <f>INDEX(weekly!$F$2:$F$188,MATCH('Marketing Campaigns 22.11.22'!L799,weekly!$H$2:$H$188,0))</f>
        <v>0</v>
      </c>
      <c r="J799">
        <v>0</v>
      </c>
      <c r="K799">
        <v>0</v>
      </c>
      <c r="L799" t="str">
        <f t="shared" si="24"/>
        <v>1-1-2022</v>
      </c>
      <c r="M799">
        <f t="shared" si="25"/>
        <v>2022</v>
      </c>
    </row>
    <row r="800" spans="1:13" x14ac:dyDescent="0.2">
      <c r="A800" s="1">
        <v>44564</v>
      </c>
      <c r="B800">
        <v>1</v>
      </c>
      <c r="C800">
        <v>1</v>
      </c>
      <c r="D800">
        <v>1</v>
      </c>
      <c r="E800" t="s">
        <v>40</v>
      </c>
      <c r="F800">
        <v>0</v>
      </c>
      <c r="G800">
        <f>INDEX(weekly!$E$2:$E$188,MATCH('Marketing Campaigns 22.11.22'!L800,weekly!$H$2:$H$188,0))</f>
        <v>5168.5538709677421</v>
      </c>
      <c r="H800">
        <f>INDEX(weekly!$D$2:$D$188,MATCH('Marketing Campaigns 22.11.22'!L800,weekly!$H$2:$H$188,0))</f>
        <v>793.70967741935488</v>
      </c>
      <c r="I800">
        <f>INDEX(weekly!$F$2:$F$188,MATCH('Marketing Campaigns 22.11.22'!L800,weekly!$H$2:$H$188,0))</f>
        <v>0</v>
      </c>
      <c r="J800">
        <v>0</v>
      </c>
      <c r="K800">
        <v>0</v>
      </c>
      <c r="L800" t="str">
        <f t="shared" si="24"/>
        <v>1-1-2022</v>
      </c>
      <c r="M800">
        <f t="shared" si="25"/>
        <v>2022</v>
      </c>
    </row>
    <row r="801" spans="1:13" x14ac:dyDescent="0.2">
      <c r="A801" s="1">
        <v>44564</v>
      </c>
      <c r="B801">
        <v>1</v>
      </c>
      <c r="C801">
        <v>1</v>
      </c>
      <c r="D801">
        <v>1</v>
      </c>
      <c r="E801" t="s">
        <v>41</v>
      </c>
      <c r="F801">
        <v>0</v>
      </c>
      <c r="G801">
        <f>INDEX(weekly!$E$2:$E$188,MATCH('Marketing Campaigns 22.11.22'!L801,weekly!$H$2:$H$188,0))</f>
        <v>5168.5538709677421</v>
      </c>
      <c r="H801">
        <f>INDEX(weekly!$D$2:$D$188,MATCH('Marketing Campaigns 22.11.22'!L801,weekly!$H$2:$H$188,0))</f>
        <v>793.70967741935488</v>
      </c>
      <c r="I801">
        <f>INDEX(weekly!$F$2:$F$188,MATCH('Marketing Campaigns 22.11.22'!L801,weekly!$H$2:$H$188,0))</f>
        <v>0</v>
      </c>
      <c r="J801">
        <v>0</v>
      </c>
      <c r="K801">
        <v>0</v>
      </c>
      <c r="L801" t="str">
        <f t="shared" si="24"/>
        <v>1-1-2022</v>
      </c>
      <c r="M801">
        <f t="shared" si="25"/>
        <v>2022</v>
      </c>
    </row>
    <row r="802" spans="1:13" x14ac:dyDescent="0.2">
      <c r="A802" s="1">
        <v>44564</v>
      </c>
      <c r="B802">
        <v>1</v>
      </c>
      <c r="C802">
        <v>1</v>
      </c>
      <c r="D802">
        <v>1</v>
      </c>
      <c r="E802" t="s">
        <v>42</v>
      </c>
      <c r="F802">
        <v>0</v>
      </c>
      <c r="G802">
        <f>INDEX(weekly!$E$2:$E$188,MATCH('Marketing Campaigns 22.11.22'!L802,weekly!$H$2:$H$188,0))</f>
        <v>5168.5538709677421</v>
      </c>
      <c r="H802">
        <f>INDEX(weekly!$D$2:$D$188,MATCH('Marketing Campaigns 22.11.22'!L802,weekly!$H$2:$H$188,0))</f>
        <v>793.70967741935488</v>
      </c>
      <c r="I802">
        <f>INDEX(weekly!$F$2:$F$188,MATCH('Marketing Campaigns 22.11.22'!L802,weekly!$H$2:$H$188,0))</f>
        <v>0</v>
      </c>
      <c r="J802">
        <v>0</v>
      </c>
      <c r="K802">
        <v>0</v>
      </c>
      <c r="L802" t="str">
        <f t="shared" si="24"/>
        <v>1-1-2022</v>
      </c>
      <c r="M802">
        <f t="shared" si="25"/>
        <v>2022</v>
      </c>
    </row>
    <row r="803" spans="1:13" x14ac:dyDescent="0.2">
      <c r="A803" s="1">
        <v>44564</v>
      </c>
      <c r="B803">
        <v>1</v>
      </c>
      <c r="C803">
        <v>1</v>
      </c>
      <c r="D803">
        <v>1</v>
      </c>
      <c r="E803" t="s">
        <v>43</v>
      </c>
      <c r="F803">
        <v>0</v>
      </c>
      <c r="G803">
        <f>INDEX(weekly!$E$2:$E$188,MATCH('Marketing Campaigns 22.11.22'!L803,weekly!$H$2:$H$188,0))</f>
        <v>5168.5538709677421</v>
      </c>
      <c r="H803">
        <f>INDEX(weekly!$D$2:$D$188,MATCH('Marketing Campaigns 22.11.22'!L803,weekly!$H$2:$H$188,0))</f>
        <v>793.70967741935488</v>
      </c>
      <c r="I803">
        <f>INDEX(weekly!$F$2:$F$188,MATCH('Marketing Campaigns 22.11.22'!L803,weekly!$H$2:$H$188,0))</f>
        <v>0</v>
      </c>
      <c r="J803">
        <v>0</v>
      </c>
      <c r="K803">
        <v>0</v>
      </c>
      <c r="L803" t="str">
        <f t="shared" si="24"/>
        <v>1-1-2022</v>
      </c>
      <c r="M803">
        <f t="shared" si="25"/>
        <v>2022</v>
      </c>
    </row>
    <row r="804" spans="1:13" x14ac:dyDescent="0.2">
      <c r="A804" s="1">
        <v>44564</v>
      </c>
      <c r="B804">
        <v>1</v>
      </c>
      <c r="C804">
        <v>1</v>
      </c>
      <c r="D804">
        <v>1</v>
      </c>
      <c r="E804" t="s">
        <v>44</v>
      </c>
      <c r="F804">
        <v>0</v>
      </c>
      <c r="G804">
        <f>INDEX(weekly!$E$2:$E$188,MATCH('Marketing Campaigns 22.11.22'!L804,weekly!$H$2:$H$188,0))</f>
        <v>5168.5538709677421</v>
      </c>
      <c r="H804">
        <f>INDEX(weekly!$D$2:$D$188,MATCH('Marketing Campaigns 22.11.22'!L804,weekly!$H$2:$H$188,0))</f>
        <v>793.70967741935488</v>
      </c>
      <c r="I804">
        <f>INDEX(weekly!$F$2:$F$188,MATCH('Marketing Campaigns 22.11.22'!L804,weekly!$H$2:$H$188,0))</f>
        <v>0</v>
      </c>
      <c r="J804">
        <v>0</v>
      </c>
      <c r="K804">
        <v>0</v>
      </c>
      <c r="L804" t="str">
        <f t="shared" si="24"/>
        <v>1-1-2022</v>
      </c>
      <c r="M804">
        <f t="shared" si="25"/>
        <v>2022</v>
      </c>
    </row>
    <row r="805" spans="1:13" x14ac:dyDescent="0.2">
      <c r="A805" s="1">
        <v>44564</v>
      </c>
      <c r="B805">
        <v>1</v>
      </c>
      <c r="C805">
        <v>1</v>
      </c>
      <c r="D805">
        <v>1</v>
      </c>
      <c r="E805" t="s">
        <v>45</v>
      </c>
      <c r="F805">
        <v>0</v>
      </c>
      <c r="G805">
        <f>INDEX(weekly!$E$2:$E$188,MATCH('Marketing Campaigns 22.11.22'!L805,weekly!$H$2:$H$188,0))</f>
        <v>5168.5538709677421</v>
      </c>
      <c r="H805">
        <f>INDEX(weekly!$D$2:$D$188,MATCH('Marketing Campaigns 22.11.22'!L805,weekly!$H$2:$H$188,0))</f>
        <v>793.70967741935488</v>
      </c>
      <c r="I805">
        <f>INDEX(weekly!$F$2:$F$188,MATCH('Marketing Campaigns 22.11.22'!L805,weekly!$H$2:$H$188,0))</f>
        <v>0</v>
      </c>
      <c r="J805">
        <v>0</v>
      </c>
      <c r="K805">
        <v>0</v>
      </c>
      <c r="L805" t="str">
        <f t="shared" si="24"/>
        <v>1-1-2022</v>
      </c>
      <c r="M805">
        <f t="shared" si="25"/>
        <v>2022</v>
      </c>
    </row>
    <row r="806" spans="1:13" x14ac:dyDescent="0.2">
      <c r="A806" s="1">
        <v>44564</v>
      </c>
      <c r="B806">
        <v>1</v>
      </c>
      <c r="C806">
        <v>1</v>
      </c>
      <c r="D806">
        <v>1</v>
      </c>
      <c r="E806" t="s">
        <v>46</v>
      </c>
      <c r="F806">
        <v>0</v>
      </c>
      <c r="G806">
        <f>INDEX(weekly!$E$2:$E$188,MATCH('Marketing Campaigns 22.11.22'!L806,weekly!$H$2:$H$188,0))</f>
        <v>5168.5538709677421</v>
      </c>
      <c r="H806">
        <f>INDEX(weekly!$D$2:$D$188,MATCH('Marketing Campaigns 22.11.22'!L806,weekly!$H$2:$H$188,0))</f>
        <v>793.70967741935488</v>
      </c>
      <c r="I806">
        <f>INDEX(weekly!$F$2:$F$188,MATCH('Marketing Campaigns 22.11.22'!L806,weekly!$H$2:$H$188,0))</f>
        <v>0</v>
      </c>
      <c r="J806">
        <v>0</v>
      </c>
      <c r="K806">
        <v>0</v>
      </c>
      <c r="L806" t="str">
        <f t="shared" si="24"/>
        <v>1-1-2022</v>
      </c>
      <c r="M806">
        <f t="shared" si="25"/>
        <v>2022</v>
      </c>
    </row>
    <row r="807" spans="1:13" x14ac:dyDescent="0.2">
      <c r="A807" s="1">
        <v>44564</v>
      </c>
      <c r="B807">
        <v>1</v>
      </c>
      <c r="C807">
        <v>1</v>
      </c>
      <c r="D807">
        <v>1</v>
      </c>
      <c r="E807" t="s">
        <v>47</v>
      </c>
      <c r="F807">
        <v>0</v>
      </c>
      <c r="G807">
        <f>INDEX(weekly!$E$2:$E$188,MATCH('Marketing Campaigns 22.11.22'!L807,weekly!$H$2:$H$188,0))</f>
        <v>5168.5538709677421</v>
      </c>
      <c r="H807">
        <f>INDEX(weekly!$D$2:$D$188,MATCH('Marketing Campaigns 22.11.22'!L807,weekly!$H$2:$H$188,0))</f>
        <v>793.70967741935488</v>
      </c>
      <c r="I807">
        <f>INDEX(weekly!$F$2:$F$188,MATCH('Marketing Campaigns 22.11.22'!L807,weekly!$H$2:$H$188,0))</f>
        <v>0</v>
      </c>
      <c r="J807">
        <v>0</v>
      </c>
      <c r="K807">
        <v>0</v>
      </c>
      <c r="L807" t="str">
        <f t="shared" si="24"/>
        <v>1-1-2022</v>
      </c>
      <c r="M807">
        <f t="shared" si="25"/>
        <v>2022</v>
      </c>
    </row>
    <row r="808" spans="1:13" x14ac:dyDescent="0.2">
      <c r="A808" s="1">
        <v>44564</v>
      </c>
      <c r="B808">
        <v>1</v>
      </c>
      <c r="C808">
        <v>1</v>
      </c>
      <c r="D808">
        <v>1</v>
      </c>
      <c r="E808" t="s">
        <v>48</v>
      </c>
      <c r="F808">
        <v>0</v>
      </c>
      <c r="G808">
        <f>INDEX(weekly!$E$2:$E$188,MATCH('Marketing Campaigns 22.11.22'!L808,weekly!$H$2:$H$188,0))</f>
        <v>5168.5538709677421</v>
      </c>
      <c r="H808">
        <f>INDEX(weekly!$D$2:$D$188,MATCH('Marketing Campaigns 22.11.22'!L808,weekly!$H$2:$H$188,0))</f>
        <v>793.70967741935488</v>
      </c>
      <c r="I808">
        <f>INDEX(weekly!$F$2:$F$188,MATCH('Marketing Campaigns 22.11.22'!L808,weekly!$H$2:$H$188,0))</f>
        <v>0</v>
      </c>
      <c r="J808">
        <v>0</v>
      </c>
      <c r="K808">
        <v>0</v>
      </c>
      <c r="L808" t="str">
        <f t="shared" si="24"/>
        <v>1-1-2022</v>
      </c>
      <c r="M808">
        <f t="shared" si="25"/>
        <v>2022</v>
      </c>
    </row>
    <row r="809" spans="1:13" x14ac:dyDescent="0.2">
      <c r="A809" s="1">
        <v>44564</v>
      </c>
      <c r="B809">
        <v>1</v>
      </c>
      <c r="C809">
        <v>1</v>
      </c>
      <c r="D809">
        <v>1</v>
      </c>
      <c r="E809" t="s">
        <v>49</v>
      </c>
      <c r="F809">
        <v>0</v>
      </c>
      <c r="G809">
        <f>INDEX(weekly!$E$2:$E$188,MATCH('Marketing Campaigns 22.11.22'!L809,weekly!$H$2:$H$188,0))</f>
        <v>5168.5538709677421</v>
      </c>
      <c r="H809">
        <f>INDEX(weekly!$D$2:$D$188,MATCH('Marketing Campaigns 22.11.22'!L809,weekly!$H$2:$H$188,0))</f>
        <v>793.70967741935488</v>
      </c>
      <c r="I809">
        <f>INDEX(weekly!$F$2:$F$188,MATCH('Marketing Campaigns 22.11.22'!L809,weekly!$H$2:$H$188,0))</f>
        <v>0</v>
      </c>
      <c r="J809">
        <v>0</v>
      </c>
      <c r="K809">
        <v>0</v>
      </c>
      <c r="L809" t="str">
        <f t="shared" si="24"/>
        <v>1-1-2022</v>
      </c>
      <c r="M809">
        <f t="shared" si="25"/>
        <v>2022</v>
      </c>
    </row>
    <row r="810" spans="1:13" x14ac:dyDescent="0.2">
      <c r="A810" s="1">
        <v>44564</v>
      </c>
      <c r="B810">
        <v>1</v>
      </c>
      <c r="C810">
        <v>1</v>
      </c>
      <c r="D810">
        <v>1</v>
      </c>
      <c r="E810" t="s">
        <v>50</v>
      </c>
      <c r="F810">
        <v>0</v>
      </c>
      <c r="G810">
        <f>INDEX(weekly!$E$2:$E$188,MATCH('Marketing Campaigns 22.11.22'!L810,weekly!$H$2:$H$188,0))</f>
        <v>5168.5538709677421</v>
      </c>
      <c r="H810">
        <f>INDEX(weekly!$D$2:$D$188,MATCH('Marketing Campaigns 22.11.22'!L810,weekly!$H$2:$H$188,0))</f>
        <v>793.70967741935488</v>
      </c>
      <c r="I810">
        <f>INDEX(weekly!$F$2:$F$188,MATCH('Marketing Campaigns 22.11.22'!L810,weekly!$H$2:$H$188,0))</f>
        <v>0</v>
      </c>
      <c r="J810">
        <v>0</v>
      </c>
      <c r="K810">
        <v>0</v>
      </c>
      <c r="L810" t="str">
        <f t="shared" si="24"/>
        <v>1-1-2022</v>
      </c>
      <c r="M810">
        <f t="shared" si="25"/>
        <v>2022</v>
      </c>
    </row>
    <row r="811" spans="1:13" x14ac:dyDescent="0.2">
      <c r="A811" s="1">
        <v>44564</v>
      </c>
      <c r="B811">
        <v>1</v>
      </c>
      <c r="C811">
        <v>1</v>
      </c>
      <c r="D811">
        <v>1</v>
      </c>
      <c r="E811" t="s">
        <v>51</v>
      </c>
      <c r="F811">
        <v>0</v>
      </c>
      <c r="G811">
        <f>INDEX(weekly!$E$2:$E$188,MATCH('Marketing Campaigns 22.11.22'!L811,weekly!$H$2:$H$188,0))</f>
        <v>5168.5538709677421</v>
      </c>
      <c r="H811">
        <f>INDEX(weekly!$D$2:$D$188,MATCH('Marketing Campaigns 22.11.22'!L811,weekly!$H$2:$H$188,0))</f>
        <v>793.70967741935488</v>
      </c>
      <c r="I811">
        <f>INDEX(weekly!$F$2:$F$188,MATCH('Marketing Campaigns 22.11.22'!L811,weekly!$H$2:$H$188,0))</f>
        <v>0</v>
      </c>
      <c r="J811">
        <v>0</v>
      </c>
      <c r="K811">
        <v>0</v>
      </c>
      <c r="L811" t="str">
        <f t="shared" si="24"/>
        <v>1-1-2022</v>
      </c>
      <c r="M811">
        <f t="shared" si="25"/>
        <v>2022</v>
      </c>
    </row>
    <row r="812" spans="1:13" x14ac:dyDescent="0.2">
      <c r="A812" s="1">
        <v>44564</v>
      </c>
      <c r="B812">
        <v>1</v>
      </c>
      <c r="C812">
        <v>1</v>
      </c>
      <c r="D812">
        <v>1</v>
      </c>
      <c r="E812" t="s">
        <v>52</v>
      </c>
      <c r="F812">
        <v>0</v>
      </c>
      <c r="G812">
        <f>INDEX(weekly!$E$2:$E$188,MATCH('Marketing Campaigns 22.11.22'!L812,weekly!$H$2:$H$188,0))</f>
        <v>5168.5538709677421</v>
      </c>
      <c r="H812">
        <f>INDEX(weekly!$D$2:$D$188,MATCH('Marketing Campaigns 22.11.22'!L812,weekly!$H$2:$H$188,0))</f>
        <v>793.70967741935488</v>
      </c>
      <c r="I812">
        <f>INDEX(weekly!$F$2:$F$188,MATCH('Marketing Campaigns 22.11.22'!L812,weekly!$H$2:$H$188,0))</f>
        <v>0</v>
      </c>
      <c r="J812">
        <v>0</v>
      </c>
      <c r="K812">
        <v>0</v>
      </c>
      <c r="L812" t="str">
        <f t="shared" si="24"/>
        <v>1-1-2022</v>
      </c>
      <c r="M812">
        <f t="shared" si="25"/>
        <v>2022</v>
      </c>
    </row>
    <row r="813" spans="1:13" x14ac:dyDescent="0.2">
      <c r="A813" s="1">
        <v>44571</v>
      </c>
      <c r="B813">
        <v>2</v>
      </c>
      <c r="C813">
        <v>1</v>
      </c>
      <c r="D813">
        <v>1</v>
      </c>
      <c r="E813" t="s">
        <v>24</v>
      </c>
      <c r="F813">
        <v>0</v>
      </c>
      <c r="G813">
        <f>INDEX(weekly!$E$2:$E$188,MATCH('Marketing Campaigns 22.11.22'!L813,weekly!$H$2:$H$188,0))</f>
        <v>5168.5538709677421</v>
      </c>
      <c r="H813">
        <f>INDEX(weekly!$D$2:$D$188,MATCH('Marketing Campaigns 22.11.22'!L813,weekly!$H$2:$H$188,0))</f>
        <v>793.70967741935488</v>
      </c>
      <c r="I813">
        <f>INDEX(weekly!$F$2:$F$188,MATCH('Marketing Campaigns 22.11.22'!L813,weekly!$H$2:$H$188,0))</f>
        <v>0</v>
      </c>
      <c r="J813">
        <v>0</v>
      </c>
      <c r="K813">
        <v>0</v>
      </c>
      <c r="L813" t="str">
        <f t="shared" si="24"/>
        <v>2-1-2022</v>
      </c>
      <c r="M813">
        <f t="shared" si="25"/>
        <v>2022</v>
      </c>
    </row>
    <row r="814" spans="1:13" x14ac:dyDescent="0.2">
      <c r="A814" s="1">
        <v>44571</v>
      </c>
      <c r="B814">
        <v>2</v>
      </c>
      <c r="C814">
        <v>1</v>
      </c>
      <c r="D814">
        <v>1</v>
      </c>
      <c r="E814" t="s">
        <v>39</v>
      </c>
      <c r="F814">
        <v>0</v>
      </c>
      <c r="G814">
        <f>INDEX(weekly!$E$2:$E$188,MATCH('Marketing Campaigns 22.11.22'!L814,weekly!$H$2:$H$188,0))</f>
        <v>5168.5538709677421</v>
      </c>
      <c r="H814">
        <f>INDEX(weekly!$D$2:$D$188,MATCH('Marketing Campaigns 22.11.22'!L814,weekly!$H$2:$H$188,0))</f>
        <v>793.70967741935488</v>
      </c>
      <c r="I814">
        <f>INDEX(weekly!$F$2:$F$188,MATCH('Marketing Campaigns 22.11.22'!L814,weekly!$H$2:$H$188,0))</f>
        <v>0</v>
      </c>
      <c r="J814">
        <v>0</v>
      </c>
      <c r="K814">
        <v>0</v>
      </c>
      <c r="L814" t="str">
        <f t="shared" si="24"/>
        <v>2-1-2022</v>
      </c>
      <c r="M814">
        <f t="shared" si="25"/>
        <v>2022</v>
      </c>
    </row>
    <row r="815" spans="1:13" x14ac:dyDescent="0.2">
      <c r="A815" s="1">
        <v>44571</v>
      </c>
      <c r="B815">
        <v>2</v>
      </c>
      <c r="C815">
        <v>1</v>
      </c>
      <c r="D815">
        <v>1</v>
      </c>
      <c r="E815" t="s">
        <v>40</v>
      </c>
      <c r="F815">
        <v>0</v>
      </c>
      <c r="G815">
        <f>INDEX(weekly!$E$2:$E$188,MATCH('Marketing Campaigns 22.11.22'!L815,weekly!$H$2:$H$188,0))</f>
        <v>5168.5538709677421</v>
      </c>
      <c r="H815">
        <f>INDEX(weekly!$D$2:$D$188,MATCH('Marketing Campaigns 22.11.22'!L815,weekly!$H$2:$H$188,0))</f>
        <v>793.70967741935488</v>
      </c>
      <c r="I815">
        <f>INDEX(weekly!$F$2:$F$188,MATCH('Marketing Campaigns 22.11.22'!L815,weekly!$H$2:$H$188,0))</f>
        <v>0</v>
      </c>
      <c r="J815">
        <v>0</v>
      </c>
      <c r="K815">
        <v>0</v>
      </c>
      <c r="L815" t="str">
        <f t="shared" si="24"/>
        <v>2-1-2022</v>
      </c>
      <c r="M815">
        <f t="shared" si="25"/>
        <v>2022</v>
      </c>
    </row>
    <row r="816" spans="1:13" x14ac:dyDescent="0.2">
      <c r="A816" s="1">
        <v>44571</v>
      </c>
      <c r="B816">
        <v>2</v>
      </c>
      <c r="C816">
        <v>1</v>
      </c>
      <c r="D816">
        <v>1</v>
      </c>
      <c r="E816" t="s">
        <v>41</v>
      </c>
      <c r="F816">
        <v>0</v>
      </c>
      <c r="G816">
        <f>INDEX(weekly!$E$2:$E$188,MATCH('Marketing Campaigns 22.11.22'!L816,weekly!$H$2:$H$188,0))</f>
        <v>5168.5538709677421</v>
      </c>
      <c r="H816">
        <f>INDEX(weekly!$D$2:$D$188,MATCH('Marketing Campaigns 22.11.22'!L816,weekly!$H$2:$H$188,0))</f>
        <v>793.70967741935488</v>
      </c>
      <c r="I816">
        <f>INDEX(weekly!$F$2:$F$188,MATCH('Marketing Campaigns 22.11.22'!L816,weekly!$H$2:$H$188,0))</f>
        <v>0</v>
      </c>
      <c r="J816">
        <v>0</v>
      </c>
      <c r="K816">
        <v>0</v>
      </c>
      <c r="L816" t="str">
        <f t="shared" si="24"/>
        <v>2-1-2022</v>
      </c>
      <c r="M816">
        <f t="shared" si="25"/>
        <v>2022</v>
      </c>
    </row>
    <row r="817" spans="1:13" x14ac:dyDescent="0.2">
      <c r="A817" s="1">
        <v>44571</v>
      </c>
      <c r="B817">
        <v>2</v>
      </c>
      <c r="C817">
        <v>1</v>
      </c>
      <c r="D817">
        <v>1</v>
      </c>
      <c r="E817" t="s">
        <v>42</v>
      </c>
      <c r="F817">
        <v>0</v>
      </c>
      <c r="G817">
        <f>INDEX(weekly!$E$2:$E$188,MATCH('Marketing Campaigns 22.11.22'!L817,weekly!$H$2:$H$188,0))</f>
        <v>5168.5538709677421</v>
      </c>
      <c r="H817">
        <f>INDEX(weekly!$D$2:$D$188,MATCH('Marketing Campaigns 22.11.22'!L817,weekly!$H$2:$H$188,0))</f>
        <v>793.70967741935488</v>
      </c>
      <c r="I817">
        <f>INDEX(weekly!$F$2:$F$188,MATCH('Marketing Campaigns 22.11.22'!L817,weekly!$H$2:$H$188,0))</f>
        <v>0</v>
      </c>
      <c r="J817">
        <v>0</v>
      </c>
      <c r="K817">
        <v>0</v>
      </c>
      <c r="L817" t="str">
        <f t="shared" si="24"/>
        <v>2-1-2022</v>
      </c>
      <c r="M817">
        <f t="shared" si="25"/>
        <v>2022</v>
      </c>
    </row>
    <row r="818" spans="1:13" x14ac:dyDescent="0.2">
      <c r="A818" s="1">
        <v>44571</v>
      </c>
      <c r="B818">
        <v>2</v>
      </c>
      <c r="C818">
        <v>1</v>
      </c>
      <c r="D818">
        <v>1</v>
      </c>
      <c r="E818" t="s">
        <v>43</v>
      </c>
      <c r="F818">
        <v>0</v>
      </c>
      <c r="G818">
        <f>INDEX(weekly!$E$2:$E$188,MATCH('Marketing Campaigns 22.11.22'!L818,weekly!$H$2:$H$188,0))</f>
        <v>5168.5538709677421</v>
      </c>
      <c r="H818">
        <f>INDEX(weekly!$D$2:$D$188,MATCH('Marketing Campaigns 22.11.22'!L818,weekly!$H$2:$H$188,0))</f>
        <v>793.70967741935488</v>
      </c>
      <c r="I818">
        <f>INDEX(weekly!$F$2:$F$188,MATCH('Marketing Campaigns 22.11.22'!L818,weekly!$H$2:$H$188,0))</f>
        <v>0</v>
      </c>
      <c r="J818">
        <v>0</v>
      </c>
      <c r="K818">
        <v>0</v>
      </c>
      <c r="L818" t="str">
        <f t="shared" si="24"/>
        <v>2-1-2022</v>
      </c>
      <c r="M818">
        <f t="shared" si="25"/>
        <v>2022</v>
      </c>
    </row>
    <row r="819" spans="1:13" x14ac:dyDescent="0.2">
      <c r="A819" s="1">
        <v>44571</v>
      </c>
      <c r="B819">
        <v>2</v>
      </c>
      <c r="C819">
        <v>1</v>
      </c>
      <c r="D819">
        <v>1</v>
      </c>
      <c r="E819" t="s">
        <v>44</v>
      </c>
      <c r="F819">
        <v>0</v>
      </c>
      <c r="G819">
        <f>INDEX(weekly!$E$2:$E$188,MATCH('Marketing Campaigns 22.11.22'!L819,weekly!$H$2:$H$188,0))</f>
        <v>5168.5538709677421</v>
      </c>
      <c r="H819">
        <f>INDEX(weekly!$D$2:$D$188,MATCH('Marketing Campaigns 22.11.22'!L819,weekly!$H$2:$H$188,0))</f>
        <v>793.70967741935488</v>
      </c>
      <c r="I819">
        <f>INDEX(weekly!$F$2:$F$188,MATCH('Marketing Campaigns 22.11.22'!L819,weekly!$H$2:$H$188,0))</f>
        <v>0</v>
      </c>
      <c r="J819">
        <v>0</v>
      </c>
      <c r="K819">
        <v>0</v>
      </c>
      <c r="L819" t="str">
        <f t="shared" si="24"/>
        <v>2-1-2022</v>
      </c>
      <c r="M819">
        <f t="shared" si="25"/>
        <v>2022</v>
      </c>
    </row>
    <row r="820" spans="1:13" x14ac:dyDescent="0.2">
      <c r="A820" s="1">
        <v>44571</v>
      </c>
      <c r="B820">
        <v>2</v>
      </c>
      <c r="C820">
        <v>1</v>
      </c>
      <c r="D820">
        <v>1</v>
      </c>
      <c r="E820" t="s">
        <v>45</v>
      </c>
      <c r="F820">
        <v>0</v>
      </c>
      <c r="G820">
        <f>INDEX(weekly!$E$2:$E$188,MATCH('Marketing Campaigns 22.11.22'!L820,weekly!$H$2:$H$188,0))</f>
        <v>5168.5538709677421</v>
      </c>
      <c r="H820">
        <f>INDEX(weekly!$D$2:$D$188,MATCH('Marketing Campaigns 22.11.22'!L820,weekly!$H$2:$H$188,0))</f>
        <v>793.70967741935488</v>
      </c>
      <c r="I820">
        <f>INDEX(weekly!$F$2:$F$188,MATCH('Marketing Campaigns 22.11.22'!L820,weekly!$H$2:$H$188,0))</f>
        <v>0</v>
      </c>
      <c r="J820">
        <v>0</v>
      </c>
      <c r="K820">
        <v>0</v>
      </c>
      <c r="L820" t="str">
        <f t="shared" si="24"/>
        <v>2-1-2022</v>
      </c>
      <c r="M820">
        <f t="shared" si="25"/>
        <v>2022</v>
      </c>
    </row>
    <row r="821" spans="1:13" x14ac:dyDescent="0.2">
      <c r="A821" s="1">
        <v>44571</v>
      </c>
      <c r="B821">
        <v>2</v>
      </c>
      <c r="C821">
        <v>1</v>
      </c>
      <c r="D821">
        <v>1</v>
      </c>
      <c r="E821" t="s">
        <v>46</v>
      </c>
      <c r="F821">
        <v>0</v>
      </c>
      <c r="G821">
        <f>INDEX(weekly!$E$2:$E$188,MATCH('Marketing Campaigns 22.11.22'!L821,weekly!$H$2:$H$188,0))</f>
        <v>5168.5538709677421</v>
      </c>
      <c r="H821">
        <f>INDEX(weekly!$D$2:$D$188,MATCH('Marketing Campaigns 22.11.22'!L821,weekly!$H$2:$H$188,0))</f>
        <v>793.70967741935488</v>
      </c>
      <c r="I821">
        <f>INDEX(weekly!$F$2:$F$188,MATCH('Marketing Campaigns 22.11.22'!L821,weekly!$H$2:$H$188,0))</f>
        <v>0</v>
      </c>
      <c r="J821">
        <v>0</v>
      </c>
      <c r="K821">
        <v>0</v>
      </c>
      <c r="L821" t="str">
        <f t="shared" si="24"/>
        <v>2-1-2022</v>
      </c>
      <c r="M821">
        <f t="shared" si="25"/>
        <v>2022</v>
      </c>
    </row>
    <row r="822" spans="1:13" x14ac:dyDescent="0.2">
      <c r="A822" s="1">
        <v>44571</v>
      </c>
      <c r="B822">
        <v>2</v>
      </c>
      <c r="C822">
        <v>1</v>
      </c>
      <c r="D822">
        <v>1</v>
      </c>
      <c r="E822" t="s">
        <v>47</v>
      </c>
      <c r="F822">
        <v>0</v>
      </c>
      <c r="G822">
        <f>INDEX(weekly!$E$2:$E$188,MATCH('Marketing Campaigns 22.11.22'!L822,weekly!$H$2:$H$188,0))</f>
        <v>5168.5538709677421</v>
      </c>
      <c r="H822">
        <f>INDEX(weekly!$D$2:$D$188,MATCH('Marketing Campaigns 22.11.22'!L822,weekly!$H$2:$H$188,0))</f>
        <v>793.70967741935488</v>
      </c>
      <c r="I822">
        <f>INDEX(weekly!$F$2:$F$188,MATCH('Marketing Campaigns 22.11.22'!L822,weekly!$H$2:$H$188,0))</f>
        <v>0</v>
      </c>
      <c r="J822">
        <v>0</v>
      </c>
      <c r="K822">
        <v>0</v>
      </c>
      <c r="L822" t="str">
        <f t="shared" si="24"/>
        <v>2-1-2022</v>
      </c>
      <c r="M822">
        <f t="shared" si="25"/>
        <v>2022</v>
      </c>
    </row>
    <row r="823" spans="1:13" x14ac:dyDescent="0.2">
      <c r="A823" s="1">
        <v>44571</v>
      </c>
      <c r="B823">
        <v>2</v>
      </c>
      <c r="C823">
        <v>1</v>
      </c>
      <c r="D823">
        <v>1</v>
      </c>
      <c r="E823" t="s">
        <v>48</v>
      </c>
      <c r="F823">
        <v>0</v>
      </c>
      <c r="G823">
        <f>INDEX(weekly!$E$2:$E$188,MATCH('Marketing Campaigns 22.11.22'!L823,weekly!$H$2:$H$188,0))</f>
        <v>5168.5538709677421</v>
      </c>
      <c r="H823">
        <f>INDEX(weekly!$D$2:$D$188,MATCH('Marketing Campaigns 22.11.22'!L823,weekly!$H$2:$H$188,0))</f>
        <v>793.70967741935488</v>
      </c>
      <c r="I823">
        <f>INDEX(weekly!$F$2:$F$188,MATCH('Marketing Campaigns 22.11.22'!L823,weekly!$H$2:$H$188,0))</f>
        <v>0</v>
      </c>
      <c r="J823">
        <v>0</v>
      </c>
      <c r="K823">
        <v>0</v>
      </c>
      <c r="L823" t="str">
        <f t="shared" si="24"/>
        <v>2-1-2022</v>
      </c>
      <c r="M823">
        <f t="shared" si="25"/>
        <v>2022</v>
      </c>
    </row>
    <row r="824" spans="1:13" x14ac:dyDescent="0.2">
      <c r="A824" s="1">
        <v>44571</v>
      </c>
      <c r="B824">
        <v>2</v>
      </c>
      <c r="C824">
        <v>1</v>
      </c>
      <c r="D824">
        <v>1</v>
      </c>
      <c r="E824" t="s">
        <v>49</v>
      </c>
      <c r="F824">
        <v>0</v>
      </c>
      <c r="G824">
        <f>INDEX(weekly!$E$2:$E$188,MATCH('Marketing Campaigns 22.11.22'!L824,weekly!$H$2:$H$188,0))</f>
        <v>5168.5538709677421</v>
      </c>
      <c r="H824">
        <f>INDEX(weekly!$D$2:$D$188,MATCH('Marketing Campaigns 22.11.22'!L824,weekly!$H$2:$H$188,0))</f>
        <v>793.70967741935488</v>
      </c>
      <c r="I824">
        <f>INDEX(weekly!$F$2:$F$188,MATCH('Marketing Campaigns 22.11.22'!L824,weekly!$H$2:$H$188,0))</f>
        <v>0</v>
      </c>
      <c r="J824">
        <v>0</v>
      </c>
      <c r="K824">
        <v>0</v>
      </c>
      <c r="L824" t="str">
        <f t="shared" si="24"/>
        <v>2-1-2022</v>
      </c>
      <c r="M824">
        <f t="shared" si="25"/>
        <v>2022</v>
      </c>
    </row>
    <row r="825" spans="1:13" x14ac:dyDescent="0.2">
      <c r="A825" s="1">
        <v>44571</v>
      </c>
      <c r="B825">
        <v>2</v>
      </c>
      <c r="C825">
        <v>1</v>
      </c>
      <c r="D825">
        <v>1</v>
      </c>
      <c r="E825" t="s">
        <v>50</v>
      </c>
      <c r="F825">
        <v>0</v>
      </c>
      <c r="G825">
        <f>INDEX(weekly!$E$2:$E$188,MATCH('Marketing Campaigns 22.11.22'!L825,weekly!$H$2:$H$188,0))</f>
        <v>5168.5538709677421</v>
      </c>
      <c r="H825">
        <f>INDEX(weekly!$D$2:$D$188,MATCH('Marketing Campaigns 22.11.22'!L825,weekly!$H$2:$H$188,0))</f>
        <v>793.70967741935488</v>
      </c>
      <c r="I825">
        <f>INDEX(weekly!$F$2:$F$188,MATCH('Marketing Campaigns 22.11.22'!L825,weekly!$H$2:$H$188,0))</f>
        <v>0</v>
      </c>
      <c r="J825">
        <v>0</v>
      </c>
      <c r="K825">
        <v>0</v>
      </c>
      <c r="L825" t="str">
        <f t="shared" si="24"/>
        <v>2-1-2022</v>
      </c>
      <c r="M825">
        <f t="shared" si="25"/>
        <v>2022</v>
      </c>
    </row>
    <row r="826" spans="1:13" x14ac:dyDescent="0.2">
      <c r="A826" s="1">
        <v>44571</v>
      </c>
      <c r="B826">
        <v>2</v>
      </c>
      <c r="C826">
        <v>1</v>
      </c>
      <c r="D826">
        <v>1</v>
      </c>
      <c r="E826" t="s">
        <v>51</v>
      </c>
      <c r="F826">
        <v>0</v>
      </c>
      <c r="G826">
        <f>INDEX(weekly!$E$2:$E$188,MATCH('Marketing Campaigns 22.11.22'!L826,weekly!$H$2:$H$188,0))</f>
        <v>5168.5538709677421</v>
      </c>
      <c r="H826">
        <f>INDEX(weekly!$D$2:$D$188,MATCH('Marketing Campaigns 22.11.22'!L826,weekly!$H$2:$H$188,0))</f>
        <v>793.70967741935488</v>
      </c>
      <c r="I826">
        <f>INDEX(weekly!$F$2:$F$188,MATCH('Marketing Campaigns 22.11.22'!L826,weekly!$H$2:$H$188,0))</f>
        <v>0</v>
      </c>
      <c r="J826">
        <v>0</v>
      </c>
      <c r="K826">
        <v>0</v>
      </c>
      <c r="L826" t="str">
        <f t="shared" si="24"/>
        <v>2-1-2022</v>
      </c>
      <c r="M826">
        <f t="shared" si="25"/>
        <v>2022</v>
      </c>
    </row>
    <row r="827" spans="1:13" x14ac:dyDescent="0.2">
      <c r="A827" s="1">
        <v>44571</v>
      </c>
      <c r="B827">
        <v>2</v>
      </c>
      <c r="C827">
        <v>1</v>
      </c>
      <c r="D827">
        <v>1</v>
      </c>
      <c r="E827" t="s">
        <v>52</v>
      </c>
      <c r="F827">
        <v>0</v>
      </c>
      <c r="G827">
        <f>INDEX(weekly!$E$2:$E$188,MATCH('Marketing Campaigns 22.11.22'!L827,weekly!$H$2:$H$188,0))</f>
        <v>5168.5538709677421</v>
      </c>
      <c r="H827">
        <f>INDEX(weekly!$D$2:$D$188,MATCH('Marketing Campaigns 22.11.22'!L827,weekly!$H$2:$H$188,0))</f>
        <v>793.70967741935488</v>
      </c>
      <c r="I827">
        <f>INDEX(weekly!$F$2:$F$188,MATCH('Marketing Campaigns 22.11.22'!L827,weekly!$H$2:$H$188,0))</f>
        <v>0</v>
      </c>
      <c r="J827">
        <v>0</v>
      </c>
      <c r="K827">
        <v>0</v>
      </c>
      <c r="L827" t="str">
        <f t="shared" si="24"/>
        <v>2-1-2022</v>
      </c>
      <c r="M827">
        <f t="shared" si="25"/>
        <v>2022</v>
      </c>
    </row>
    <row r="828" spans="1:13" x14ac:dyDescent="0.2">
      <c r="A828" s="1">
        <v>44578</v>
      </c>
      <c r="B828">
        <v>3</v>
      </c>
      <c r="C828">
        <v>1</v>
      </c>
      <c r="D828">
        <v>1</v>
      </c>
      <c r="E828" t="s">
        <v>24</v>
      </c>
      <c r="F828">
        <v>0</v>
      </c>
      <c r="G828">
        <f>INDEX(weekly!$E$2:$E$188,MATCH('Marketing Campaigns 22.11.22'!L828,weekly!$H$2:$H$188,0))</f>
        <v>5168.5538709677421</v>
      </c>
      <c r="H828">
        <f>INDEX(weekly!$D$2:$D$188,MATCH('Marketing Campaigns 22.11.22'!L828,weekly!$H$2:$H$188,0))</f>
        <v>793.70967741935488</v>
      </c>
      <c r="I828">
        <f>INDEX(weekly!$F$2:$F$188,MATCH('Marketing Campaigns 22.11.22'!L828,weekly!$H$2:$H$188,0))</f>
        <v>0</v>
      </c>
      <c r="J828">
        <v>0</v>
      </c>
      <c r="K828">
        <v>0</v>
      </c>
      <c r="L828" t="str">
        <f t="shared" si="24"/>
        <v>3-1-2022</v>
      </c>
      <c r="M828">
        <f t="shared" si="25"/>
        <v>2022</v>
      </c>
    </row>
    <row r="829" spans="1:13" x14ac:dyDescent="0.2">
      <c r="A829" s="1">
        <v>44578</v>
      </c>
      <c r="B829">
        <v>3</v>
      </c>
      <c r="C829">
        <v>1</v>
      </c>
      <c r="D829">
        <v>1</v>
      </c>
      <c r="E829" t="s">
        <v>39</v>
      </c>
      <c r="F829">
        <v>0</v>
      </c>
      <c r="G829">
        <f>INDEX(weekly!$E$2:$E$188,MATCH('Marketing Campaigns 22.11.22'!L829,weekly!$H$2:$H$188,0))</f>
        <v>5168.5538709677421</v>
      </c>
      <c r="H829">
        <f>INDEX(weekly!$D$2:$D$188,MATCH('Marketing Campaigns 22.11.22'!L829,weekly!$H$2:$H$188,0))</f>
        <v>793.70967741935488</v>
      </c>
      <c r="I829">
        <f>INDEX(weekly!$F$2:$F$188,MATCH('Marketing Campaigns 22.11.22'!L829,weekly!$H$2:$H$188,0))</f>
        <v>0</v>
      </c>
      <c r="J829">
        <v>0</v>
      </c>
      <c r="K829">
        <v>0</v>
      </c>
      <c r="L829" t="str">
        <f t="shared" si="24"/>
        <v>3-1-2022</v>
      </c>
      <c r="M829">
        <f t="shared" si="25"/>
        <v>2022</v>
      </c>
    </row>
    <row r="830" spans="1:13" x14ac:dyDescent="0.2">
      <c r="A830" s="1">
        <v>44578</v>
      </c>
      <c r="B830">
        <v>3</v>
      </c>
      <c r="C830">
        <v>1</v>
      </c>
      <c r="D830">
        <v>1</v>
      </c>
      <c r="E830" t="s">
        <v>40</v>
      </c>
      <c r="F830">
        <v>0</v>
      </c>
      <c r="G830">
        <f>INDEX(weekly!$E$2:$E$188,MATCH('Marketing Campaigns 22.11.22'!L830,weekly!$H$2:$H$188,0))</f>
        <v>5168.5538709677421</v>
      </c>
      <c r="H830">
        <f>INDEX(weekly!$D$2:$D$188,MATCH('Marketing Campaigns 22.11.22'!L830,weekly!$H$2:$H$188,0))</f>
        <v>793.70967741935488</v>
      </c>
      <c r="I830">
        <f>INDEX(weekly!$F$2:$F$188,MATCH('Marketing Campaigns 22.11.22'!L830,weekly!$H$2:$H$188,0))</f>
        <v>0</v>
      </c>
      <c r="J830">
        <v>0</v>
      </c>
      <c r="K830">
        <v>0</v>
      </c>
      <c r="L830" t="str">
        <f t="shared" si="24"/>
        <v>3-1-2022</v>
      </c>
      <c r="M830">
        <f t="shared" si="25"/>
        <v>2022</v>
      </c>
    </row>
    <row r="831" spans="1:13" x14ac:dyDescent="0.2">
      <c r="A831" s="1">
        <v>44578</v>
      </c>
      <c r="B831">
        <v>3</v>
      </c>
      <c r="C831">
        <v>1</v>
      </c>
      <c r="D831">
        <v>1</v>
      </c>
      <c r="E831" t="s">
        <v>41</v>
      </c>
      <c r="F831">
        <v>0</v>
      </c>
      <c r="G831">
        <f>INDEX(weekly!$E$2:$E$188,MATCH('Marketing Campaigns 22.11.22'!L831,weekly!$H$2:$H$188,0))</f>
        <v>5168.5538709677421</v>
      </c>
      <c r="H831">
        <f>INDEX(weekly!$D$2:$D$188,MATCH('Marketing Campaigns 22.11.22'!L831,weekly!$H$2:$H$188,0))</f>
        <v>793.70967741935488</v>
      </c>
      <c r="I831">
        <f>INDEX(weekly!$F$2:$F$188,MATCH('Marketing Campaigns 22.11.22'!L831,weekly!$H$2:$H$188,0))</f>
        <v>0</v>
      </c>
      <c r="J831">
        <v>0</v>
      </c>
      <c r="K831">
        <v>0</v>
      </c>
      <c r="L831" t="str">
        <f t="shared" si="24"/>
        <v>3-1-2022</v>
      </c>
      <c r="M831">
        <f t="shared" si="25"/>
        <v>2022</v>
      </c>
    </row>
    <row r="832" spans="1:13" x14ac:dyDescent="0.2">
      <c r="A832" s="1">
        <v>44578</v>
      </c>
      <c r="B832">
        <v>3</v>
      </c>
      <c r="C832">
        <v>1</v>
      </c>
      <c r="D832">
        <v>1</v>
      </c>
      <c r="E832" t="s">
        <v>42</v>
      </c>
      <c r="F832">
        <v>0</v>
      </c>
      <c r="G832">
        <f>INDEX(weekly!$E$2:$E$188,MATCH('Marketing Campaigns 22.11.22'!L832,weekly!$H$2:$H$188,0))</f>
        <v>5168.5538709677421</v>
      </c>
      <c r="H832">
        <f>INDEX(weekly!$D$2:$D$188,MATCH('Marketing Campaigns 22.11.22'!L832,weekly!$H$2:$H$188,0))</f>
        <v>793.70967741935488</v>
      </c>
      <c r="I832">
        <f>INDEX(weekly!$F$2:$F$188,MATCH('Marketing Campaigns 22.11.22'!L832,weekly!$H$2:$H$188,0))</f>
        <v>0</v>
      </c>
      <c r="J832">
        <v>0</v>
      </c>
      <c r="K832">
        <v>0</v>
      </c>
      <c r="L832" t="str">
        <f t="shared" si="24"/>
        <v>3-1-2022</v>
      </c>
      <c r="M832">
        <f t="shared" si="25"/>
        <v>2022</v>
      </c>
    </row>
    <row r="833" spans="1:13" x14ac:dyDescent="0.2">
      <c r="A833" s="1">
        <v>44578</v>
      </c>
      <c r="B833">
        <v>3</v>
      </c>
      <c r="C833">
        <v>1</v>
      </c>
      <c r="D833">
        <v>1</v>
      </c>
      <c r="E833" t="s">
        <v>43</v>
      </c>
      <c r="F833">
        <v>0</v>
      </c>
      <c r="G833">
        <f>INDEX(weekly!$E$2:$E$188,MATCH('Marketing Campaigns 22.11.22'!L833,weekly!$H$2:$H$188,0))</f>
        <v>5168.5538709677421</v>
      </c>
      <c r="H833">
        <f>INDEX(weekly!$D$2:$D$188,MATCH('Marketing Campaigns 22.11.22'!L833,weekly!$H$2:$H$188,0))</f>
        <v>793.70967741935488</v>
      </c>
      <c r="I833">
        <f>INDEX(weekly!$F$2:$F$188,MATCH('Marketing Campaigns 22.11.22'!L833,weekly!$H$2:$H$188,0))</f>
        <v>0</v>
      </c>
      <c r="J833">
        <v>0</v>
      </c>
      <c r="K833">
        <v>0</v>
      </c>
      <c r="L833" t="str">
        <f t="shared" si="24"/>
        <v>3-1-2022</v>
      </c>
      <c r="M833">
        <f t="shared" si="25"/>
        <v>2022</v>
      </c>
    </row>
    <row r="834" spans="1:13" x14ac:dyDescent="0.2">
      <c r="A834" s="1">
        <v>44578</v>
      </c>
      <c r="B834">
        <v>3</v>
      </c>
      <c r="C834">
        <v>1</v>
      </c>
      <c r="D834">
        <v>1</v>
      </c>
      <c r="E834" t="s">
        <v>44</v>
      </c>
      <c r="F834">
        <v>0</v>
      </c>
      <c r="G834">
        <f>INDEX(weekly!$E$2:$E$188,MATCH('Marketing Campaigns 22.11.22'!L834,weekly!$H$2:$H$188,0))</f>
        <v>5168.5538709677421</v>
      </c>
      <c r="H834">
        <f>INDEX(weekly!$D$2:$D$188,MATCH('Marketing Campaigns 22.11.22'!L834,weekly!$H$2:$H$188,0))</f>
        <v>793.70967741935488</v>
      </c>
      <c r="I834">
        <f>INDEX(weekly!$F$2:$F$188,MATCH('Marketing Campaigns 22.11.22'!L834,weekly!$H$2:$H$188,0))</f>
        <v>0</v>
      </c>
      <c r="J834">
        <v>0</v>
      </c>
      <c r="K834">
        <v>0</v>
      </c>
      <c r="L834" t="str">
        <f t="shared" si="24"/>
        <v>3-1-2022</v>
      </c>
      <c r="M834">
        <f t="shared" si="25"/>
        <v>2022</v>
      </c>
    </row>
    <row r="835" spans="1:13" x14ac:dyDescent="0.2">
      <c r="A835" s="1">
        <v>44578</v>
      </c>
      <c r="B835">
        <v>3</v>
      </c>
      <c r="C835">
        <v>1</v>
      </c>
      <c r="D835">
        <v>1</v>
      </c>
      <c r="E835" t="s">
        <v>45</v>
      </c>
      <c r="F835">
        <v>0</v>
      </c>
      <c r="G835">
        <f>INDEX(weekly!$E$2:$E$188,MATCH('Marketing Campaigns 22.11.22'!L835,weekly!$H$2:$H$188,0))</f>
        <v>5168.5538709677421</v>
      </c>
      <c r="H835">
        <f>INDEX(weekly!$D$2:$D$188,MATCH('Marketing Campaigns 22.11.22'!L835,weekly!$H$2:$H$188,0))</f>
        <v>793.70967741935488</v>
      </c>
      <c r="I835">
        <f>INDEX(weekly!$F$2:$F$188,MATCH('Marketing Campaigns 22.11.22'!L835,weekly!$H$2:$H$188,0))</f>
        <v>0</v>
      </c>
      <c r="J835">
        <v>0</v>
      </c>
      <c r="K835">
        <v>0</v>
      </c>
      <c r="L835" t="str">
        <f t="shared" si="24"/>
        <v>3-1-2022</v>
      </c>
      <c r="M835">
        <f t="shared" si="25"/>
        <v>2022</v>
      </c>
    </row>
    <row r="836" spans="1:13" x14ac:dyDescent="0.2">
      <c r="A836" s="1">
        <v>44578</v>
      </c>
      <c r="B836">
        <v>3</v>
      </c>
      <c r="C836">
        <v>1</v>
      </c>
      <c r="D836">
        <v>1</v>
      </c>
      <c r="E836" t="s">
        <v>46</v>
      </c>
      <c r="F836">
        <v>0</v>
      </c>
      <c r="G836">
        <f>INDEX(weekly!$E$2:$E$188,MATCH('Marketing Campaigns 22.11.22'!L836,weekly!$H$2:$H$188,0))</f>
        <v>5168.5538709677421</v>
      </c>
      <c r="H836">
        <f>INDEX(weekly!$D$2:$D$188,MATCH('Marketing Campaigns 22.11.22'!L836,weekly!$H$2:$H$188,0))</f>
        <v>793.70967741935488</v>
      </c>
      <c r="I836">
        <f>INDEX(weekly!$F$2:$F$188,MATCH('Marketing Campaigns 22.11.22'!L836,weekly!$H$2:$H$188,0))</f>
        <v>0</v>
      </c>
      <c r="J836">
        <v>0</v>
      </c>
      <c r="K836">
        <v>0</v>
      </c>
      <c r="L836" t="str">
        <f t="shared" ref="L836:L899" si="26">B836&amp;"-"&amp;C836&amp;"-"&amp;M836</f>
        <v>3-1-2022</v>
      </c>
      <c r="M836">
        <f t="shared" ref="M836:M899" si="27">YEAR(A836)</f>
        <v>2022</v>
      </c>
    </row>
    <row r="837" spans="1:13" x14ac:dyDescent="0.2">
      <c r="A837" s="1">
        <v>44578</v>
      </c>
      <c r="B837">
        <v>3</v>
      </c>
      <c r="C837">
        <v>1</v>
      </c>
      <c r="D837">
        <v>1</v>
      </c>
      <c r="E837" t="s">
        <v>47</v>
      </c>
      <c r="F837">
        <v>0</v>
      </c>
      <c r="G837">
        <f>INDEX(weekly!$E$2:$E$188,MATCH('Marketing Campaigns 22.11.22'!L837,weekly!$H$2:$H$188,0))</f>
        <v>5168.5538709677421</v>
      </c>
      <c r="H837">
        <f>INDEX(weekly!$D$2:$D$188,MATCH('Marketing Campaigns 22.11.22'!L837,weekly!$H$2:$H$188,0))</f>
        <v>793.70967741935488</v>
      </c>
      <c r="I837">
        <f>INDEX(weekly!$F$2:$F$188,MATCH('Marketing Campaigns 22.11.22'!L837,weekly!$H$2:$H$188,0))</f>
        <v>0</v>
      </c>
      <c r="J837">
        <v>0</v>
      </c>
      <c r="K837">
        <v>0</v>
      </c>
      <c r="L837" t="str">
        <f t="shared" si="26"/>
        <v>3-1-2022</v>
      </c>
      <c r="M837">
        <f t="shared" si="27"/>
        <v>2022</v>
      </c>
    </row>
    <row r="838" spans="1:13" x14ac:dyDescent="0.2">
      <c r="A838" s="1">
        <v>44578</v>
      </c>
      <c r="B838">
        <v>3</v>
      </c>
      <c r="C838">
        <v>1</v>
      </c>
      <c r="D838">
        <v>1</v>
      </c>
      <c r="E838" t="s">
        <v>48</v>
      </c>
      <c r="F838">
        <v>0</v>
      </c>
      <c r="G838">
        <f>INDEX(weekly!$E$2:$E$188,MATCH('Marketing Campaigns 22.11.22'!L838,weekly!$H$2:$H$188,0))</f>
        <v>5168.5538709677421</v>
      </c>
      <c r="H838">
        <f>INDEX(weekly!$D$2:$D$188,MATCH('Marketing Campaigns 22.11.22'!L838,weekly!$H$2:$H$188,0))</f>
        <v>793.70967741935488</v>
      </c>
      <c r="I838">
        <f>INDEX(weekly!$F$2:$F$188,MATCH('Marketing Campaigns 22.11.22'!L838,weekly!$H$2:$H$188,0))</f>
        <v>0</v>
      </c>
      <c r="J838">
        <v>0</v>
      </c>
      <c r="K838">
        <v>0</v>
      </c>
      <c r="L838" t="str">
        <f t="shared" si="26"/>
        <v>3-1-2022</v>
      </c>
      <c r="M838">
        <f t="shared" si="27"/>
        <v>2022</v>
      </c>
    </row>
    <row r="839" spans="1:13" x14ac:dyDescent="0.2">
      <c r="A839" s="1">
        <v>44578</v>
      </c>
      <c r="B839">
        <v>3</v>
      </c>
      <c r="C839">
        <v>1</v>
      </c>
      <c r="D839">
        <v>1</v>
      </c>
      <c r="E839" t="s">
        <v>49</v>
      </c>
      <c r="F839">
        <v>0</v>
      </c>
      <c r="G839">
        <f>INDEX(weekly!$E$2:$E$188,MATCH('Marketing Campaigns 22.11.22'!L839,weekly!$H$2:$H$188,0))</f>
        <v>5168.5538709677421</v>
      </c>
      <c r="H839">
        <f>INDEX(weekly!$D$2:$D$188,MATCH('Marketing Campaigns 22.11.22'!L839,weekly!$H$2:$H$188,0))</f>
        <v>793.70967741935488</v>
      </c>
      <c r="I839">
        <f>INDEX(weekly!$F$2:$F$188,MATCH('Marketing Campaigns 22.11.22'!L839,weekly!$H$2:$H$188,0))</f>
        <v>0</v>
      </c>
      <c r="J839">
        <v>0</v>
      </c>
      <c r="K839">
        <v>0</v>
      </c>
      <c r="L839" t="str">
        <f t="shared" si="26"/>
        <v>3-1-2022</v>
      </c>
      <c r="M839">
        <f t="shared" si="27"/>
        <v>2022</v>
      </c>
    </row>
    <row r="840" spans="1:13" x14ac:dyDescent="0.2">
      <c r="A840" s="1">
        <v>44578</v>
      </c>
      <c r="B840">
        <v>3</v>
      </c>
      <c r="C840">
        <v>1</v>
      </c>
      <c r="D840">
        <v>1</v>
      </c>
      <c r="E840" t="s">
        <v>50</v>
      </c>
      <c r="F840">
        <v>0</v>
      </c>
      <c r="G840">
        <f>INDEX(weekly!$E$2:$E$188,MATCH('Marketing Campaigns 22.11.22'!L840,weekly!$H$2:$H$188,0))</f>
        <v>5168.5538709677421</v>
      </c>
      <c r="H840">
        <f>INDEX(weekly!$D$2:$D$188,MATCH('Marketing Campaigns 22.11.22'!L840,weekly!$H$2:$H$188,0))</f>
        <v>793.70967741935488</v>
      </c>
      <c r="I840">
        <f>INDEX(weekly!$F$2:$F$188,MATCH('Marketing Campaigns 22.11.22'!L840,weekly!$H$2:$H$188,0))</f>
        <v>0</v>
      </c>
      <c r="J840">
        <v>0</v>
      </c>
      <c r="K840">
        <v>0</v>
      </c>
      <c r="L840" t="str">
        <f t="shared" si="26"/>
        <v>3-1-2022</v>
      </c>
      <c r="M840">
        <f t="shared" si="27"/>
        <v>2022</v>
      </c>
    </row>
    <row r="841" spans="1:13" x14ac:dyDescent="0.2">
      <c r="A841" s="1">
        <v>44578</v>
      </c>
      <c r="B841">
        <v>3</v>
      </c>
      <c r="C841">
        <v>1</v>
      </c>
      <c r="D841">
        <v>1</v>
      </c>
      <c r="E841" t="s">
        <v>51</v>
      </c>
      <c r="F841">
        <v>0</v>
      </c>
      <c r="G841">
        <f>INDEX(weekly!$E$2:$E$188,MATCH('Marketing Campaigns 22.11.22'!L841,weekly!$H$2:$H$188,0))</f>
        <v>5168.5538709677421</v>
      </c>
      <c r="H841">
        <f>INDEX(weekly!$D$2:$D$188,MATCH('Marketing Campaigns 22.11.22'!L841,weekly!$H$2:$H$188,0))</f>
        <v>793.70967741935488</v>
      </c>
      <c r="I841">
        <f>INDEX(weekly!$F$2:$F$188,MATCH('Marketing Campaigns 22.11.22'!L841,weekly!$H$2:$H$188,0))</f>
        <v>0</v>
      </c>
      <c r="J841">
        <v>0</v>
      </c>
      <c r="K841">
        <v>0</v>
      </c>
      <c r="L841" t="str">
        <f t="shared" si="26"/>
        <v>3-1-2022</v>
      </c>
      <c r="M841">
        <f t="shared" si="27"/>
        <v>2022</v>
      </c>
    </row>
    <row r="842" spans="1:13" x14ac:dyDescent="0.2">
      <c r="A842" s="1">
        <v>44578</v>
      </c>
      <c r="B842">
        <v>3</v>
      </c>
      <c r="C842">
        <v>1</v>
      </c>
      <c r="D842">
        <v>1</v>
      </c>
      <c r="E842" t="s">
        <v>52</v>
      </c>
      <c r="F842">
        <v>0</v>
      </c>
      <c r="G842">
        <f>INDEX(weekly!$E$2:$E$188,MATCH('Marketing Campaigns 22.11.22'!L842,weekly!$H$2:$H$188,0))</f>
        <v>5168.5538709677421</v>
      </c>
      <c r="H842">
        <f>INDEX(weekly!$D$2:$D$188,MATCH('Marketing Campaigns 22.11.22'!L842,weekly!$H$2:$H$188,0))</f>
        <v>793.70967741935488</v>
      </c>
      <c r="I842">
        <f>INDEX(weekly!$F$2:$F$188,MATCH('Marketing Campaigns 22.11.22'!L842,weekly!$H$2:$H$188,0))</f>
        <v>0</v>
      </c>
      <c r="J842">
        <v>0</v>
      </c>
      <c r="K842">
        <v>0</v>
      </c>
      <c r="L842" t="str">
        <f t="shared" si="26"/>
        <v>3-1-2022</v>
      </c>
      <c r="M842">
        <f t="shared" si="27"/>
        <v>2022</v>
      </c>
    </row>
    <row r="843" spans="1:13" x14ac:dyDescent="0.2">
      <c r="A843" s="1">
        <v>44585</v>
      </c>
      <c r="B843">
        <v>4</v>
      </c>
      <c r="C843">
        <v>1</v>
      </c>
      <c r="D843">
        <v>1</v>
      </c>
      <c r="E843" t="s">
        <v>24</v>
      </c>
      <c r="F843">
        <v>0</v>
      </c>
      <c r="G843">
        <f>INDEX(weekly!$E$2:$E$188,MATCH('Marketing Campaigns 22.11.22'!L843,weekly!$H$2:$H$188,0))</f>
        <v>5168.5538709677421</v>
      </c>
      <c r="H843">
        <f>INDEX(weekly!$D$2:$D$188,MATCH('Marketing Campaigns 22.11.22'!L843,weekly!$H$2:$H$188,0))</f>
        <v>793.70967741935488</v>
      </c>
      <c r="I843">
        <f>INDEX(weekly!$F$2:$F$188,MATCH('Marketing Campaigns 22.11.22'!L843,weekly!$H$2:$H$188,0))</f>
        <v>0</v>
      </c>
      <c r="J843">
        <v>0</v>
      </c>
      <c r="K843">
        <v>0</v>
      </c>
      <c r="L843" t="str">
        <f t="shared" si="26"/>
        <v>4-1-2022</v>
      </c>
      <c r="M843">
        <f t="shared" si="27"/>
        <v>2022</v>
      </c>
    </row>
    <row r="844" spans="1:13" x14ac:dyDescent="0.2">
      <c r="A844" s="1">
        <v>44585</v>
      </c>
      <c r="B844">
        <v>4</v>
      </c>
      <c r="C844">
        <v>1</v>
      </c>
      <c r="D844">
        <v>1</v>
      </c>
      <c r="E844" t="s">
        <v>39</v>
      </c>
      <c r="F844">
        <v>0</v>
      </c>
      <c r="G844">
        <f>INDEX(weekly!$E$2:$E$188,MATCH('Marketing Campaigns 22.11.22'!L844,weekly!$H$2:$H$188,0))</f>
        <v>5168.5538709677421</v>
      </c>
      <c r="H844">
        <f>INDEX(weekly!$D$2:$D$188,MATCH('Marketing Campaigns 22.11.22'!L844,weekly!$H$2:$H$188,0))</f>
        <v>793.70967741935488</v>
      </c>
      <c r="I844">
        <f>INDEX(weekly!$F$2:$F$188,MATCH('Marketing Campaigns 22.11.22'!L844,weekly!$H$2:$H$188,0))</f>
        <v>0</v>
      </c>
      <c r="J844">
        <v>0</v>
      </c>
      <c r="K844">
        <v>0</v>
      </c>
      <c r="L844" t="str">
        <f t="shared" si="26"/>
        <v>4-1-2022</v>
      </c>
      <c r="M844">
        <f t="shared" si="27"/>
        <v>2022</v>
      </c>
    </row>
    <row r="845" spans="1:13" x14ac:dyDescent="0.2">
      <c r="A845" s="1">
        <v>44585</v>
      </c>
      <c r="B845">
        <v>4</v>
      </c>
      <c r="C845">
        <v>1</v>
      </c>
      <c r="D845">
        <v>1</v>
      </c>
      <c r="E845" t="s">
        <v>40</v>
      </c>
      <c r="F845">
        <v>0</v>
      </c>
      <c r="G845">
        <f>INDEX(weekly!$E$2:$E$188,MATCH('Marketing Campaigns 22.11.22'!L845,weekly!$H$2:$H$188,0))</f>
        <v>5168.5538709677421</v>
      </c>
      <c r="H845">
        <f>INDEX(weekly!$D$2:$D$188,MATCH('Marketing Campaigns 22.11.22'!L845,weekly!$H$2:$H$188,0))</f>
        <v>793.70967741935488</v>
      </c>
      <c r="I845">
        <f>INDEX(weekly!$F$2:$F$188,MATCH('Marketing Campaigns 22.11.22'!L845,weekly!$H$2:$H$188,0))</f>
        <v>0</v>
      </c>
      <c r="J845">
        <v>0</v>
      </c>
      <c r="K845">
        <v>0</v>
      </c>
      <c r="L845" t="str">
        <f t="shared" si="26"/>
        <v>4-1-2022</v>
      </c>
      <c r="M845">
        <f t="shared" si="27"/>
        <v>2022</v>
      </c>
    </row>
    <row r="846" spans="1:13" x14ac:dyDescent="0.2">
      <c r="A846" s="1">
        <v>44585</v>
      </c>
      <c r="B846">
        <v>4</v>
      </c>
      <c r="C846">
        <v>1</v>
      </c>
      <c r="D846">
        <v>1</v>
      </c>
      <c r="E846" t="s">
        <v>41</v>
      </c>
      <c r="F846">
        <v>0</v>
      </c>
      <c r="G846">
        <f>INDEX(weekly!$E$2:$E$188,MATCH('Marketing Campaigns 22.11.22'!L846,weekly!$H$2:$H$188,0))</f>
        <v>5168.5538709677421</v>
      </c>
      <c r="H846">
        <f>INDEX(weekly!$D$2:$D$188,MATCH('Marketing Campaigns 22.11.22'!L846,weekly!$H$2:$H$188,0))</f>
        <v>793.70967741935488</v>
      </c>
      <c r="I846">
        <f>INDEX(weekly!$F$2:$F$188,MATCH('Marketing Campaigns 22.11.22'!L846,weekly!$H$2:$H$188,0))</f>
        <v>0</v>
      </c>
      <c r="J846">
        <v>0</v>
      </c>
      <c r="K846">
        <v>0</v>
      </c>
      <c r="L846" t="str">
        <f t="shared" si="26"/>
        <v>4-1-2022</v>
      </c>
      <c r="M846">
        <f t="shared" si="27"/>
        <v>2022</v>
      </c>
    </row>
    <row r="847" spans="1:13" x14ac:dyDescent="0.2">
      <c r="A847" s="1">
        <v>44585</v>
      </c>
      <c r="B847">
        <v>4</v>
      </c>
      <c r="C847">
        <v>1</v>
      </c>
      <c r="D847">
        <v>1</v>
      </c>
      <c r="E847" t="s">
        <v>42</v>
      </c>
      <c r="F847">
        <v>0</v>
      </c>
      <c r="G847">
        <f>INDEX(weekly!$E$2:$E$188,MATCH('Marketing Campaigns 22.11.22'!L847,weekly!$H$2:$H$188,0))</f>
        <v>5168.5538709677421</v>
      </c>
      <c r="H847">
        <f>INDEX(weekly!$D$2:$D$188,MATCH('Marketing Campaigns 22.11.22'!L847,weekly!$H$2:$H$188,0))</f>
        <v>793.70967741935488</v>
      </c>
      <c r="I847">
        <f>INDEX(weekly!$F$2:$F$188,MATCH('Marketing Campaigns 22.11.22'!L847,weekly!$H$2:$H$188,0))</f>
        <v>0</v>
      </c>
      <c r="J847">
        <v>0</v>
      </c>
      <c r="K847">
        <v>0</v>
      </c>
      <c r="L847" t="str">
        <f t="shared" si="26"/>
        <v>4-1-2022</v>
      </c>
      <c r="M847">
        <f t="shared" si="27"/>
        <v>2022</v>
      </c>
    </row>
    <row r="848" spans="1:13" x14ac:dyDescent="0.2">
      <c r="A848" s="1">
        <v>44585</v>
      </c>
      <c r="B848">
        <v>4</v>
      </c>
      <c r="C848">
        <v>1</v>
      </c>
      <c r="D848">
        <v>1</v>
      </c>
      <c r="E848" t="s">
        <v>43</v>
      </c>
      <c r="F848">
        <v>0</v>
      </c>
      <c r="G848">
        <f>INDEX(weekly!$E$2:$E$188,MATCH('Marketing Campaigns 22.11.22'!L848,weekly!$H$2:$H$188,0))</f>
        <v>5168.5538709677421</v>
      </c>
      <c r="H848">
        <f>INDEX(weekly!$D$2:$D$188,MATCH('Marketing Campaigns 22.11.22'!L848,weekly!$H$2:$H$188,0))</f>
        <v>793.70967741935488</v>
      </c>
      <c r="I848">
        <f>INDEX(weekly!$F$2:$F$188,MATCH('Marketing Campaigns 22.11.22'!L848,weekly!$H$2:$H$188,0))</f>
        <v>0</v>
      </c>
      <c r="J848">
        <v>0</v>
      </c>
      <c r="K848">
        <v>0</v>
      </c>
      <c r="L848" t="str">
        <f t="shared" si="26"/>
        <v>4-1-2022</v>
      </c>
      <c r="M848">
        <f t="shared" si="27"/>
        <v>2022</v>
      </c>
    </row>
    <row r="849" spans="1:13" x14ac:dyDescent="0.2">
      <c r="A849" s="1">
        <v>44585</v>
      </c>
      <c r="B849">
        <v>4</v>
      </c>
      <c r="C849">
        <v>1</v>
      </c>
      <c r="D849">
        <v>1</v>
      </c>
      <c r="E849" t="s">
        <v>44</v>
      </c>
      <c r="F849">
        <v>0</v>
      </c>
      <c r="G849">
        <f>INDEX(weekly!$E$2:$E$188,MATCH('Marketing Campaigns 22.11.22'!L849,weekly!$H$2:$H$188,0))</f>
        <v>5168.5538709677421</v>
      </c>
      <c r="H849">
        <f>INDEX(weekly!$D$2:$D$188,MATCH('Marketing Campaigns 22.11.22'!L849,weekly!$H$2:$H$188,0))</f>
        <v>793.70967741935488</v>
      </c>
      <c r="I849">
        <f>INDEX(weekly!$F$2:$F$188,MATCH('Marketing Campaigns 22.11.22'!L849,weekly!$H$2:$H$188,0))</f>
        <v>0</v>
      </c>
      <c r="J849">
        <v>0</v>
      </c>
      <c r="K849">
        <v>0</v>
      </c>
      <c r="L849" t="str">
        <f t="shared" si="26"/>
        <v>4-1-2022</v>
      </c>
      <c r="M849">
        <f t="shared" si="27"/>
        <v>2022</v>
      </c>
    </row>
    <row r="850" spans="1:13" x14ac:dyDescent="0.2">
      <c r="A850" s="1">
        <v>44585</v>
      </c>
      <c r="B850">
        <v>4</v>
      </c>
      <c r="C850">
        <v>1</v>
      </c>
      <c r="D850">
        <v>1</v>
      </c>
      <c r="E850" t="s">
        <v>45</v>
      </c>
      <c r="F850">
        <v>0</v>
      </c>
      <c r="G850">
        <f>INDEX(weekly!$E$2:$E$188,MATCH('Marketing Campaigns 22.11.22'!L850,weekly!$H$2:$H$188,0))</f>
        <v>5168.5538709677421</v>
      </c>
      <c r="H850">
        <f>INDEX(weekly!$D$2:$D$188,MATCH('Marketing Campaigns 22.11.22'!L850,weekly!$H$2:$H$188,0))</f>
        <v>793.70967741935488</v>
      </c>
      <c r="I850">
        <f>INDEX(weekly!$F$2:$F$188,MATCH('Marketing Campaigns 22.11.22'!L850,weekly!$H$2:$H$188,0))</f>
        <v>0</v>
      </c>
      <c r="J850">
        <v>0</v>
      </c>
      <c r="K850">
        <v>0</v>
      </c>
      <c r="L850" t="str">
        <f t="shared" si="26"/>
        <v>4-1-2022</v>
      </c>
      <c r="M850">
        <f t="shared" si="27"/>
        <v>2022</v>
      </c>
    </row>
    <row r="851" spans="1:13" x14ac:dyDescent="0.2">
      <c r="A851" s="1">
        <v>44585</v>
      </c>
      <c r="B851">
        <v>4</v>
      </c>
      <c r="C851">
        <v>1</v>
      </c>
      <c r="D851">
        <v>1</v>
      </c>
      <c r="E851" t="s">
        <v>46</v>
      </c>
      <c r="F851">
        <v>0</v>
      </c>
      <c r="G851">
        <f>INDEX(weekly!$E$2:$E$188,MATCH('Marketing Campaigns 22.11.22'!L851,weekly!$H$2:$H$188,0))</f>
        <v>5168.5538709677421</v>
      </c>
      <c r="H851">
        <f>INDEX(weekly!$D$2:$D$188,MATCH('Marketing Campaigns 22.11.22'!L851,weekly!$H$2:$H$188,0))</f>
        <v>793.70967741935488</v>
      </c>
      <c r="I851">
        <f>INDEX(weekly!$F$2:$F$188,MATCH('Marketing Campaigns 22.11.22'!L851,weekly!$H$2:$H$188,0))</f>
        <v>0</v>
      </c>
      <c r="J851">
        <v>0</v>
      </c>
      <c r="K851">
        <v>0</v>
      </c>
      <c r="L851" t="str">
        <f t="shared" si="26"/>
        <v>4-1-2022</v>
      </c>
      <c r="M851">
        <f t="shared" si="27"/>
        <v>2022</v>
      </c>
    </row>
    <row r="852" spans="1:13" x14ac:dyDescent="0.2">
      <c r="A852" s="1">
        <v>44585</v>
      </c>
      <c r="B852">
        <v>4</v>
      </c>
      <c r="C852">
        <v>1</v>
      </c>
      <c r="D852">
        <v>1</v>
      </c>
      <c r="E852" t="s">
        <v>47</v>
      </c>
      <c r="F852">
        <v>0</v>
      </c>
      <c r="G852">
        <f>INDEX(weekly!$E$2:$E$188,MATCH('Marketing Campaigns 22.11.22'!L852,weekly!$H$2:$H$188,0))</f>
        <v>5168.5538709677421</v>
      </c>
      <c r="H852">
        <f>INDEX(weekly!$D$2:$D$188,MATCH('Marketing Campaigns 22.11.22'!L852,weekly!$H$2:$H$188,0))</f>
        <v>793.70967741935488</v>
      </c>
      <c r="I852">
        <f>INDEX(weekly!$F$2:$F$188,MATCH('Marketing Campaigns 22.11.22'!L852,weekly!$H$2:$H$188,0))</f>
        <v>0</v>
      </c>
      <c r="J852">
        <v>0</v>
      </c>
      <c r="K852">
        <v>0</v>
      </c>
      <c r="L852" t="str">
        <f t="shared" si="26"/>
        <v>4-1-2022</v>
      </c>
      <c r="M852">
        <f t="shared" si="27"/>
        <v>2022</v>
      </c>
    </row>
    <row r="853" spans="1:13" x14ac:dyDescent="0.2">
      <c r="A853" s="1">
        <v>44585</v>
      </c>
      <c r="B853">
        <v>4</v>
      </c>
      <c r="C853">
        <v>1</v>
      </c>
      <c r="D853">
        <v>1</v>
      </c>
      <c r="E853" t="s">
        <v>48</v>
      </c>
      <c r="F853">
        <v>0</v>
      </c>
      <c r="G853">
        <f>INDEX(weekly!$E$2:$E$188,MATCH('Marketing Campaigns 22.11.22'!L853,weekly!$H$2:$H$188,0))</f>
        <v>5168.5538709677421</v>
      </c>
      <c r="H853">
        <f>INDEX(weekly!$D$2:$D$188,MATCH('Marketing Campaigns 22.11.22'!L853,weekly!$H$2:$H$188,0))</f>
        <v>793.70967741935488</v>
      </c>
      <c r="I853">
        <f>INDEX(weekly!$F$2:$F$188,MATCH('Marketing Campaigns 22.11.22'!L853,weekly!$H$2:$H$188,0))</f>
        <v>0</v>
      </c>
      <c r="J853">
        <v>0</v>
      </c>
      <c r="K853">
        <v>0</v>
      </c>
      <c r="L853" t="str">
        <f t="shared" si="26"/>
        <v>4-1-2022</v>
      </c>
      <c r="M853">
        <f t="shared" si="27"/>
        <v>2022</v>
      </c>
    </row>
    <row r="854" spans="1:13" x14ac:dyDescent="0.2">
      <c r="A854" s="1">
        <v>44585</v>
      </c>
      <c r="B854">
        <v>4</v>
      </c>
      <c r="C854">
        <v>1</v>
      </c>
      <c r="D854">
        <v>1</v>
      </c>
      <c r="E854" t="s">
        <v>49</v>
      </c>
      <c r="F854">
        <v>0</v>
      </c>
      <c r="G854">
        <f>INDEX(weekly!$E$2:$E$188,MATCH('Marketing Campaigns 22.11.22'!L854,weekly!$H$2:$H$188,0))</f>
        <v>5168.5538709677421</v>
      </c>
      <c r="H854">
        <f>INDEX(weekly!$D$2:$D$188,MATCH('Marketing Campaigns 22.11.22'!L854,weekly!$H$2:$H$188,0))</f>
        <v>793.70967741935488</v>
      </c>
      <c r="I854">
        <f>INDEX(weekly!$F$2:$F$188,MATCH('Marketing Campaigns 22.11.22'!L854,weekly!$H$2:$H$188,0))</f>
        <v>0</v>
      </c>
      <c r="J854">
        <v>0</v>
      </c>
      <c r="K854">
        <v>0</v>
      </c>
      <c r="L854" t="str">
        <f t="shared" si="26"/>
        <v>4-1-2022</v>
      </c>
      <c r="M854">
        <f t="shared" si="27"/>
        <v>2022</v>
      </c>
    </row>
    <row r="855" spans="1:13" x14ac:dyDescent="0.2">
      <c r="A855" s="1">
        <v>44585</v>
      </c>
      <c r="B855">
        <v>4</v>
      </c>
      <c r="C855">
        <v>1</v>
      </c>
      <c r="D855">
        <v>1</v>
      </c>
      <c r="E855" t="s">
        <v>50</v>
      </c>
      <c r="F855">
        <v>0</v>
      </c>
      <c r="G855">
        <f>INDEX(weekly!$E$2:$E$188,MATCH('Marketing Campaigns 22.11.22'!L855,weekly!$H$2:$H$188,0))</f>
        <v>5168.5538709677421</v>
      </c>
      <c r="H855">
        <f>INDEX(weekly!$D$2:$D$188,MATCH('Marketing Campaigns 22.11.22'!L855,weekly!$H$2:$H$188,0))</f>
        <v>793.70967741935488</v>
      </c>
      <c r="I855">
        <f>INDEX(weekly!$F$2:$F$188,MATCH('Marketing Campaigns 22.11.22'!L855,weekly!$H$2:$H$188,0))</f>
        <v>0</v>
      </c>
      <c r="J855">
        <v>0</v>
      </c>
      <c r="K855">
        <v>0</v>
      </c>
      <c r="L855" t="str">
        <f t="shared" si="26"/>
        <v>4-1-2022</v>
      </c>
      <c r="M855">
        <f t="shared" si="27"/>
        <v>2022</v>
      </c>
    </row>
    <row r="856" spans="1:13" x14ac:dyDescent="0.2">
      <c r="A856" s="1">
        <v>44585</v>
      </c>
      <c r="B856">
        <v>4</v>
      </c>
      <c r="C856">
        <v>1</v>
      </c>
      <c r="D856">
        <v>1</v>
      </c>
      <c r="E856" t="s">
        <v>51</v>
      </c>
      <c r="F856">
        <v>0</v>
      </c>
      <c r="G856">
        <f>INDEX(weekly!$E$2:$E$188,MATCH('Marketing Campaigns 22.11.22'!L856,weekly!$H$2:$H$188,0))</f>
        <v>5168.5538709677421</v>
      </c>
      <c r="H856">
        <f>INDEX(weekly!$D$2:$D$188,MATCH('Marketing Campaigns 22.11.22'!L856,weekly!$H$2:$H$188,0))</f>
        <v>793.70967741935488</v>
      </c>
      <c r="I856">
        <f>INDEX(weekly!$F$2:$F$188,MATCH('Marketing Campaigns 22.11.22'!L856,weekly!$H$2:$H$188,0))</f>
        <v>0</v>
      </c>
      <c r="J856">
        <v>0</v>
      </c>
      <c r="K856">
        <v>0</v>
      </c>
      <c r="L856" t="str">
        <f t="shared" si="26"/>
        <v>4-1-2022</v>
      </c>
      <c r="M856">
        <f t="shared" si="27"/>
        <v>2022</v>
      </c>
    </row>
    <row r="857" spans="1:13" x14ac:dyDescent="0.2">
      <c r="A857" s="1">
        <v>44585</v>
      </c>
      <c r="B857">
        <v>4</v>
      </c>
      <c r="C857">
        <v>1</v>
      </c>
      <c r="D857">
        <v>1</v>
      </c>
      <c r="E857" t="s">
        <v>52</v>
      </c>
      <c r="F857">
        <v>0</v>
      </c>
      <c r="G857">
        <f>INDEX(weekly!$E$2:$E$188,MATCH('Marketing Campaigns 22.11.22'!L857,weekly!$H$2:$H$188,0))</f>
        <v>5168.5538709677421</v>
      </c>
      <c r="H857">
        <f>INDEX(weekly!$D$2:$D$188,MATCH('Marketing Campaigns 22.11.22'!L857,weekly!$H$2:$H$188,0))</f>
        <v>793.70967741935488</v>
      </c>
      <c r="I857">
        <f>INDEX(weekly!$F$2:$F$188,MATCH('Marketing Campaigns 22.11.22'!L857,weekly!$H$2:$H$188,0))</f>
        <v>0</v>
      </c>
      <c r="J857">
        <v>0</v>
      </c>
      <c r="K857">
        <v>0</v>
      </c>
      <c r="L857" t="str">
        <f t="shared" si="26"/>
        <v>4-1-2022</v>
      </c>
      <c r="M857">
        <f t="shared" si="27"/>
        <v>2022</v>
      </c>
    </row>
    <row r="858" spans="1:13" x14ac:dyDescent="0.2">
      <c r="A858" s="1">
        <v>44592</v>
      </c>
      <c r="B858">
        <v>5</v>
      </c>
      <c r="C858">
        <v>1</v>
      </c>
      <c r="D858">
        <v>1</v>
      </c>
      <c r="E858" t="s">
        <v>24</v>
      </c>
      <c r="F858">
        <v>0</v>
      </c>
      <c r="G858">
        <f>INDEX(weekly!$E$2:$E$188,MATCH('Marketing Campaigns 22.11.22'!L858,weekly!$H$2:$H$188,0))</f>
        <v>738.36483870967743</v>
      </c>
      <c r="H858">
        <f>INDEX(weekly!$D$2:$D$188,MATCH('Marketing Campaigns 22.11.22'!L858,weekly!$H$2:$H$188,0))</f>
        <v>113.38709677419355</v>
      </c>
      <c r="I858">
        <f>INDEX(weekly!$F$2:$F$188,MATCH('Marketing Campaigns 22.11.22'!L858,weekly!$H$2:$H$188,0))</f>
        <v>0</v>
      </c>
      <c r="J858">
        <v>0</v>
      </c>
      <c r="K858">
        <v>0</v>
      </c>
      <c r="L858" t="str">
        <f t="shared" si="26"/>
        <v>5-1-2022</v>
      </c>
      <c r="M858">
        <f t="shared" si="27"/>
        <v>2022</v>
      </c>
    </row>
    <row r="859" spans="1:13" x14ac:dyDescent="0.2">
      <c r="A859" s="1">
        <v>44592</v>
      </c>
      <c r="B859">
        <v>5</v>
      </c>
      <c r="C859">
        <v>1</v>
      </c>
      <c r="D859">
        <v>1</v>
      </c>
      <c r="E859" t="s">
        <v>39</v>
      </c>
      <c r="F859">
        <v>0</v>
      </c>
      <c r="G859">
        <f>INDEX(weekly!$E$2:$E$188,MATCH('Marketing Campaigns 22.11.22'!L859,weekly!$H$2:$H$188,0))</f>
        <v>738.36483870967743</v>
      </c>
      <c r="H859">
        <f>INDEX(weekly!$D$2:$D$188,MATCH('Marketing Campaigns 22.11.22'!L859,weekly!$H$2:$H$188,0))</f>
        <v>113.38709677419355</v>
      </c>
      <c r="I859">
        <f>INDEX(weekly!$F$2:$F$188,MATCH('Marketing Campaigns 22.11.22'!L859,weekly!$H$2:$H$188,0))</f>
        <v>0</v>
      </c>
      <c r="J859">
        <v>0</v>
      </c>
      <c r="K859">
        <v>0</v>
      </c>
      <c r="L859" t="str">
        <f t="shared" si="26"/>
        <v>5-1-2022</v>
      </c>
      <c r="M859">
        <f t="shared" si="27"/>
        <v>2022</v>
      </c>
    </row>
    <row r="860" spans="1:13" x14ac:dyDescent="0.2">
      <c r="A860" s="1">
        <v>44592</v>
      </c>
      <c r="B860">
        <v>5</v>
      </c>
      <c r="C860">
        <v>1</v>
      </c>
      <c r="D860">
        <v>1</v>
      </c>
      <c r="E860" t="s">
        <v>40</v>
      </c>
      <c r="F860">
        <v>0</v>
      </c>
      <c r="G860">
        <f>INDEX(weekly!$E$2:$E$188,MATCH('Marketing Campaigns 22.11.22'!L860,weekly!$H$2:$H$188,0))</f>
        <v>738.36483870967743</v>
      </c>
      <c r="H860">
        <f>INDEX(weekly!$D$2:$D$188,MATCH('Marketing Campaigns 22.11.22'!L860,weekly!$H$2:$H$188,0))</f>
        <v>113.38709677419355</v>
      </c>
      <c r="I860">
        <f>INDEX(weekly!$F$2:$F$188,MATCH('Marketing Campaigns 22.11.22'!L860,weekly!$H$2:$H$188,0))</f>
        <v>0</v>
      </c>
      <c r="J860">
        <v>0</v>
      </c>
      <c r="K860">
        <v>0</v>
      </c>
      <c r="L860" t="str">
        <f t="shared" si="26"/>
        <v>5-1-2022</v>
      </c>
      <c r="M860">
        <f t="shared" si="27"/>
        <v>2022</v>
      </c>
    </row>
    <row r="861" spans="1:13" x14ac:dyDescent="0.2">
      <c r="A861" s="1">
        <v>44592</v>
      </c>
      <c r="B861">
        <v>5</v>
      </c>
      <c r="C861">
        <v>1</v>
      </c>
      <c r="D861">
        <v>1</v>
      </c>
      <c r="E861" t="s">
        <v>41</v>
      </c>
      <c r="F861">
        <v>0</v>
      </c>
      <c r="G861">
        <f>INDEX(weekly!$E$2:$E$188,MATCH('Marketing Campaigns 22.11.22'!L861,weekly!$H$2:$H$188,0))</f>
        <v>738.36483870967743</v>
      </c>
      <c r="H861">
        <f>INDEX(weekly!$D$2:$D$188,MATCH('Marketing Campaigns 22.11.22'!L861,weekly!$H$2:$H$188,0))</f>
        <v>113.38709677419355</v>
      </c>
      <c r="I861">
        <f>INDEX(weekly!$F$2:$F$188,MATCH('Marketing Campaigns 22.11.22'!L861,weekly!$H$2:$H$188,0))</f>
        <v>0</v>
      </c>
      <c r="J861">
        <v>0</v>
      </c>
      <c r="K861">
        <v>0</v>
      </c>
      <c r="L861" t="str">
        <f t="shared" si="26"/>
        <v>5-1-2022</v>
      </c>
      <c r="M861">
        <f t="shared" si="27"/>
        <v>2022</v>
      </c>
    </row>
    <row r="862" spans="1:13" x14ac:dyDescent="0.2">
      <c r="A862" s="1">
        <v>44592</v>
      </c>
      <c r="B862">
        <v>5</v>
      </c>
      <c r="C862">
        <v>1</v>
      </c>
      <c r="D862">
        <v>1</v>
      </c>
      <c r="E862" t="s">
        <v>42</v>
      </c>
      <c r="F862">
        <v>0</v>
      </c>
      <c r="G862">
        <f>INDEX(weekly!$E$2:$E$188,MATCH('Marketing Campaigns 22.11.22'!L862,weekly!$H$2:$H$188,0))</f>
        <v>738.36483870967743</v>
      </c>
      <c r="H862">
        <f>INDEX(weekly!$D$2:$D$188,MATCH('Marketing Campaigns 22.11.22'!L862,weekly!$H$2:$H$188,0))</f>
        <v>113.38709677419355</v>
      </c>
      <c r="I862">
        <f>INDEX(weekly!$F$2:$F$188,MATCH('Marketing Campaigns 22.11.22'!L862,weekly!$H$2:$H$188,0))</f>
        <v>0</v>
      </c>
      <c r="J862">
        <v>0</v>
      </c>
      <c r="K862">
        <v>0</v>
      </c>
      <c r="L862" t="str">
        <f t="shared" si="26"/>
        <v>5-1-2022</v>
      </c>
      <c r="M862">
        <f t="shared" si="27"/>
        <v>2022</v>
      </c>
    </row>
    <row r="863" spans="1:13" x14ac:dyDescent="0.2">
      <c r="A863" s="1">
        <v>44592</v>
      </c>
      <c r="B863">
        <v>5</v>
      </c>
      <c r="C863">
        <v>1</v>
      </c>
      <c r="D863">
        <v>1</v>
      </c>
      <c r="E863" t="s">
        <v>43</v>
      </c>
      <c r="F863">
        <v>0</v>
      </c>
      <c r="G863">
        <f>INDEX(weekly!$E$2:$E$188,MATCH('Marketing Campaigns 22.11.22'!L863,weekly!$H$2:$H$188,0))</f>
        <v>738.36483870967743</v>
      </c>
      <c r="H863">
        <f>INDEX(weekly!$D$2:$D$188,MATCH('Marketing Campaigns 22.11.22'!L863,weekly!$H$2:$H$188,0))</f>
        <v>113.38709677419355</v>
      </c>
      <c r="I863">
        <f>INDEX(weekly!$F$2:$F$188,MATCH('Marketing Campaigns 22.11.22'!L863,weekly!$H$2:$H$188,0))</f>
        <v>0</v>
      </c>
      <c r="J863">
        <v>0</v>
      </c>
      <c r="K863">
        <v>0</v>
      </c>
      <c r="L863" t="str">
        <f t="shared" si="26"/>
        <v>5-1-2022</v>
      </c>
      <c r="M863">
        <f t="shared" si="27"/>
        <v>2022</v>
      </c>
    </row>
    <row r="864" spans="1:13" x14ac:dyDescent="0.2">
      <c r="A864" s="1">
        <v>44592</v>
      </c>
      <c r="B864">
        <v>5</v>
      </c>
      <c r="C864">
        <v>1</v>
      </c>
      <c r="D864">
        <v>1</v>
      </c>
      <c r="E864" t="s">
        <v>44</v>
      </c>
      <c r="F864">
        <v>0</v>
      </c>
      <c r="G864">
        <f>INDEX(weekly!$E$2:$E$188,MATCH('Marketing Campaigns 22.11.22'!L864,weekly!$H$2:$H$188,0))</f>
        <v>738.36483870967743</v>
      </c>
      <c r="H864">
        <f>INDEX(weekly!$D$2:$D$188,MATCH('Marketing Campaigns 22.11.22'!L864,weekly!$H$2:$H$188,0))</f>
        <v>113.38709677419355</v>
      </c>
      <c r="I864">
        <f>INDEX(weekly!$F$2:$F$188,MATCH('Marketing Campaigns 22.11.22'!L864,weekly!$H$2:$H$188,0))</f>
        <v>0</v>
      </c>
      <c r="J864">
        <v>0</v>
      </c>
      <c r="K864">
        <v>0</v>
      </c>
      <c r="L864" t="str">
        <f t="shared" si="26"/>
        <v>5-1-2022</v>
      </c>
      <c r="M864">
        <f t="shared" si="27"/>
        <v>2022</v>
      </c>
    </row>
    <row r="865" spans="1:13" x14ac:dyDescent="0.2">
      <c r="A865" s="1">
        <v>44592</v>
      </c>
      <c r="B865">
        <v>5</v>
      </c>
      <c r="C865">
        <v>1</v>
      </c>
      <c r="D865">
        <v>1</v>
      </c>
      <c r="E865" t="s">
        <v>45</v>
      </c>
      <c r="F865">
        <v>0</v>
      </c>
      <c r="G865">
        <f>INDEX(weekly!$E$2:$E$188,MATCH('Marketing Campaigns 22.11.22'!L865,weekly!$H$2:$H$188,0))</f>
        <v>738.36483870967743</v>
      </c>
      <c r="H865">
        <f>INDEX(weekly!$D$2:$D$188,MATCH('Marketing Campaigns 22.11.22'!L865,weekly!$H$2:$H$188,0))</f>
        <v>113.38709677419355</v>
      </c>
      <c r="I865">
        <f>INDEX(weekly!$F$2:$F$188,MATCH('Marketing Campaigns 22.11.22'!L865,weekly!$H$2:$H$188,0))</f>
        <v>0</v>
      </c>
      <c r="J865">
        <v>0</v>
      </c>
      <c r="K865">
        <v>0</v>
      </c>
      <c r="L865" t="str">
        <f t="shared" si="26"/>
        <v>5-1-2022</v>
      </c>
      <c r="M865">
        <f t="shared" si="27"/>
        <v>2022</v>
      </c>
    </row>
    <row r="866" spans="1:13" x14ac:dyDescent="0.2">
      <c r="A866" s="1">
        <v>44592</v>
      </c>
      <c r="B866">
        <v>5</v>
      </c>
      <c r="C866">
        <v>1</v>
      </c>
      <c r="D866">
        <v>1</v>
      </c>
      <c r="E866" t="s">
        <v>46</v>
      </c>
      <c r="F866">
        <v>0</v>
      </c>
      <c r="G866">
        <f>INDEX(weekly!$E$2:$E$188,MATCH('Marketing Campaigns 22.11.22'!L866,weekly!$H$2:$H$188,0))</f>
        <v>738.36483870967743</v>
      </c>
      <c r="H866">
        <f>INDEX(weekly!$D$2:$D$188,MATCH('Marketing Campaigns 22.11.22'!L866,weekly!$H$2:$H$188,0))</f>
        <v>113.38709677419355</v>
      </c>
      <c r="I866">
        <f>INDEX(weekly!$F$2:$F$188,MATCH('Marketing Campaigns 22.11.22'!L866,weekly!$H$2:$H$188,0))</f>
        <v>0</v>
      </c>
      <c r="J866">
        <v>0</v>
      </c>
      <c r="K866">
        <v>0</v>
      </c>
      <c r="L866" t="str">
        <f t="shared" si="26"/>
        <v>5-1-2022</v>
      </c>
      <c r="M866">
        <f t="shared" si="27"/>
        <v>2022</v>
      </c>
    </row>
    <row r="867" spans="1:13" x14ac:dyDescent="0.2">
      <c r="A867" s="1">
        <v>44592</v>
      </c>
      <c r="B867">
        <v>5</v>
      </c>
      <c r="C867">
        <v>1</v>
      </c>
      <c r="D867">
        <v>1</v>
      </c>
      <c r="E867" t="s">
        <v>47</v>
      </c>
      <c r="F867">
        <v>0</v>
      </c>
      <c r="G867">
        <f>INDEX(weekly!$E$2:$E$188,MATCH('Marketing Campaigns 22.11.22'!L867,weekly!$H$2:$H$188,0))</f>
        <v>738.36483870967743</v>
      </c>
      <c r="H867">
        <f>INDEX(weekly!$D$2:$D$188,MATCH('Marketing Campaigns 22.11.22'!L867,weekly!$H$2:$H$188,0))</f>
        <v>113.38709677419355</v>
      </c>
      <c r="I867">
        <f>INDEX(weekly!$F$2:$F$188,MATCH('Marketing Campaigns 22.11.22'!L867,weekly!$H$2:$H$188,0))</f>
        <v>0</v>
      </c>
      <c r="J867">
        <v>0</v>
      </c>
      <c r="K867">
        <v>0</v>
      </c>
      <c r="L867" t="str">
        <f t="shared" si="26"/>
        <v>5-1-2022</v>
      </c>
      <c r="M867">
        <f t="shared" si="27"/>
        <v>2022</v>
      </c>
    </row>
    <row r="868" spans="1:13" x14ac:dyDescent="0.2">
      <c r="A868" s="1">
        <v>44592</v>
      </c>
      <c r="B868">
        <v>5</v>
      </c>
      <c r="C868">
        <v>1</v>
      </c>
      <c r="D868">
        <v>1</v>
      </c>
      <c r="E868" t="s">
        <v>48</v>
      </c>
      <c r="F868">
        <v>0</v>
      </c>
      <c r="G868">
        <f>INDEX(weekly!$E$2:$E$188,MATCH('Marketing Campaigns 22.11.22'!L868,weekly!$H$2:$H$188,0))</f>
        <v>738.36483870967743</v>
      </c>
      <c r="H868">
        <f>INDEX(weekly!$D$2:$D$188,MATCH('Marketing Campaigns 22.11.22'!L868,weekly!$H$2:$H$188,0))</f>
        <v>113.38709677419355</v>
      </c>
      <c r="I868">
        <f>INDEX(weekly!$F$2:$F$188,MATCH('Marketing Campaigns 22.11.22'!L868,weekly!$H$2:$H$188,0))</f>
        <v>0</v>
      </c>
      <c r="J868">
        <v>0</v>
      </c>
      <c r="K868">
        <v>0</v>
      </c>
      <c r="L868" t="str">
        <f t="shared" si="26"/>
        <v>5-1-2022</v>
      </c>
      <c r="M868">
        <f t="shared" si="27"/>
        <v>2022</v>
      </c>
    </row>
    <row r="869" spans="1:13" x14ac:dyDescent="0.2">
      <c r="A869" s="1">
        <v>44592</v>
      </c>
      <c r="B869">
        <v>5</v>
      </c>
      <c r="C869">
        <v>1</v>
      </c>
      <c r="D869">
        <v>1</v>
      </c>
      <c r="E869" t="s">
        <v>49</v>
      </c>
      <c r="F869">
        <v>0</v>
      </c>
      <c r="G869">
        <f>INDEX(weekly!$E$2:$E$188,MATCH('Marketing Campaigns 22.11.22'!L869,weekly!$H$2:$H$188,0))</f>
        <v>738.36483870967743</v>
      </c>
      <c r="H869">
        <f>INDEX(weekly!$D$2:$D$188,MATCH('Marketing Campaigns 22.11.22'!L869,weekly!$H$2:$H$188,0))</f>
        <v>113.38709677419355</v>
      </c>
      <c r="I869">
        <f>INDEX(weekly!$F$2:$F$188,MATCH('Marketing Campaigns 22.11.22'!L869,weekly!$H$2:$H$188,0))</f>
        <v>0</v>
      </c>
      <c r="J869">
        <v>0</v>
      </c>
      <c r="K869">
        <v>0</v>
      </c>
      <c r="L869" t="str">
        <f t="shared" si="26"/>
        <v>5-1-2022</v>
      </c>
      <c r="M869">
        <f t="shared" si="27"/>
        <v>2022</v>
      </c>
    </row>
    <row r="870" spans="1:13" x14ac:dyDescent="0.2">
      <c r="A870" s="1">
        <v>44592</v>
      </c>
      <c r="B870">
        <v>5</v>
      </c>
      <c r="C870">
        <v>1</v>
      </c>
      <c r="D870">
        <v>1</v>
      </c>
      <c r="E870" t="s">
        <v>50</v>
      </c>
      <c r="F870">
        <v>0</v>
      </c>
      <c r="G870">
        <f>INDEX(weekly!$E$2:$E$188,MATCH('Marketing Campaigns 22.11.22'!L870,weekly!$H$2:$H$188,0))</f>
        <v>738.36483870967743</v>
      </c>
      <c r="H870">
        <f>INDEX(weekly!$D$2:$D$188,MATCH('Marketing Campaigns 22.11.22'!L870,weekly!$H$2:$H$188,0))</f>
        <v>113.38709677419355</v>
      </c>
      <c r="I870">
        <f>INDEX(weekly!$F$2:$F$188,MATCH('Marketing Campaigns 22.11.22'!L870,weekly!$H$2:$H$188,0))</f>
        <v>0</v>
      </c>
      <c r="J870">
        <v>0</v>
      </c>
      <c r="K870">
        <v>0</v>
      </c>
      <c r="L870" t="str">
        <f t="shared" si="26"/>
        <v>5-1-2022</v>
      </c>
      <c r="M870">
        <f t="shared" si="27"/>
        <v>2022</v>
      </c>
    </row>
    <row r="871" spans="1:13" x14ac:dyDescent="0.2">
      <c r="A871" s="1">
        <v>44592</v>
      </c>
      <c r="B871">
        <v>5</v>
      </c>
      <c r="C871">
        <v>1</v>
      </c>
      <c r="D871">
        <v>1</v>
      </c>
      <c r="E871" t="s">
        <v>51</v>
      </c>
      <c r="F871">
        <v>0</v>
      </c>
      <c r="G871">
        <f>INDEX(weekly!$E$2:$E$188,MATCH('Marketing Campaigns 22.11.22'!L871,weekly!$H$2:$H$188,0))</f>
        <v>738.36483870967743</v>
      </c>
      <c r="H871">
        <f>INDEX(weekly!$D$2:$D$188,MATCH('Marketing Campaigns 22.11.22'!L871,weekly!$H$2:$H$188,0))</f>
        <v>113.38709677419355</v>
      </c>
      <c r="I871">
        <f>INDEX(weekly!$F$2:$F$188,MATCH('Marketing Campaigns 22.11.22'!L871,weekly!$H$2:$H$188,0))</f>
        <v>0</v>
      </c>
      <c r="J871">
        <v>0</v>
      </c>
      <c r="K871">
        <v>0</v>
      </c>
      <c r="L871" t="str">
        <f t="shared" si="26"/>
        <v>5-1-2022</v>
      </c>
      <c r="M871">
        <f t="shared" si="27"/>
        <v>2022</v>
      </c>
    </row>
    <row r="872" spans="1:13" x14ac:dyDescent="0.2">
      <c r="A872" s="1">
        <v>44592</v>
      </c>
      <c r="B872">
        <v>5</v>
      </c>
      <c r="C872">
        <v>1</v>
      </c>
      <c r="D872">
        <v>1</v>
      </c>
      <c r="E872" t="s">
        <v>52</v>
      </c>
      <c r="F872">
        <v>0</v>
      </c>
      <c r="G872">
        <f>INDEX(weekly!$E$2:$E$188,MATCH('Marketing Campaigns 22.11.22'!L872,weekly!$H$2:$H$188,0))</f>
        <v>738.36483870967743</v>
      </c>
      <c r="H872">
        <f>INDEX(weekly!$D$2:$D$188,MATCH('Marketing Campaigns 22.11.22'!L872,weekly!$H$2:$H$188,0))</f>
        <v>113.38709677419355</v>
      </c>
      <c r="I872">
        <f>INDEX(weekly!$F$2:$F$188,MATCH('Marketing Campaigns 22.11.22'!L872,weekly!$H$2:$H$188,0))</f>
        <v>0</v>
      </c>
      <c r="J872">
        <v>0</v>
      </c>
      <c r="K872">
        <v>0</v>
      </c>
      <c r="L872" t="str">
        <f t="shared" si="26"/>
        <v>5-1-2022</v>
      </c>
      <c r="M872">
        <f t="shared" si="27"/>
        <v>2022</v>
      </c>
    </row>
    <row r="873" spans="1:13" x14ac:dyDescent="0.2">
      <c r="A873" s="1">
        <v>44599</v>
      </c>
      <c r="B873">
        <v>6</v>
      </c>
      <c r="C873">
        <v>2</v>
      </c>
      <c r="D873">
        <v>1</v>
      </c>
      <c r="E873" t="s">
        <v>24</v>
      </c>
      <c r="F873">
        <v>0</v>
      </c>
      <c r="G873">
        <f>INDEX(weekly!$E$2:$E$188,MATCH('Marketing Campaigns 22.11.22'!L873,weekly!$H$2:$H$188,0))</f>
        <v>6400.0924999999997</v>
      </c>
      <c r="H873">
        <f>INDEX(weekly!$D$2:$D$188,MATCH('Marketing Campaigns 22.11.22'!L873,weekly!$H$2:$H$188,0))</f>
        <v>2719.75</v>
      </c>
      <c r="I873">
        <f>INDEX(weekly!$F$2:$F$188,MATCH('Marketing Campaigns 22.11.22'!L873,weekly!$H$2:$H$188,0))</f>
        <v>0</v>
      </c>
      <c r="J873">
        <v>0</v>
      </c>
      <c r="K873">
        <v>0</v>
      </c>
      <c r="L873" t="str">
        <f t="shared" si="26"/>
        <v>6-2-2022</v>
      </c>
      <c r="M873">
        <f t="shared" si="27"/>
        <v>2022</v>
      </c>
    </row>
    <row r="874" spans="1:13" x14ac:dyDescent="0.2">
      <c r="A874" s="1">
        <v>44599</v>
      </c>
      <c r="B874">
        <v>6</v>
      </c>
      <c r="C874">
        <v>2</v>
      </c>
      <c r="D874">
        <v>1</v>
      </c>
      <c r="E874" t="s">
        <v>39</v>
      </c>
      <c r="F874">
        <v>0</v>
      </c>
      <c r="G874">
        <f>INDEX(weekly!$E$2:$E$188,MATCH('Marketing Campaigns 22.11.22'!L874,weekly!$H$2:$H$188,0))</f>
        <v>6400.0924999999997</v>
      </c>
      <c r="H874">
        <f>INDEX(weekly!$D$2:$D$188,MATCH('Marketing Campaigns 22.11.22'!L874,weekly!$H$2:$H$188,0))</f>
        <v>2719.75</v>
      </c>
      <c r="I874">
        <f>INDEX(weekly!$F$2:$F$188,MATCH('Marketing Campaigns 22.11.22'!L874,weekly!$H$2:$H$188,0))</f>
        <v>0</v>
      </c>
      <c r="J874">
        <v>0</v>
      </c>
      <c r="K874">
        <v>0</v>
      </c>
      <c r="L874" t="str">
        <f t="shared" si="26"/>
        <v>6-2-2022</v>
      </c>
      <c r="M874">
        <f t="shared" si="27"/>
        <v>2022</v>
      </c>
    </row>
    <row r="875" spans="1:13" x14ac:dyDescent="0.2">
      <c r="A875" s="1">
        <v>44599</v>
      </c>
      <c r="B875">
        <v>6</v>
      </c>
      <c r="C875">
        <v>2</v>
      </c>
      <c r="D875">
        <v>1</v>
      </c>
      <c r="E875" t="s">
        <v>40</v>
      </c>
      <c r="F875">
        <v>0</v>
      </c>
      <c r="G875">
        <f>INDEX(weekly!$E$2:$E$188,MATCH('Marketing Campaigns 22.11.22'!L875,weekly!$H$2:$H$188,0))</f>
        <v>6400.0924999999997</v>
      </c>
      <c r="H875">
        <f>INDEX(weekly!$D$2:$D$188,MATCH('Marketing Campaigns 22.11.22'!L875,weekly!$H$2:$H$188,0))</f>
        <v>2719.75</v>
      </c>
      <c r="I875">
        <f>INDEX(weekly!$F$2:$F$188,MATCH('Marketing Campaigns 22.11.22'!L875,weekly!$H$2:$H$188,0))</f>
        <v>0</v>
      </c>
      <c r="J875">
        <v>0</v>
      </c>
      <c r="K875">
        <v>0</v>
      </c>
      <c r="L875" t="str">
        <f t="shared" si="26"/>
        <v>6-2-2022</v>
      </c>
      <c r="M875">
        <f t="shared" si="27"/>
        <v>2022</v>
      </c>
    </row>
    <row r="876" spans="1:13" x14ac:dyDescent="0.2">
      <c r="A876" s="1">
        <v>44599</v>
      </c>
      <c r="B876">
        <v>6</v>
      </c>
      <c r="C876">
        <v>2</v>
      </c>
      <c r="D876">
        <v>1</v>
      </c>
      <c r="E876" t="s">
        <v>41</v>
      </c>
      <c r="F876">
        <v>0</v>
      </c>
      <c r="G876">
        <f>INDEX(weekly!$E$2:$E$188,MATCH('Marketing Campaigns 22.11.22'!L876,weekly!$H$2:$H$188,0))</f>
        <v>6400.0924999999997</v>
      </c>
      <c r="H876">
        <f>INDEX(weekly!$D$2:$D$188,MATCH('Marketing Campaigns 22.11.22'!L876,weekly!$H$2:$H$188,0))</f>
        <v>2719.75</v>
      </c>
      <c r="I876">
        <f>INDEX(weekly!$F$2:$F$188,MATCH('Marketing Campaigns 22.11.22'!L876,weekly!$H$2:$H$188,0))</f>
        <v>0</v>
      </c>
      <c r="J876">
        <v>0</v>
      </c>
      <c r="K876">
        <v>0</v>
      </c>
      <c r="L876" t="str">
        <f t="shared" si="26"/>
        <v>6-2-2022</v>
      </c>
      <c r="M876">
        <f t="shared" si="27"/>
        <v>2022</v>
      </c>
    </row>
    <row r="877" spans="1:13" x14ac:dyDescent="0.2">
      <c r="A877" s="1">
        <v>44599</v>
      </c>
      <c r="B877">
        <v>6</v>
      </c>
      <c r="C877">
        <v>2</v>
      </c>
      <c r="D877">
        <v>1</v>
      </c>
      <c r="E877" t="s">
        <v>42</v>
      </c>
      <c r="F877">
        <v>0</v>
      </c>
      <c r="G877">
        <f>INDEX(weekly!$E$2:$E$188,MATCH('Marketing Campaigns 22.11.22'!L877,weekly!$H$2:$H$188,0))</f>
        <v>6400.0924999999997</v>
      </c>
      <c r="H877">
        <f>INDEX(weekly!$D$2:$D$188,MATCH('Marketing Campaigns 22.11.22'!L877,weekly!$H$2:$H$188,0))</f>
        <v>2719.75</v>
      </c>
      <c r="I877">
        <f>INDEX(weekly!$F$2:$F$188,MATCH('Marketing Campaigns 22.11.22'!L877,weekly!$H$2:$H$188,0))</f>
        <v>0</v>
      </c>
      <c r="J877">
        <v>0</v>
      </c>
      <c r="K877">
        <v>0</v>
      </c>
      <c r="L877" t="str">
        <f t="shared" si="26"/>
        <v>6-2-2022</v>
      </c>
      <c r="M877">
        <f t="shared" si="27"/>
        <v>2022</v>
      </c>
    </row>
    <row r="878" spans="1:13" x14ac:dyDescent="0.2">
      <c r="A878" s="1">
        <v>44599</v>
      </c>
      <c r="B878">
        <v>6</v>
      </c>
      <c r="C878">
        <v>2</v>
      </c>
      <c r="D878">
        <v>1</v>
      </c>
      <c r="E878" t="s">
        <v>43</v>
      </c>
      <c r="F878">
        <v>0</v>
      </c>
      <c r="G878">
        <f>INDEX(weekly!$E$2:$E$188,MATCH('Marketing Campaigns 22.11.22'!L878,weekly!$H$2:$H$188,0))</f>
        <v>6400.0924999999997</v>
      </c>
      <c r="H878">
        <f>INDEX(weekly!$D$2:$D$188,MATCH('Marketing Campaigns 22.11.22'!L878,weekly!$H$2:$H$188,0))</f>
        <v>2719.75</v>
      </c>
      <c r="I878">
        <f>INDEX(weekly!$F$2:$F$188,MATCH('Marketing Campaigns 22.11.22'!L878,weekly!$H$2:$H$188,0))</f>
        <v>0</v>
      </c>
      <c r="J878">
        <v>0</v>
      </c>
      <c r="K878">
        <v>0</v>
      </c>
      <c r="L878" t="str">
        <f t="shared" si="26"/>
        <v>6-2-2022</v>
      </c>
      <c r="M878">
        <f t="shared" si="27"/>
        <v>2022</v>
      </c>
    </row>
    <row r="879" spans="1:13" x14ac:dyDescent="0.2">
      <c r="A879" s="1">
        <v>44599</v>
      </c>
      <c r="B879">
        <v>6</v>
      </c>
      <c r="C879">
        <v>2</v>
      </c>
      <c r="D879">
        <v>1</v>
      </c>
      <c r="E879" t="s">
        <v>44</v>
      </c>
      <c r="F879">
        <v>0</v>
      </c>
      <c r="G879">
        <f>INDEX(weekly!$E$2:$E$188,MATCH('Marketing Campaigns 22.11.22'!L879,weekly!$H$2:$H$188,0))</f>
        <v>6400.0924999999997</v>
      </c>
      <c r="H879">
        <f>INDEX(weekly!$D$2:$D$188,MATCH('Marketing Campaigns 22.11.22'!L879,weekly!$H$2:$H$188,0))</f>
        <v>2719.75</v>
      </c>
      <c r="I879">
        <f>INDEX(weekly!$F$2:$F$188,MATCH('Marketing Campaigns 22.11.22'!L879,weekly!$H$2:$H$188,0))</f>
        <v>0</v>
      </c>
      <c r="J879">
        <v>0</v>
      </c>
      <c r="K879">
        <v>0</v>
      </c>
      <c r="L879" t="str">
        <f t="shared" si="26"/>
        <v>6-2-2022</v>
      </c>
      <c r="M879">
        <f t="shared" si="27"/>
        <v>2022</v>
      </c>
    </row>
    <row r="880" spans="1:13" x14ac:dyDescent="0.2">
      <c r="A880" s="1">
        <v>44599</v>
      </c>
      <c r="B880">
        <v>6</v>
      </c>
      <c r="C880">
        <v>2</v>
      </c>
      <c r="D880">
        <v>1</v>
      </c>
      <c r="E880" t="s">
        <v>45</v>
      </c>
      <c r="F880">
        <v>0</v>
      </c>
      <c r="G880">
        <f>INDEX(weekly!$E$2:$E$188,MATCH('Marketing Campaigns 22.11.22'!L880,weekly!$H$2:$H$188,0))</f>
        <v>6400.0924999999997</v>
      </c>
      <c r="H880">
        <f>INDEX(weekly!$D$2:$D$188,MATCH('Marketing Campaigns 22.11.22'!L880,weekly!$H$2:$H$188,0))</f>
        <v>2719.75</v>
      </c>
      <c r="I880">
        <f>INDEX(weekly!$F$2:$F$188,MATCH('Marketing Campaigns 22.11.22'!L880,weekly!$H$2:$H$188,0))</f>
        <v>0</v>
      </c>
      <c r="J880">
        <v>0</v>
      </c>
      <c r="K880">
        <v>0</v>
      </c>
      <c r="L880" t="str">
        <f t="shared" si="26"/>
        <v>6-2-2022</v>
      </c>
      <c r="M880">
        <f t="shared" si="27"/>
        <v>2022</v>
      </c>
    </row>
    <row r="881" spans="1:13" x14ac:dyDescent="0.2">
      <c r="A881" s="1">
        <v>44599</v>
      </c>
      <c r="B881">
        <v>6</v>
      </c>
      <c r="C881">
        <v>2</v>
      </c>
      <c r="D881">
        <v>1</v>
      </c>
      <c r="E881" t="s">
        <v>46</v>
      </c>
      <c r="F881">
        <v>0</v>
      </c>
      <c r="G881">
        <f>INDEX(weekly!$E$2:$E$188,MATCH('Marketing Campaigns 22.11.22'!L881,weekly!$H$2:$H$188,0))</f>
        <v>6400.0924999999997</v>
      </c>
      <c r="H881">
        <f>INDEX(weekly!$D$2:$D$188,MATCH('Marketing Campaigns 22.11.22'!L881,weekly!$H$2:$H$188,0))</f>
        <v>2719.75</v>
      </c>
      <c r="I881">
        <f>INDEX(weekly!$F$2:$F$188,MATCH('Marketing Campaigns 22.11.22'!L881,weekly!$H$2:$H$188,0))</f>
        <v>0</v>
      </c>
      <c r="J881">
        <v>0</v>
      </c>
      <c r="K881">
        <v>0</v>
      </c>
      <c r="L881" t="str">
        <f t="shared" si="26"/>
        <v>6-2-2022</v>
      </c>
      <c r="M881">
        <f t="shared" si="27"/>
        <v>2022</v>
      </c>
    </row>
    <row r="882" spans="1:13" x14ac:dyDescent="0.2">
      <c r="A882" s="1">
        <v>44599</v>
      </c>
      <c r="B882">
        <v>6</v>
      </c>
      <c r="C882">
        <v>2</v>
      </c>
      <c r="D882">
        <v>1</v>
      </c>
      <c r="E882" t="s">
        <v>47</v>
      </c>
      <c r="F882">
        <v>0</v>
      </c>
      <c r="G882">
        <f>INDEX(weekly!$E$2:$E$188,MATCH('Marketing Campaigns 22.11.22'!L882,weekly!$H$2:$H$188,0))</f>
        <v>6400.0924999999997</v>
      </c>
      <c r="H882">
        <f>INDEX(weekly!$D$2:$D$188,MATCH('Marketing Campaigns 22.11.22'!L882,weekly!$H$2:$H$188,0))</f>
        <v>2719.75</v>
      </c>
      <c r="I882">
        <f>INDEX(weekly!$F$2:$F$188,MATCH('Marketing Campaigns 22.11.22'!L882,weekly!$H$2:$H$188,0))</f>
        <v>0</v>
      </c>
      <c r="J882">
        <v>0</v>
      </c>
      <c r="K882">
        <v>0</v>
      </c>
      <c r="L882" t="str">
        <f t="shared" si="26"/>
        <v>6-2-2022</v>
      </c>
      <c r="M882">
        <f t="shared" si="27"/>
        <v>2022</v>
      </c>
    </row>
    <row r="883" spans="1:13" x14ac:dyDescent="0.2">
      <c r="A883" s="1">
        <v>44599</v>
      </c>
      <c r="B883">
        <v>6</v>
      </c>
      <c r="C883">
        <v>2</v>
      </c>
      <c r="D883">
        <v>1</v>
      </c>
      <c r="E883" t="s">
        <v>48</v>
      </c>
      <c r="F883">
        <v>0</v>
      </c>
      <c r="G883">
        <f>INDEX(weekly!$E$2:$E$188,MATCH('Marketing Campaigns 22.11.22'!L883,weekly!$H$2:$H$188,0))</f>
        <v>6400.0924999999997</v>
      </c>
      <c r="H883">
        <f>INDEX(weekly!$D$2:$D$188,MATCH('Marketing Campaigns 22.11.22'!L883,weekly!$H$2:$H$188,0))</f>
        <v>2719.75</v>
      </c>
      <c r="I883">
        <f>INDEX(weekly!$F$2:$F$188,MATCH('Marketing Campaigns 22.11.22'!L883,weekly!$H$2:$H$188,0))</f>
        <v>0</v>
      </c>
      <c r="J883">
        <v>0</v>
      </c>
      <c r="K883">
        <v>0</v>
      </c>
      <c r="L883" t="str">
        <f t="shared" si="26"/>
        <v>6-2-2022</v>
      </c>
      <c r="M883">
        <f t="shared" si="27"/>
        <v>2022</v>
      </c>
    </row>
    <row r="884" spans="1:13" x14ac:dyDescent="0.2">
      <c r="A884" s="1">
        <v>44599</v>
      </c>
      <c r="B884">
        <v>6</v>
      </c>
      <c r="C884">
        <v>2</v>
      </c>
      <c r="D884">
        <v>1</v>
      </c>
      <c r="E884" t="s">
        <v>49</v>
      </c>
      <c r="F884">
        <v>0</v>
      </c>
      <c r="G884">
        <f>INDEX(weekly!$E$2:$E$188,MATCH('Marketing Campaigns 22.11.22'!L884,weekly!$H$2:$H$188,0))</f>
        <v>6400.0924999999997</v>
      </c>
      <c r="H884">
        <f>INDEX(weekly!$D$2:$D$188,MATCH('Marketing Campaigns 22.11.22'!L884,weekly!$H$2:$H$188,0))</f>
        <v>2719.75</v>
      </c>
      <c r="I884">
        <f>INDEX(weekly!$F$2:$F$188,MATCH('Marketing Campaigns 22.11.22'!L884,weekly!$H$2:$H$188,0))</f>
        <v>0</v>
      </c>
      <c r="J884">
        <v>0</v>
      </c>
      <c r="K884">
        <v>0</v>
      </c>
      <c r="L884" t="str">
        <f t="shared" si="26"/>
        <v>6-2-2022</v>
      </c>
      <c r="M884">
        <f t="shared" si="27"/>
        <v>2022</v>
      </c>
    </row>
    <row r="885" spans="1:13" x14ac:dyDescent="0.2">
      <c r="A885" s="1">
        <v>44599</v>
      </c>
      <c r="B885">
        <v>6</v>
      </c>
      <c r="C885">
        <v>2</v>
      </c>
      <c r="D885">
        <v>1</v>
      </c>
      <c r="E885" t="s">
        <v>50</v>
      </c>
      <c r="F885">
        <v>0</v>
      </c>
      <c r="G885">
        <f>INDEX(weekly!$E$2:$E$188,MATCH('Marketing Campaigns 22.11.22'!L885,weekly!$H$2:$H$188,0))</f>
        <v>6400.0924999999997</v>
      </c>
      <c r="H885">
        <f>INDEX(weekly!$D$2:$D$188,MATCH('Marketing Campaigns 22.11.22'!L885,weekly!$H$2:$H$188,0))</f>
        <v>2719.75</v>
      </c>
      <c r="I885">
        <f>INDEX(weekly!$F$2:$F$188,MATCH('Marketing Campaigns 22.11.22'!L885,weekly!$H$2:$H$188,0))</f>
        <v>0</v>
      </c>
      <c r="J885">
        <v>0</v>
      </c>
      <c r="K885">
        <v>0</v>
      </c>
      <c r="L885" t="str">
        <f t="shared" si="26"/>
        <v>6-2-2022</v>
      </c>
      <c r="M885">
        <f t="shared" si="27"/>
        <v>2022</v>
      </c>
    </row>
    <row r="886" spans="1:13" x14ac:dyDescent="0.2">
      <c r="A886" s="1">
        <v>44599</v>
      </c>
      <c r="B886">
        <v>6</v>
      </c>
      <c r="C886">
        <v>2</v>
      </c>
      <c r="D886">
        <v>1</v>
      </c>
      <c r="E886" t="s">
        <v>51</v>
      </c>
      <c r="F886">
        <v>0</v>
      </c>
      <c r="G886">
        <f>INDEX(weekly!$E$2:$E$188,MATCH('Marketing Campaigns 22.11.22'!L886,weekly!$H$2:$H$188,0))</f>
        <v>6400.0924999999997</v>
      </c>
      <c r="H886">
        <f>INDEX(weekly!$D$2:$D$188,MATCH('Marketing Campaigns 22.11.22'!L886,weekly!$H$2:$H$188,0))</f>
        <v>2719.75</v>
      </c>
      <c r="I886">
        <f>INDEX(weekly!$F$2:$F$188,MATCH('Marketing Campaigns 22.11.22'!L886,weekly!$H$2:$H$188,0))</f>
        <v>0</v>
      </c>
      <c r="J886">
        <v>0</v>
      </c>
      <c r="K886">
        <v>0</v>
      </c>
      <c r="L886" t="str">
        <f t="shared" si="26"/>
        <v>6-2-2022</v>
      </c>
      <c r="M886">
        <f t="shared" si="27"/>
        <v>2022</v>
      </c>
    </row>
    <row r="887" spans="1:13" x14ac:dyDescent="0.2">
      <c r="A887" s="1">
        <v>44599</v>
      </c>
      <c r="B887">
        <v>6</v>
      </c>
      <c r="C887">
        <v>2</v>
      </c>
      <c r="D887">
        <v>1</v>
      </c>
      <c r="E887" t="s">
        <v>52</v>
      </c>
      <c r="F887">
        <v>0</v>
      </c>
      <c r="G887">
        <f>INDEX(weekly!$E$2:$E$188,MATCH('Marketing Campaigns 22.11.22'!L887,weekly!$H$2:$H$188,0))</f>
        <v>6400.0924999999997</v>
      </c>
      <c r="H887">
        <f>INDEX(weekly!$D$2:$D$188,MATCH('Marketing Campaigns 22.11.22'!L887,weekly!$H$2:$H$188,0))</f>
        <v>2719.75</v>
      </c>
      <c r="I887">
        <f>INDEX(weekly!$F$2:$F$188,MATCH('Marketing Campaigns 22.11.22'!L887,weekly!$H$2:$H$188,0))</f>
        <v>0</v>
      </c>
      <c r="J887">
        <v>0</v>
      </c>
      <c r="K887">
        <v>0</v>
      </c>
      <c r="L887" t="str">
        <f t="shared" si="26"/>
        <v>6-2-2022</v>
      </c>
      <c r="M887">
        <f t="shared" si="27"/>
        <v>2022</v>
      </c>
    </row>
    <row r="888" spans="1:13" x14ac:dyDescent="0.2">
      <c r="A888" s="1">
        <v>44606</v>
      </c>
      <c r="B888">
        <v>7</v>
      </c>
      <c r="C888">
        <v>2</v>
      </c>
      <c r="D888">
        <v>1</v>
      </c>
      <c r="E888" t="s">
        <v>24</v>
      </c>
      <c r="F888">
        <v>0</v>
      </c>
      <c r="G888">
        <f>INDEX(weekly!$E$2:$E$188,MATCH('Marketing Campaigns 22.11.22'!L888,weekly!$H$2:$H$188,0))</f>
        <v>6400.0924999999997</v>
      </c>
      <c r="H888">
        <f>INDEX(weekly!$D$2:$D$188,MATCH('Marketing Campaigns 22.11.22'!L888,weekly!$H$2:$H$188,0))</f>
        <v>2719.75</v>
      </c>
      <c r="I888">
        <f>INDEX(weekly!$F$2:$F$188,MATCH('Marketing Campaigns 22.11.22'!L888,weekly!$H$2:$H$188,0))</f>
        <v>0</v>
      </c>
      <c r="J888">
        <v>0</v>
      </c>
      <c r="K888">
        <v>0</v>
      </c>
      <c r="L888" t="str">
        <f t="shared" si="26"/>
        <v>7-2-2022</v>
      </c>
      <c r="M888">
        <f t="shared" si="27"/>
        <v>2022</v>
      </c>
    </row>
    <row r="889" spans="1:13" x14ac:dyDescent="0.2">
      <c r="A889" s="1">
        <v>44606</v>
      </c>
      <c r="B889">
        <v>7</v>
      </c>
      <c r="C889">
        <v>2</v>
      </c>
      <c r="D889">
        <v>1</v>
      </c>
      <c r="E889" t="s">
        <v>39</v>
      </c>
      <c r="F889">
        <v>0</v>
      </c>
      <c r="G889">
        <f>INDEX(weekly!$E$2:$E$188,MATCH('Marketing Campaigns 22.11.22'!L889,weekly!$H$2:$H$188,0))</f>
        <v>6400.0924999999997</v>
      </c>
      <c r="H889">
        <f>INDEX(weekly!$D$2:$D$188,MATCH('Marketing Campaigns 22.11.22'!L889,weekly!$H$2:$H$188,0))</f>
        <v>2719.75</v>
      </c>
      <c r="I889">
        <f>INDEX(weekly!$F$2:$F$188,MATCH('Marketing Campaigns 22.11.22'!L889,weekly!$H$2:$H$188,0))</f>
        <v>0</v>
      </c>
      <c r="J889">
        <v>0</v>
      </c>
      <c r="K889">
        <v>0</v>
      </c>
      <c r="L889" t="str">
        <f t="shared" si="26"/>
        <v>7-2-2022</v>
      </c>
      <c r="M889">
        <f t="shared" si="27"/>
        <v>2022</v>
      </c>
    </row>
    <row r="890" spans="1:13" x14ac:dyDescent="0.2">
      <c r="A890" s="1">
        <v>44606</v>
      </c>
      <c r="B890">
        <v>7</v>
      </c>
      <c r="C890">
        <v>2</v>
      </c>
      <c r="D890">
        <v>1</v>
      </c>
      <c r="E890" t="s">
        <v>40</v>
      </c>
      <c r="F890">
        <v>0</v>
      </c>
      <c r="G890">
        <f>INDEX(weekly!$E$2:$E$188,MATCH('Marketing Campaigns 22.11.22'!L890,weekly!$H$2:$H$188,0))</f>
        <v>6400.0924999999997</v>
      </c>
      <c r="H890">
        <f>INDEX(weekly!$D$2:$D$188,MATCH('Marketing Campaigns 22.11.22'!L890,weekly!$H$2:$H$188,0))</f>
        <v>2719.75</v>
      </c>
      <c r="I890">
        <f>INDEX(weekly!$F$2:$F$188,MATCH('Marketing Campaigns 22.11.22'!L890,weekly!$H$2:$H$188,0))</f>
        <v>0</v>
      </c>
      <c r="J890">
        <v>0</v>
      </c>
      <c r="K890">
        <v>0</v>
      </c>
      <c r="L890" t="str">
        <f t="shared" si="26"/>
        <v>7-2-2022</v>
      </c>
      <c r="M890">
        <f t="shared" si="27"/>
        <v>2022</v>
      </c>
    </row>
    <row r="891" spans="1:13" x14ac:dyDescent="0.2">
      <c r="A891" s="1">
        <v>44606</v>
      </c>
      <c r="B891">
        <v>7</v>
      </c>
      <c r="C891">
        <v>2</v>
      </c>
      <c r="D891">
        <v>1</v>
      </c>
      <c r="E891" t="s">
        <v>41</v>
      </c>
      <c r="F891">
        <v>0</v>
      </c>
      <c r="G891">
        <f>INDEX(weekly!$E$2:$E$188,MATCH('Marketing Campaigns 22.11.22'!L891,weekly!$H$2:$H$188,0))</f>
        <v>6400.0924999999997</v>
      </c>
      <c r="H891">
        <f>INDEX(weekly!$D$2:$D$188,MATCH('Marketing Campaigns 22.11.22'!L891,weekly!$H$2:$H$188,0))</f>
        <v>2719.75</v>
      </c>
      <c r="I891">
        <f>INDEX(weekly!$F$2:$F$188,MATCH('Marketing Campaigns 22.11.22'!L891,weekly!$H$2:$H$188,0))</f>
        <v>0</v>
      </c>
      <c r="J891">
        <v>0</v>
      </c>
      <c r="K891">
        <v>0</v>
      </c>
      <c r="L891" t="str">
        <f t="shared" si="26"/>
        <v>7-2-2022</v>
      </c>
      <c r="M891">
        <f t="shared" si="27"/>
        <v>2022</v>
      </c>
    </row>
    <row r="892" spans="1:13" x14ac:dyDescent="0.2">
      <c r="A892" s="1">
        <v>44606</v>
      </c>
      <c r="B892">
        <v>7</v>
      </c>
      <c r="C892">
        <v>2</v>
      </c>
      <c r="D892">
        <v>1</v>
      </c>
      <c r="E892" t="s">
        <v>42</v>
      </c>
      <c r="F892">
        <v>0</v>
      </c>
      <c r="G892">
        <f>INDEX(weekly!$E$2:$E$188,MATCH('Marketing Campaigns 22.11.22'!L892,weekly!$H$2:$H$188,0))</f>
        <v>6400.0924999999997</v>
      </c>
      <c r="H892">
        <f>INDEX(weekly!$D$2:$D$188,MATCH('Marketing Campaigns 22.11.22'!L892,weekly!$H$2:$H$188,0))</f>
        <v>2719.75</v>
      </c>
      <c r="I892">
        <f>INDEX(weekly!$F$2:$F$188,MATCH('Marketing Campaigns 22.11.22'!L892,weekly!$H$2:$H$188,0))</f>
        <v>0</v>
      </c>
      <c r="J892">
        <v>0</v>
      </c>
      <c r="K892">
        <v>0</v>
      </c>
      <c r="L892" t="str">
        <f t="shared" si="26"/>
        <v>7-2-2022</v>
      </c>
      <c r="M892">
        <f t="shared" si="27"/>
        <v>2022</v>
      </c>
    </row>
    <row r="893" spans="1:13" x14ac:dyDescent="0.2">
      <c r="A893" s="1">
        <v>44606</v>
      </c>
      <c r="B893">
        <v>7</v>
      </c>
      <c r="C893">
        <v>2</v>
      </c>
      <c r="D893">
        <v>1</v>
      </c>
      <c r="E893" t="s">
        <v>43</v>
      </c>
      <c r="F893">
        <v>0</v>
      </c>
      <c r="G893">
        <f>INDEX(weekly!$E$2:$E$188,MATCH('Marketing Campaigns 22.11.22'!L893,weekly!$H$2:$H$188,0))</f>
        <v>6400.0924999999997</v>
      </c>
      <c r="H893">
        <f>INDEX(weekly!$D$2:$D$188,MATCH('Marketing Campaigns 22.11.22'!L893,weekly!$H$2:$H$188,0))</f>
        <v>2719.75</v>
      </c>
      <c r="I893">
        <f>INDEX(weekly!$F$2:$F$188,MATCH('Marketing Campaigns 22.11.22'!L893,weekly!$H$2:$H$188,0))</f>
        <v>0</v>
      </c>
      <c r="J893">
        <v>0</v>
      </c>
      <c r="K893">
        <v>0</v>
      </c>
      <c r="L893" t="str">
        <f t="shared" si="26"/>
        <v>7-2-2022</v>
      </c>
      <c r="M893">
        <f t="shared" si="27"/>
        <v>2022</v>
      </c>
    </row>
    <row r="894" spans="1:13" x14ac:dyDescent="0.2">
      <c r="A894" s="1">
        <v>44606</v>
      </c>
      <c r="B894">
        <v>7</v>
      </c>
      <c r="C894">
        <v>2</v>
      </c>
      <c r="D894">
        <v>1</v>
      </c>
      <c r="E894" t="s">
        <v>44</v>
      </c>
      <c r="F894">
        <v>0</v>
      </c>
      <c r="G894">
        <f>INDEX(weekly!$E$2:$E$188,MATCH('Marketing Campaigns 22.11.22'!L894,weekly!$H$2:$H$188,0))</f>
        <v>6400.0924999999997</v>
      </c>
      <c r="H894">
        <f>INDEX(weekly!$D$2:$D$188,MATCH('Marketing Campaigns 22.11.22'!L894,weekly!$H$2:$H$188,0))</f>
        <v>2719.75</v>
      </c>
      <c r="I894">
        <f>INDEX(weekly!$F$2:$F$188,MATCH('Marketing Campaigns 22.11.22'!L894,weekly!$H$2:$H$188,0))</f>
        <v>0</v>
      </c>
      <c r="J894">
        <v>0</v>
      </c>
      <c r="K894">
        <v>0</v>
      </c>
      <c r="L894" t="str">
        <f t="shared" si="26"/>
        <v>7-2-2022</v>
      </c>
      <c r="M894">
        <f t="shared" si="27"/>
        <v>2022</v>
      </c>
    </row>
    <row r="895" spans="1:13" x14ac:dyDescent="0.2">
      <c r="A895" s="1">
        <v>44606</v>
      </c>
      <c r="B895">
        <v>7</v>
      </c>
      <c r="C895">
        <v>2</v>
      </c>
      <c r="D895">
        <v>1</v>
      </c>
      <c r="E895" t="s">
        <v>45</v>
      </c>
      <c r="F895">
        <v>0</v>
      </c>
      <c r="G895">
        <f>INDEX(weekly!$E$2:$E$188,MATCH('Marketing Campaigns 22.11.22'!L895,weekly!$H$2:$H$188,0))</f>
        <v>6400.0924999999997</v>
      </c>
      <c r="H895">
        <f>INDEX(weekly!$D$2:$D$188,MATCH('Marketing Campaigns 22.11.22'!L895,weekly!$H$2:$H$188,0))</f>
        <v>2719.75</v>
      </c>
      <c r="I895">
        <f>INDEX(weekly!$F$2:$F$188,MATCH('Marketing Campaigns 22.11.22'!L895,weekly!$H$2:$H$188,0))</f>
        <v>0</v>
      </c>
      <c r="J895">
        <v>0</v>
      </c>
      <c r="K895">
        <v>0</v>
      </c>
      <c r="L895" t="str">
        <f t="shared" si="26"/>
        <v>7-2-2022</v>
      </c>
      <c r="M895">
        <f t="shared" si="27"/>
        <v>2022</v>
      </c>
    </row>
    <row r="896" spans="1:13" x14ac:dyDescent="0.2">
      <c r="A896" s="1">
        <v>44606</v>
      </c>
      <c r="B896">
        <v>7</v>
      </c>
      <c r="C896">
        <v>2</v>
      </c>
      <c r="D896">
        <v>1</v>
      </c>
      <c r="E896" t="s">
        <v>46</v>
      </c>
      <c r="F896">
        <v>0</v>
      </c>
      <c r="G896">
        <f>INDEX(weekly!$E$2:$E$188,MATCH('Marketing Campaigns 22.11.22'!L896,weekly!$H$2:$H$188,0))</f>
        <v>6400.0924999999997</v>
      </c>
      <c r="H896">
        <f>INDEX(weekly!$D$2:$D$188,MATCH('Marketing Campaigns 22.11.22'!L896,weekly!$H$2:$H$188,0))</f>
        <v>2719.75</v>
      </c>
      <c r="I896">
        <f>INDEX(weekly!$F$2:$F$188,MATCH('Marketing Campaigns 22.11.22'!L896,weekly!$H$2:$H$188,0))</f>
        <v>0</v>
      </c>
      <c r="J896">
        <v>0</v>
      </c>
      <c r="K896">
        <v>0</v>
      </c>
      <c r="L896" t="str">
        <f t="shared" si="26"/>
        <v>7-2-2022</v>
      </c>
      <c r="M896">
        <f t="shared" si="27"/>
        <v>2022</v>
      </c>
    </row>
    <row r="897" spans="1:13" x14ac:dyDescent="0.2">
      <c r="A897" s="1">
        <v>44606</v>
      </c>
      <c r="B897">
        <v>7</v>
      </c>
      <c r="C897">
        <v>2</v>
      </c>
      <c r="D897">
        <v>1</v>
      </c>
      <c r="E897" t="s">
        <v>47</v>
      </c>
      <c r="F897">
        <v>0</v>
      </c>
      <c r="G897">
        <f>INDEX(weekly!$E$2:$E$188,MATCH('Marketing Campaigns 22.11.22'!L897,weekly!$H$2:$H$188,0))</f>
        <v>6400.0924999999997</v>
      </c>
      <c r="H897">
        <f>INDEX(weekly!$D$2:$D$188,MATCH('Marketing Campaigns 22.11.22'!L897,weekly!$H$2:$H$188,0))</f>
        <v>2719.75</v>
      </c>
      <c r="I897">
        <f>INDEX(weekly!$F$2:$F$188,MATCH('Marketing Campaigns 22.11.22'!L897,weekly!$H$2:$H$188,0))</f>
        <v>0</v>
      </c>
      <c r="J897">
        <v>0</v>
      </c>
      <c r="K897">
        <v>0</v>
      </c>
      <c r="L897" t="str">
        <f t="shared" si="26"/>
        <v>7-2-2022</v>
      </c>
      <c r="M897">
        <f t="shared" si="27"/>
        <v>2022</v>
      </c>
    </row>
    <row r="898" spans="1:13" x14ac:dyDescent="0.2">
      <c r="A898" s="1">
        <v>44606</v>
      </c>
      <c r="B898">
        <v>7</v>
      </c>
      <c r="C898">
        <v>2</v>
      </c>
      <c r="D898">
        <v>1</v>
      </c>
      <c r="E898" t="s">
        <v>48</v>
      </c>
      <c r="F898">
        <v>0</v>
      </c>
      <c r="G898">
        <f>INDEX(weekly!$E$2:$E$188,MATCH('Marketing Campaigns 22.11.22'!L898,weekly!$H$2:$H$188,0))</f>
        <v>6400.0924999999997</v>
      </c>
      <c r="H898">
        <f>INDEX(weekly!$D$2:$D$188,MATCH('Marketing Campaigns 22.11.22'!L898,weekly!$H$2:$H$188,0))</f>
        <v>2719.75</v>
      </c>
      <c r="I898">
        <f>INDEX(weekly!$F$2:$F$188,MATCH('Marketing Campaigns 22.11.22'!L898,weekly!$H$2:$H$188,0))</f>
        <v>0</v>
      </c>
      <c r="J898">
        <v>0</v>
      </c>
      <c r="K898">
        <v>0</v>
      </c>
      <c r="L898" t="str">
        <f t="shared" si="26"/>
        <v>7-2-2022</v>
      </c>
      <c r="M898">
        <f t="shared" si="27"/>
        <v>2022</v>
      </c>
    </row>
    <row r="899" spans="1:13" x14ac:dyDescent="0.2">
      <c r="A899" s="1">
        <v>44606</v>
      </c>
      <c r="B899">
        <v>7</v>
      </c>
      <c r="C899">
        <v>2</v>
      </c>
      <c r="D899">
        <v>1</v>
      </c>
      <c r="E899" t="s">
        <v>49</v>
      </c>
      <c r="F899">
        <v>0</v>
      </c>
      <c r="G899">
        <f>INDEX(weekly!$E$2:$E$188,MATCH('Marketing Campaigns 22.11.22'!L899,weekly!$H$2:$H$188,0))</f>
        <v>6400.0924999999997</v>
      </c>
      <c r="H899">
        <f>INDEX(weekly!$D$2:$D$188,MATCH('Marketing Campaigns 22.11.22'!L899,weekly!$H$2:$H$188,0))</f>
        <v>2719.75</v>
      </c>
      <c r="I899">
        <f>INDEX(weekly!$F$2:$F$188,MATCH('Marketing Campaigns 22.11.22'!L899,weekly!$H$2:$H$188,0))</f>
        <v>0</v>
      </c>
      <c r="J899">
        <v>0</v>
      </c>
      <c r="K899">
        <v>0</v>
      </c>
      <c r="L899" t="str">
        <f t="shared" si="26"/>
        <v>7-2-2022</v>
      </c>
      <c r="M899">
        <f t="shared" si="27"/>
        <v>2022</v>
      </c>
    </row>
    <row r="900" spans="1:13" x14ac:dyDescent="0.2">
      <c r="A900" s="1">
        <v>44606</v>
      </c>
      <c r="B900">
        <v>7</v>
      </c>
      <c r="C900">
        <v>2</v>
      </c>
      <c r="D900">
        <v>1</v>
      </c>
      <c r="E900" t="s">
        <v>50</v>
      </c>
      <c r="F900">
        <v>0</v>
      </c>
      <c r="G900">
        <f>INDEX(weekly!$E$2:$E$188,MATCH('Marketing Campaigns 22.11.22'!L900,weekly!$H$2:$H$188,0))</f>
        <v>6400.0924999999997</v>
      </c>
      <c r="H900">
        <f>INDEX(weekly!$D$2:$D$188,MATCH('Marketing Campaigns 22.11.22'!L900,weekly!$H$2:$H$188,0))</f>
        <v>2719.75</v>
      </c>
      <c r="I900">
        <f>INDEX(weekly!$F$2:$F$188,MATCH('Marketing Campaigns 22.11.22'!L900,weekly!$H$2:$H$188,0))</f>
        <v>0</v>
      </c>
      <c r="J900">
        <v>0</v>
      </c>
      <c r="K900">
        <v>0</v>
      </c>
      <c r="L900" t="str">
        <f t="shared" ref="L900:L963" si="28">B900&amp;"-"&amp;C900&amp;"-"&amp;M900</f>
        <v>7-2-2022</v>
      </c>
      <c r="M900">
        <f t="shared" ref="M900:M963" si="29">YEAR(A900)</f>
        <v>2022</v>
      </c>
    </row>
    <row r="901" spans="1:13" x14ac:dyDescent="0.2">
      <c r="A901" s="1">
        <v>44606</v>
      </c>
      <c r="B901">
        <v>7</v>
      </c>
      <c r="C901">
        <v>2</v>
      </c>
      <c r="D901">
        <v>1</v>
      </c>
      <c r="E901" t="s">
        <v>51</v>
      </c>
      <c r="F901">
        <v>0</v>
      </c>
      <c r="G901">
        <f>INDEX(weekly!$E$2:$E$188,MATCH('Marketing Campaigns 22.11.22'!L901,weekly!$H$2:$H$188,0))</f>
        <v>6400.0924999999997</v>
      </c>
      <c r="H901">
        <f>INDEX(weekly!$D$2:$D$188,MATCH('Marketing Campaigns 22.11.22'!L901,weekly!$H$2:$H$188,0))</f>
        <v>2719.75</v>
      </c>
      <c r="I901">
        <f>INDEX(weekly!$F$2:$F$188,MATCH('Marketing Campaigns 22.11.22'!L901,weekly!$H$2:$H$188,0))</f>
        <v>0</v>
      </c>
      <c r="J901">
        <v>0</v>
      </c>
      <c r="K901">
        <v>0</v>
      </c>
      <c r="L901" t="str">
        <f t="shared" si="28"/>
        <v>7-2-2022</v>
      </c>
      <c r="M901">
        <f t="shared" si="29"/>
        <v>2022</v>
      </c>
    </row>
    <row r="902" spans="1:13" x14ac:dyDescent="0.2">
      <c r="A902" s="1">
        <v>44606</v>
      </c>
      <c r="B902">
        <v>7</v>
      </c>
      <c r="C902">
        <v>2</v>
      </c>
      <c r="D902">
        <v>1</v>
      </c>
      <c r="E902" t="s">
        <v>52</v>
      </c>
      <c r="F902">
        <v>0</v>
      </c>
      <c r="G902">
        <f>INDEX(weekly!$E$2:$E$188,MATCH('Marketing Campaigns 22.11.22'!L902,weekly!$H$2:$H$188,0))</f>
        <v>6400.0924999999997</v>
      </c>
      <c r="H902">
        <f>INDEX(weekly!$D$2:$D$188,MATCH('Marketing Campaigns 22.11.22'!L902,weekly!$H$2:$H$188,0))</f>
        <v>2719.75</v>
      </c>
      <c r="I902">
        <f>INDEX(weekly!$F$2:$F$188,MATCH('Marketing Campaigns 22.11.22'!L902,weekly!$H$2:$H$188,0))</f>
        <v>0</v>
      </c>
      <c r="J902">
        <v>0</v>
      </c>
      <c r="K902">
        <v>0</v>
      </c>
      <c r="L902" t="str">
        <f t="shared" si="28"/>
        <v>7-2-2022</v>
      </c>
      <c r="M902">
        <f t="shared" si="29"/>
        <v>2022</v>
      </c>
    </row>
    <row r="903" spans="1:13" x14ac:dyDescent="0.2">
      <c r="A903" s="1">
        <v>44613</v>
      </c>
      <c r="B903">
        <v>8</v>
      </c>
      <c r="C903">
        <v>2</v>
      </c>
      <c r="D903">
        <v>1</v>
      </c>
      <c r="E903" t="s">
        <v>24</v>
      </c>
      <c r="F903">
        <v>0</v>
      </c>
      <c r="G903">
        <f>INDEX(weekly!$E$2:$E$188,MATCH('Marketing Campaigns 22.11.22'!L903,weekly!$H$2:$H$188,0))</f>
        <v>6400.0924999999997</v>
      </c>
      <c r="H903">
        <f>INDEX(weekly!$D$2:$D$188,MATCH('Marketing Campaigns 22.11.22'!L903,weekly!$H$2:$H$188,0))</f>
        <v>2719.75</v>
      </c>
      <c r="I903">
        <f>INDEX(weekly!$F$2:$F$188,MATCH('Marketing Campaigns 22.11.22'!L903,weekly!$H$2:$H$188,0))</f>
        <v>0</v>
      </c>
      <c r="J903">
        <v>0</v>
      </c>
      <c r="K903">
        <v>0</v>
      </c>
      <c r="L903" t="str">
        <f t="shared" si="28"/>
        <v>8-2-2022</v>
      </c>
      <c r="M903">
        <f t="shared" si="29"/>
        <v>2022</v>
      </c>
    </row>
    <row r="904" spans="1:13" x14ac:dyDescent="0.2">
      <c r="A904" s="1">
        <v>44613</v>
      </c>
      <c r="B904">
        <v>8</v>
      </c>
      <c r="C904">
        <v>2</v>
      </c>
      <c r="D904">
        <v>1</v>
      </c>
      <c r="E904" t="s">
        <v>39</v>
      </c>
      <c r="F904">
        <v>0</v>
      </c>
      <c r="G904">
        <f>INDEX(weekly!$E$2:$E$188,MATCH('Marketing Campaigns 22.11.22'!L904,weekly!$H$2:$H$188,0))</f>
        <v>6400.0924999999997</v>
      </c>
      <c r="H904">
        <f>INDEX(weekly!$D$2:$D$188,MATCH('Marketing Campaigns 22.11.22'!L904,weekly!$H$2:$H$188,0))</f>
        <v>2719.75</v>
      </c>
      <c r="I904">
        <f>INDEX(weekly!$F$2:$F$188,MATCH('Marketing Campaigns 22.11.22'!L904,weekly!$H$2:$H$188,0))</f>
        <v>0</v>
      </c>
      <c r="J904">
        <v>0</v>
      </c>
      <c r="K904">
        <v>0</v>
      </c>
      <c r="L904" t="str">
        <f t="shared" si="28"/>
        <v>8-2-2022</v>
      </c>
      <c r="M904">
        <f t="shared" si="29"/>
        <v>2022</v>
      </c>
    </row>
    <row r="905" spans="1:13" x14ac:dyDescent="0.2">
      <c r="A905" s="1">
        <v>44613</v>
      </c>
      <c r="B905">
        <v>8</v>
      </c>
      <c r="C905">
        <v>2</v>
      </c>
      <c r="D905">
        <v>1</v>
      </c>
      <c r="E905" t="s">
        <v>40</v>
      </c>
      <c r="F905">
        <v>0</v>
      </c>
      <c r="G905">
        <f>INDEX(weekly!$E$2:$E$188,MATCH('Marketing Campaigns 22.11.22'!L905,weekly!$H$2:$H$188,0))</f>
        <v>6400.0924999999997</v>
      </c>
      <c r="H905">
        <f>INDEX(weekly!$D$2:$D$188,MATCH('Marketing Campaigns 22.11.22'!L905,weekly!$H$2:$H$188,0))</f>
        <v>2719.75</v>
      </c>
      <c r="I905">
        <f>INDEX(weekly!$F$2:$F$188,MATCH('Marketing Campaigns 22.11.22'!L905,weekly!$H$2:$H$188,0))</f>
        <v>0</v>
      </c>
      <c r="J905">
        <v>0</v>
      </c>
      <c r="K905">
        <v>0</v>
      </c>
      <c r="L905" t="str">
        <f t="shared" si="28"/>
        <v>8-2-2022</v>
      </c>
      <c r="M905">
        <f t="shared" si="29"/>
        <v>2022</v>
      </c>
    </row>
    <row r="906" spans="1:13" x14ac:dyDescent="0.2">
      <c r="A906" s="1">
        <v>44613</v>
      </c>
      <c r="B906">
        <v>8</v>
      </c>
      <c r="C906">
        <v>2</v>
      </c>
      <c r="D906">
        <v>1</v>
      </c>
      <c r="E906" t="s">
        <v>41</v>
      </c>
      <c r="F906">
        <v>0</v>
      </c>
      <c r="G906">
        <f>INDEX(weekly!$E$2:$E$188,MATCH('Marketing Campaigns 22.11.22'!L906,weekly!$H$2:$H$188,0))</f>
        <v>6400.0924999999997</v>
      </c>
      <c r="H906">
        <f>INDEX(weekly!$D$2:$D$188,MATCH('Marketing Campaigns 22.11.22'!L906,weekly!$H$2:$H$188,0))</f>
        <v>2719.75</v>
      </c>
      <c r="I906">
        <f>INDEX(weekly!$F$2:$F$188,MATCH('Marketing Campaigns 22.11.22'!L906,weekly!$H$2:$H$188,0))</f>
        <v>0</v>
      </c>
      <c r="J906">
        <v>0</v>
      </c>
      <c r="K906">
        <v>0</v>
      </c>
      <c r="L906" t="str">
        <f t="shared" si="28"/>
        <v>8-2-2022</v>
      </c>
      <c r="M906">
        <f t="shared" si="29"/>
        <v>2022</v>
      </c>
    </row>
    <row r="907" spans="1:13" x14ac:dyDescent="0.2">
      <c r="A907" s="1">
        <v>44613</v>
      </c>
      <c r="B907">
        <v>8</v>
      </c>
      <c r="C907">
        <v>2</v>
      </c>
      <c r="D907">
        <v>1</v>
      </c>
      <c r="E907" t="s">
        <v>42</v>
      </c>
      <c r="F907">
        <v>0</v>
      </c>
      <c r="G907">
        <f>INDEX(weekly!$E$2:$E$188,MATCH('Marketing Campaigns 22.11.22'!L907,weekly!$H$2:$H$188,0))</f>
        <v>6400.0924999999997</v>
      </c>
      <c r="H907">
        <f>INDEX(weekly!$D$2:$D$188,MATCH('Marketing Campaigns 22.11.22'!L907,weekly!$H$2:$H$188,0))</f>
        <v>2719.75</v>
      </c>
      <c r="I907">
        <f>INDEX(weekly!$F$2:$F$188,MATCH('Marketing Campaigns 22.11.22'!L907,weekly!$H$2:$H$188,0))</f>
        <v>0</v>
      </c>
      <c r="J907">
        <v>0</v>
      </c>
      <c r="K907">
        <v>0</v>
      </c>
      <c r="L907" t="str">
        <f t="shared" si="28"/>
        <v>8-2-2022</v>
      </c>
      <c r="M907">
        <f t="shared" si="29"/>
        <v>2022</v>
      </c>
    </row>
    <row r="908" spans="1:13" x14ac:dyDescent="0.2">
      <c r="A908" s="1">
        <v>44613</v>
      </c>
      <c r="B908">
        <v>8</v>
      </c>
      <c r="C908">
        <v>2</v>
      </c>
      <c r="D908">
        <v>1</v>
      </c>
      <c r="E908" t="s">
        <v>43</v>
      </c>
      <c r="F908">
        <v>0</v>
      </c>
      <c r="G908">
        <f>INDEX(weekly!$E$2:$E$188,MATCH('Marketing Campaigns 22.11.22'!L908,weekly!$H$2:$H$188,0))</f>
        <v>6400.0924999999997</v>
      </c>
      <c r="H908">
        <f>INDEX(weekly!$D$2:$D$188,MATCH('Marketing Campaigns 22.11.22'!L908,weekly!$H$2:$H$188,0))</f>
        <v>2719.75</v>
      </c>
      <c r="I908">
        <f>INDEX(weekly!$F$2:$F$188,MATCH('Marketing Campaigns 22.11.22'!L908,weekly!$H$2:$H$188,0))</f>
        <v>0</v>
      </c>
      <c r="J908">
        <v>0</v>
      </c>
      <c r="K908">
        <v>0</v>
      </c>
      <c r="L908" t="str">
        <f t="shared" si="28"/>
        <v>8-2-2022</v>
      </c>
      <c r="M908">
        <f t="shared" si="29"/>
        <v>2022</v>
      </c>
    </row>
    <row r="909" spans="1:13" x14ac:dyDescent="0.2">
      <c r="A909" s="1">
        <v>44613</v>
      </c>
      <c r="B909">
        <v>8</v>
      </c>
      <c r="C909">
        <v>2</v>
      </c>
      <c r="D909">
        <v>1</v>
      </c>
      <c r="E909" t="s">
        <v>44</v>
      </c>
      <c r="F909">
        <v>0</v>
      </c>
      <c r="G909">
        <f>INDEX(weekly!$E$2:$E$188,MATCH('Marketing Campaigns 22.11.22'!L909,weekly!$H$2:$H$188,0))</f>
        <v>6400.0924999999997</v>
      </c>
      <c r="H909">
        <f>INDEX(weekly!$D$2:$D$188,MATCH('Marketing Campaigns 22.11.22'!L909,weekly!$H$2:$H$188,0))</f>
        <v>2719.75</v>
      </c>
      <c r="I909">
        <f>INDEX(weekly!$F$2:$F$188,MATCH('Marketing Campaigns 22.11.22'!L909,weekly!$H$2:$H$188,0))</f>
        <v>0</v>
      </c>
      <c r="J909">
        <v>0</v>
      </c>
      <c r="K909">
        <v>0</v>
      </c>
      <c r="L909" t="str">
        <f t="shared" si="28"/>
        <v>8-2-2022</v>
      </c>
      <c r="M909">
        <f t="shared" si="29"/>
        <v>2022</v>
      </c>
    </row>
    <row r="910" spans="1:13" x14ac:dyDescent="0.2">
      <c r="A910" s="1">
        <v>44613</v>
      </c>
      <c r="B910">
        <v>8</v>
      </c>
      <c r="C910">
        <v>2</v>
      </c>
      <c r="D910">
        <v>1</v>
      </c>
      <c r="E910" t="s">
        <v>45</v>
      </c>
      <c r="F910">
        <v>0</v>
      </c>
      <c r="G910">
        <f>INDEX(weekly!$E$2:$E$188,MATCH('Marketing Campaigns 22.11.22'!L910,weekly!$H$2:$H$188,0))</f>
        <v>6400.0924999999997</v>
      </c>
      <c r="H910">
        <f>INDEX(weekly!$D$2:$D$188,MATCH('Marketing Campaigns 22.11.22'!L910,weekly!$H$2:$H$188,0))</f>
        <v>2719.75</v>
      </c>
      <c r="I910">
        <f>INDEX(weekly!$F$2:$F$188,MATCH('Marketing Campaigns 22.11.22'!L910,weekly!$H$2:$H$188,0))</f>
        <v>0</v>
      </c>
      <c r="J910">
        <v>0</v>
      </c>
      <c r="K910">
        <v>0</v>
      </c>
      <c r="L910" t="str">
        <f t="shared" si="28"/>
        <v>8-2-2022</v>
      </c>
      <c r="M910">
        <f t="shared" si="29"/>
        <v>2022</v>
      </c>
    </row>
    <row r="911" spans="1:13" x14ac:dyDescent="0.2">
      <c r="A911" s="1">
        <v>44613</v>
      </c>
      <c r="B911">
        <v>8</v>
      </c>
      <c r="C911">
        <v>2</v>
      </c>
      <c r="D911">
        <v>1</v>
      </c>
      <c r="E911" t="s">
        <v>46</v>
      </c>
      <c r="F911">
        <v>0</v>
      </c>
      <c r="G911">
        <f>INDEX(weekly!$E$2:$E$188,MATCH('Marketing Campaigns 22.11.22'!L911,weekly!$H$2:$H$188,0))</f>
        <v>6400.0924999999997</v>
      </c>
      <c r="H911">
        <f>INDEX(weekly!$D$2:$D$188,MATCH('Marketing Campaigns 22.11.22'!L911,weekly!$H$2:$H$188,0))</f>
        <v>2719.75</v>
      </c>
      <c r="I911">
        <f>INDEX(weekly!$F$2:$F$188,MATCH('Marketing Campaigns 22.11.22'!L911,weekly!$H$2:$H$188,0))</f>
        <v>0</v>
      </c>
      <c r="J911">
        <v>0</v>
      </c>
      <c r="K911">
        <v>0</v>
      </c>
      <c r="L911" t="str">
        <f t="shared" si="28"/>
        <v>8-2-2022</v>
      </c>
      <c r="M911">
        <f t="shared" si="29"/>
        <v>2022</v>
      </c>
    </row>
    <row r="912" spans="1:13" x14ac:dyDescent="0.2">
      <c r="A912" s="1">
        <v>44613</v>
      </c>
      <c r="B912">
        <v>8</v>
      </c>
      <c r="C912">
        <v>2</v>
      </c>
      <c r="D912">
        <v>1</v>
      </c>
      <c r="E912" t="s">
        <v>47</v>
      </c>
      <c r="F912">
        <v>0</v>
      </c>
      <c r="G912">
        <f>INDEX(weekly!$E$2:$E$188,MATCH('Marketing Campaigns 22.11.22'!L912,weekly!$H$2:$H$188,0))</f>
        <v>6400.0924999999997</v>
      </c>
      <c r="H912">
        <f>INDEX(weekly!$D$2:$D$188,MATCH('Marketing Campaigns 22.11.22'!L912,weekly!$H$2:$H$188,0))</f>
        <v>2719.75</v>
      </c>
      <c r="I912">
        <f>INDEX(weekly!$F$2:$F$188,MATCH('Marketing Campaigns 22.11.22'!L912,weekly!$H$2:$H$188,0))</f>
        <v>0</v>
      </c>
      <c r="J912">
        <v>0</v>
      </c>
      <c r="K912">
        <v>0</v>
      </c>
      <c r="L912" t="str">
        <f t="shared" si="28"/>
        <v>8-2-2022</v>
      </c>
      <c r="M912">
        <f t="shared" si="29"/>
        <v>2022</v>
      </c>
    </row>
    <row r="913" spans="1:13" x14ac:dyDescent="0.2">
      <c r="A913" s="1">
        <v>44613</v>
      </c>
      <c r="B913">
        <v>8</v>
      </c>
      <c r="C913">
        <v>2</v>
      </c>
      <c r="D913">
        <v>1</v>
      </c>
      <c r="E913" t="s">
        <v>48</v>
      </c>
      <c r="F913">
        <v>0</v>
      </c>
      <c r="G913">
        <f>INDEX(weekly!$E$2:$E$188,MATCH('Marketing Campaigns 22.11.22'!L913,weekly!$H$2:$H$188,0))</f>
        <v>6400.0924999999997</v>
      </c>
      <c r="H913">
        <f>INDEX(weekly!$D$2:$D$188,MATCH('Marketing Campaigns 22.11.22'!L913,weekly!$H$2:$H$188,0))</f>
        <v>2719.75</v>
      </c>
      <c r="I913">
        <f>INDEX(weekly!$F$2:$F$188,MATCH('Marketing Campaigns 22.11.22'!L913,weekly!$H$2:$H$188,0))</f>
        <v>0</v>
      </c>
      <c r="J913">
        <v>0</v>
      </c>
      <c r="K913">
        <v>0</v>
      </c>
      <c r="L913" t="str">
        <f t="shared" si="28"/>
        <v>8-2-2022</v>
      </c>
      <c r="M913">
        <f t="shared" si="29"/>
        <v>2022</v>
      </c>
    </row>
    <row r="914" spans="1:13" x14ac:dyDescent="0.2">
      <c r="A914" s="1">
        <v>44613</v>
      </c>
      <c r="B914">
        <v>8</v>
      </c>
      <c r="C914">
        <v>2</v>
      </c>
      <c r="D914">
        <v>1</v>
      </c>
      <c r="E914" t="s">
        <v>49</v>
      </c>
      <c r="F914">
        <v>0</v>
      </c>
      <c r="G914">
        <f>INDEX(weekly!$E$2:$E$188,MATCH('Marketing Campaigns 22.11.22'!L914,weekly!$H$2:$H$188,0))</f>
        <v>6400.0924999999997</v>
      </c>
      <c r="H914">
        <f>INDEX(weekly!$D$2:$D$188,MATCH('Marketing Campaigns 22.11.22'!L914,weekly!$H$2:$H$188,0))</f>
        <v>2719.75</v>
      </c>
      <c r="I914">
        <f>INDEX(weekly!$F$2:$F$188,MATCH('Marketing Campaigns 22.11.22'!L914,weekly!$H$2:$H$188,0))</f>
        <v>0</v>
      </c>
      <c r="J914">
        <v>0</v>
      </c>
      <c r="K914">
        <v>0</v>
      </c>
      <c r="L914" t="str">
        <f t="shared" si="28"/>
        <v>8-2-2022</v>
      </c>
      <c r="M914">
        <f t="shared" si="29"/>
        <v>2022</v>
      </c>
    </row>
    <row r="915" spans="1:13" x14ac:dyDescent="0.2">
      <c r="A915" s="1">
        <v>44613</v>
      </c>
      <c r="B915">
        <v>8</v>
      </c>
      <c r="C915">
        <v>2</v>
      </c>
      <c r="D915">
        <v>1</v>
      </c>
      <c r="E915" t="s">
        <v>50</v>
      </c>
      <c r="F915">
        <v>0</v>
      </c>
      <c r="G915">
        <f>INDEX(weekly!$E$2:$E$188,MATCH('Marketing Campaigns 22.11.22'!L915,weekly!$H$2:$H$188,0))</f>
        <v>6400.0924999999997</v>
      </c>
      <c r="H915">
        <f>INDEX(weekly!$D$2:$D$188,MATCH('Marketing Campaigns 22.11.22'!L915,weekly!$H$2:$H$188,0))</f>
        <v>2719.75</v>
      </c>
      <c r="I915">
        <f>INDEX(weekly!$F$2:$F$188,MATCH('Marketing Campaigns 22.11.22'!L915,weekly!$H$2:$H$188,0))</f>
        <v>0</v>
      </c>
      <c r="J915">
        <v>0</v>
      </c>
      <c r="K915">
        <v>0</v>
      </c>
      <c r="L915" t="str">
        <f t="shared" si="28"/>
        <v>8-2-2022</v>
      </c>
      <c r="M915">
        <f t="shared" si="29"/>
        <v>2022</v>
      </c>
    </row>
    <row r="916" spans="1:13" x14ac:dyDescent="0.2">
      <c r="A916" s="1">
        <v>44613</v>
      </c>
      <c r="B916">
        <v>8</v>
      </c>
      <c r="C916">
        <v>2</v>
      </c>
      <c r="D916">
        <v>1</v>
      </c>
      <c r="E916" t="s">
        <v>51</v>
      </c>
      <c r="F916">
        <v>0</v>
      </c>
      <c r="G916">
        <f>INDEX(weekly!$E$2:$E$188,MATCH('Marketing Campaigns 22.11.22'!L916,weekly!$H$2:$H$188,0))</f>
        <v>6400.0924999999997</v>
      </c>
      <c r="H916">
        <f>INDEX(weekly!$D$2:$D$188,MATCH('Marketing Campaigns 22.11.22'!L916,weekly!$H$2:$H$188,0))</f>
        <v>2719.75</v>
      </c>
      <c r="I916">
        <f>INDEX(weekly!$F$2:$F$188,MATCH('Marketing Campaigns 22.11.22'!L916,weekly!$H$2:$H$188,0))</f>
        <v>0</v>
      </c>
      <c r="J916">
        <v>0</v>
      </c>
      <c r="K916">
        <v>0</v>
      </c>
      <c r="L916" t="str">
        <f t="shared" si="28"/>
        <v>8-2-2022</v>
      </c>
      <c r="M916">
        <f t="shared" si="29"/>
        <v>2022</v>
      </c>
    </row>
    <row r="917" spans="1:13" x14ac:dyDescent="0.2">
      <c r="A917" s="1">
        <v>44613</v>
      </c>
      <c r="B917">
        <v>8</v>
      </c>
      <c r="C917">
        <v>2</v>
      </c>
      <c r="D917">
        <v>1</v>
      </c>
      <c r="E917" t="s">
        <v>52</v>
      </c>
      <c r="F917">
        <v>0</v>
      </c>
      <c r="G917">
        <f>INDEX(weekly!$E$2:$E$188,MATCH('Marketing Campaigns 22.11.22'!L917,weekly!$H$2:$H$188,0))</f>
        <v>6400.0924999999997</v>
      </c>
      <c r="H917">
        <f>INDEX(weekly!$D$2:$D$188,MATCH('Marketing Campaigns 22.11.22'!L917,weekly!$H$2:$H$188,0))</f>
        <v>2719.75</v>
      </c>
      <c r="I917">
        <f>INDEX(weekly!$F$2:$F$188,MATCH('Marketing Campaigns 22.11.22'!L917,weekly!$H$2:$H$188,0))</f>
        <v>0</v>
      </c>
      <c r="J917">
        <v>0</v>
      </c>
      <c r="K917">
        <v>0</v>
      </c>
      <c r="L917" t="str">
        <f t="shared" si="28"/>
        <v>8-2-2022</v>
      </c>
      <c r="M917">
        <f t="shared" si="29"/>
        <v>2022</v>
      </c>
    </row>
    <row r="918" spans="1:13" x14ac:dyDescent="0.2">
      <c r="A918" s="1">
        <v>44620</v>
      </c>
      <c r="B918">
        <v>9</v>
      </c>
      <c r="C918">
        <v>2</v>
      </c>
      <c r="D918">
        <v>1</v>
      </c>
      <c r="E918" t="s">
        <v>24</v>
      </c>
      <c r="F918">
        <v>0</v>
      </c>
      <c r="G918">
        <f>INDEX(weekly!$E$2:$E$188,MATCH('Marketing Campaigns 22.11.22'!L918,weekly!$H$2:$H$188,0))</f>
        <v>914.29892857142852</v>
      </c>
      <c r="H918">
        <f>INDEX(weekly!$D$2:$D$188,MATCH('Marketing Campaigns 22.11.22'!L918,weekly!$H$2:$H$188,0))</f>
        <v>388.53571428571428</v>
      </c>
      <c r="I918">
        <f>INDEX(weekly!$F$2:$F$188,MATCH('Marketing Campaigns 22.11.22'!L918,weekly!$H$2:$H$188,0))</f>
        <v>0</v>
      </c>
      <c r="J918">
        <v>0</v>
      </c>
      <c r="K918">
        <v>0</v>
      </c>
      <c r="L918" t="str">
        <f t="shared" si="28"/>
        <v>9-2-2022</v>
      </c>
      <c r="M918">
        <f t="shared" si="29"/>
        <v>2022</v>
      </c>
    </row>
    <row r="919" spans="1:13" x14ac:dyDescent="0.2">
      <c r="A919" s="1">
        <v>44620</v>
      </c>
      <c r="B919">
        <v>9</v>
      </c>
      <c r="C919">
        <v>2</v>
      </c>
      <c r="D919">
        <v>1</v>
      </c>
      <c r="E919" t="s">
        <v>39</v>
      </c>
      <c r="F919">
        <v>0</v>
      </c>
      <c r="G919">
        <f>INDEX(weekly!$E$2:$E$188,MATCH('Marketing Campaigns 22.11.22'!L919,weekly!$H$2:$H$188,0))</f>
        <v>914.29892857142852</v>
      </c>
      <c r="H919">
        <f>INDEX(weekly!$D$2:$D$188,MATCH('Marketing Campaigns 22.11.22'!L919,weekly!$H$2:$H$188,0))</f>
        <v>388.53571428571428</v>
      </c>
      <c r="I919">
        <f>INDEX(weekly!$F$2:$F$188,MATCH('Marketing Campaigns 22.11.22'!L919,weekly!$H$2:$H$188,0))</f>
        <v>0</v>
      </c>
      <c r="J919">
        <v>0</v>
      </c>
      <c r="K919">
        <v>0</v>
      </c>
      <c r="L919" t="str">
        <f t="shared" si="28"/>
        <v>9-2-2022</v>
      </c>
      <c r="M919">
        <f t="shared" si="29"/>
        <v>2022</v>
      </c>
    </row>
    <row r="920" spans="1:13" x14ac:dyDescent="0.2">
      <c r="A920" s="1">
        <v>44620</v>
      </c>
      <c r="B920">
        <v>9</v>
      </c>
      <c r="C920">
        <v>2</v>
      </c>
      <c r="D920">
        <v>1</v>
      </c>
      <c r="E920" t="s">
        <v>40</v>
      </c>
      <c r="F920">
        <v>0</v>
      </c>
      <c r="G920">
        <f>INDEX(weekly!$E$2:$E$188,MATCH('Marketing Campaigns 22.11.22'!L920,weekly!$H$2:$H$188,0))</f>
        <v>914.29892857142852</v>
      </c>
      <c r="H920">
        <f>INDEX(weekly!$D$2:$D$188,MATCH('Marketing Campaigns 22.11.22'!L920,weekly!$H$2:$H$188,0))</f>
        <v>388.53571428571428</v>
      </c>
      <c r="I920">
        <f>INDEX(weekly!$F$2:$F$188,MATCH('Marketing Campaigns 22.11.22'!L920,weekly!$H$2:$H$188,0))</f>
        <v>0</v>
      </c>
      <c r="J920">
        <v>0</v>
      </c>
      <c r="K920">
        <v>0</v>
      </c>
      <c r="L920" t="str">
        <f t="shared" si="28"/>
        <v>9-2-2022</v>
      </c>
      <c r="M920">
        <f t="shared" si="29"/>
        <v>2022</v>
      </c>
    </row>
    <row r="921" spans="1:13" x14ac:dyDescent="0.2">
      <c r="A921" s="1">
        <v>44620</v>
      </c>
      <c r="B921">
        <v>9</v>
      </c>
      <c r="C921">
        <v>2</v>
      </c>
      <c r="D921">
        <v>1</v>
      </c>
      <c r="E921" t="s">
        <v>41</v>
      </c>
      <c r="F921">
        <v>0</v>
      </c>
      <c r="G921">
        <f>INDEX(weekly!$E$2:$E$188,MATCH('Marketing Campaigns 22.11.22'!L921,weekly!$H$2:$H$188,0))</f>
        <v>914.29892857142852</v>
      </c>
      <c r="H921">
        <f>INDEX(weekly!$D$2:$D$188,MATCH('Marketing Campaigns 22.11.22'!L921,weekly!$H$2:$H$188,0))</f>
        <v>388.53571428571428</v>
      </c>
      <c r="I921">
        <f>INDEX(weekly!$F$2:$F$188,MATCH('Marketing Campaigns 22.11.22'!L921,weekly!$H$2:$H$188,0))</f>
        <v>0</v>
      </c>
      <c r="J921">
        <v>0</v>
      </c>
      <c r="K921">
        <v>0</v>
      </c>
      <c r="L921" t="str">
        <f t="shared" si="28"/>
        <v>9-2-2022</v>
      </c>
      <c r="M921">
        <f t="shared" si="29"/>
        <v>2022</v>
      </c>
    </row>
    <row r="922" spans="1:13" x14ac:dyDescent="0.2">
      <c r="A922" s="1">
        <v>44620</v>
      </c>
      <c r="B922">
        <v>9</v>
      </c>
      <c r="C922">
        <v>2</v>
      </c>
      <c r="D922">
        <v>1</v>
      </c>
      <c r="E922" t="s">
        <v>42</v>
      </c>
      <c r="F922">
        <v>0</v>
      </c>
      <c r="G922">
        <f>INDEX(weekly!$E$2:$E$188,MATCH('Marketing Campaigns 22.11.22'!L922,weekly!$H$2:$H$188,0))</f>
        <v>914.29892857142852</v>
      </c>
      <c r="H922">
        <f>INDEX(weekly!$D$2:$D$188,MATCH('Marketing Campaigns 22.11.22'!L922,weekly!$H$2:$H$188,0))</f>
        <v>388.53571428571428</v>
      </c>
      <c r="I922">
        <f>INDEX(weekly!$F$2:$F$188,MATCH('Marketing Campaigns 22.11.22'!L922,weekly!$H$2:$H$188,0))</f>
        <v>0</v>
      </c>
      <c r="J922">
        <v>0</v>
      </c>
      <c r="K922">
        <v>0</v>
      </c>
      <c r="L922" t="str">
        <f t="shared" si="28"/>
        <v>9-2-2022</v>
      </c>
      <c r="M922">
        <f t="shared" si="29"/>
        <v>2022</v>
      </c>
    </row>
    <row r="923" spans="1:13" x14ac:dyDescent="0.2">
      <c r="A923" s="1">
        <v>44620</v>
      </c>
      <c r="B923">
        <v>9</v>
      </c>
      <c r="C923">
        <v>2</v>
      </c>
      <c r="D923">
        <v>1</v>
      </c>
      <c r="E923" t="s">
        <v>43</v>
      </c>
      <c r="F923">
        <v>0</v>
      </c>
      <c r="G923">
        <f>INDEX(weekly!$E$2:$E$188,MATCH('Marketing Campaigns 22.11.22'!L923,weekly!$H$2:$H$188,0))</f>
        <v>914.29892857142852</v>
      </c>
      <c r="H923">
        <f>INDEX(weekly!$D$2:$D$188,MATCH('Marketing Campaigns 22.11.22'!L923,weekly!$H$2:$H$188,0))</f>
        <v>388.53571428571428</v>
      </c>
      <c r="I923">
        <f>INDEX(weekly!$F$2:$F$188,MATCH('Marketing Campaigns 22.11.22'!L923,weekly!$H$2:$H$188,0))</f>
        <v>0</v>
      </c>
      <c r="J923">
        <v>0</v>
      </c>
      <c r="K923">
        <v>0</v>
      </c>
      <c r="L923" t="str">
        <f t="shared" si="28"/>
        <v>9-2-2022</v>
      </c>
      <c r="M923">
        <f t="shared" si="29"/>
        <v>2022</v>
      </c>
    </row>
    <row r="924" spans="1:13" x14ac:dyDescent="0.2">
      <c r="A924" s="1">
        <v>44620</v>
      </c>
      <c r="B924">
        <v>9</v>
      </c>
      <c r="C924">
        <v>2</v>
      </c>
      <c r="D924">
        <v>1</v>
      </c>
      <c r="E924" t="s">
        <v>44</v>
      </c>
      <c r="F924">
        <v>0</v>
      </c>
      <c r="G924">
        <f>INDEX(weekly!$E$2:$E$188,MATCH('Marketing Campaigns 22.11.22'!L924,weekly!$H$2:$H$188,0))</f>
        <v>914.29892857142852</v>
      </c>
      <c r="H924">
        <f>INDEX(weekly!$D$2:$D$188,MATCH('Marketing Campaigns 22.11.22'!L924,weekly!$H$2:$H$188,0))</f>
        <v>388.53571428571428</v>
      </c>
      <c r="I924">
        <f>INDEX(weekly!$F$2:$F$188,MATCH('Marketing Campaigns 22.11.22'!L924,weekly!$H$2:$H$188,0))</f>
        <v>0</v>
      </c>
      <c r="J924">
        <v>0</v>
      </c>
      <c r="K924">
        <v>0</v>
      </c>
      <c r="L924" t="str">
        <f t="shared" si="28"/>
        <v>9-2-2022</v>
      </c>
      <c r="M924">
        <f t="shared" si="29"/>
        <v>2022</v>
      </c>
    </row>
    <row r="925" spans="1:13" x14ac:dyDescent="0.2">
      <c r="A925" s="1">
        <v>44620</v>
      </c>
      <c r="B925">
        <v>9</v>
      </c>
      <c r="C925">
        <v>2</v>
      </c>
      <c r="D925">
        <v>1</v>
      </c>
      <c r="E925" t="s">
        <v>45</v>
      </c>
      <c r="F925">
        <v>0</v>
      </c>
      <c r="G925">
        <f>INDEX(weekly!$E$2:$E$188,MATCH('Marketing Campaigns 22.11.22'!L925,weekly!$H$2:$H$188,0))</f>
        <v>914.29892857142852</v>
      </c>
      <c r="H925">
        <f>INDEX(weekly!$D$2:$D$188,MATCH('Marketing Campaigns 22.11.22'!L925,weekly!$H$2:$H$188,0))</f>
        <v>388.53571428571428</v>
      </c>
      <c r="I925">
        <f>INDEX(weekly!$F$2:$F$188,MATCH('Marketing Campaigns 22.11.22'!L925,weekly!$H$2:$H$188,0))</f>
        <v>0</v>
      </c>
      <c r="J925">
        <v>0</v>
      </c>
      <c r="K925">
        <v>0</v>
      </c>
      <c r="L925" t="str">
        <f t="shared" si="28"/>
        <v>9-2-2022</v>
      </c>
      <c r="M925">
        <f t="shared" si="29"/>
        <v>2022</v>
      </c>
    </row>
    <row r="926" spans="1:13" x14ac:dyDescent="0.2">
      <c r="A926" s="1">
        <v>44620</v>
      </c>
      <c r="B926">
        <v>9</v>
      </c>
      <c r="C926">
        <v>2</v>
      </c>
      <c r="D926">
        <v>1</v>
      </c>
      <c r="E926" t="s">
        <v>46</v>
      </c>
      <c r="F926">
        <v>0</v>
      </c>
      <c r="G926">
        <f>INDEX(weekly!$E$2:$E$188,MATCH('Marketing Campaigns 22.11.22'!L926,weekly!$H$2:$H$188,0))</f>
        <v>914.29892857142852</v>
      </c>
      <c r="H926">
        <f>INDEX(weekly!$D$2:$D$188,MATCH('Marketing Campaigns 22.11.22'!L926,weekly!$H$2:$H$188,0))</f>
        <v>388.53571428571428</v>
      </c>
      <c r="I926">
        <f>INDEX(weekly!$F$2:$F$188,MATCH('Marketing Campaigns 22.11.22'!L926,weekly!$H$2:$H$188,0))</f>
        <v>0</v>
      </c>
      <c r="J926">
        <v>0</v>
      </c>
      <c r="K926">
        <v>0</v>
      </c>
      <c r="L926" t="str">
        <f t="shared" si="28"/>
        <v>9-2-2022</v>
      </c>
      <c r="M926">
        <f t="shared" si="29"/>
        <v>2022</v>
      </c>
    </row>
    <row r="927" spans="1:13" x14ac:dyDescent="0.2">
      <c r="A927" s="1">
        <v>44620</v>
      </c>
      <c r="B927">
        <v>9</v>
      </c>
      <c r="C927">
        <v>2</v>
      </c>
      <c r="D927">
        <v>1</v>
      </c>
      <c r="E927" t="s">
        <v>47</v>
      </c>
      <c r="F927">
        <v>0</v>
      </c>
      <c r="G927">
        <f>INDEX(weekly!$E$2:$E$188,MATCH('Marketing Campaigns 22.11.22'!L927,weekly!$H$2:$H$188,0))</f>
        <v>914.29892857142852</v>
      </c>
      <c r="H927">
        <f>INDEX(weekly!$D$2:$D$188,MATCH('Marketing Campaigns 22.11.22'!L927,weekly!$H$2:$H$188,0))</f>
        <v>388.53571428571428</v>
      </c>
      <c r="I927">
        <f>INDEX(weekly!$F$2:$F$188,MATCH('Marketing Campaigns 22.11.22'!L927,weekly!$H$2:$H$188,0))</f>
        <v>0</v>
      </c>
      <c r="J927">
        <v>0</v>
      </c>
      <c r="K927">
        <v>0</v>
      </c>
      <c r="L927" t="str">
        <f t="shared" si="28"/>
        <v>9-2-2022</v>
      </c>
      <c r="M927">
        <f t="shared" si="29"/>
        <v>2022</v>
      </c>
    </row>
    <row r="928" spans="1:13" x14ac:dyDescent="0.2">
      <c r="A928" s="1">
        <v>44620</v>
      </c>
      <c r="B928">
        <v>9</v>
      </c>
      <c r="C928">
        <v>2</v>
      </c>
      <c r="D928">
        <v>1</v>
      </c>
      <c r="E928" t="s">
        <v>48</v>
      </c>
      <c r="F928">
        <v>0</v>
      </c>
      <c r="G928">
        <f>INDEX(weekly!$E$2:$E$188,MATCH('Marketing Campaigns 22.11.22'!L928,weekly!$H$2:$H$188,0))</f>
        <v>914.29892857142852</v>
      </c>
      <c r="H928">
        <f>INDEX(weekly!$D$2:$D$188,MATCH('Marketing Campaigns 22.11.22'!L928,weekly!$H$2:$H$188,0))</f>
        <v>388.53571428571428</v>
      </c>
      <c r="I928">
        <f>INDEX(weekly!$F$2:$F$188,MATCH('Marketing Campaigns 22.11.22'!L928,weekly!$H$2:$H$188,0))</f>
        <v>0</v>
      </c>
      <c r="J928">
        <v>0</v>
      </c>
      <c r="K928">
        <v>0</v>
      </c>
      <c r="L928" t="str">
        <f t="shared" si="28"/>
        <v>9-2-2022</v>
      </c>
      <c r="M928">
        <f t="shared" si="29"/>
        <v>2022</v>
      </c>
    </row>
    <row r="929" spans="1:13" x14ac:dyDescent="0.2">
      <c r="A929" s="1">
        <v>44620</v>
      </c>
      <c r="B929">
        <v>9</v>
      </c>
      <c r="C929">
        <v>2</v>
      </c>
      <c r="D929">
        <v>1</v>
      </c>
      <c r="E929" t="s">
        <v>49</v>
      </c>
      <c r="F929">
        <v>0</v>
      </c>
      <c r="G929">
        <f>INDEX(weekly!$E$2:$E$188,MATCH('Marketing Campaigns 22.11.22'!L929,weekly!$H$2:$H$188,0))</f>
        <v>914.29892857142852</v>
      </c>
      <c r="H929">
        <f>INDEX(weekly!$D$2:$D$188,MATCH('Marketing Campaigns 22.11.22'!L929,weekly!$H$2:$H$188,0))</f>
        <v>388.53571428571428</v>
      </c>
      <c r="I929">
        <f>INDEX(weekly!$F$2:$F$188,MATCH('Marketing Campaigns 22.11.22'!L929,weekly!$H$2:$H$188,0))</f>
        <v>0</v>
      </c>
      <c r="J929">
        <v>0</v>
      </c>
      <c r="K929">
        <v>0</v>
      </c>
      <c r="L929" t="str">
        <f t="shared" si="28"/>
        <v>9-2-2022</v>
      </c>
      <c r="M929">
        <f t="shared" si="29"/>
        <v>2022</v>
      </c>
    </row>
    <row r="930" spans="1:13" x14ac:dyDescent="0.2">
      <c r="A930" s="1">
        <v>44620</v>
      </c>
      <c r="B930">
        <v>9</v>
      </c>
      <c r="C930">
        <v>2</v>
      </c>
      <c r="D930">
        <v>1</v>
      </c>
      <c r="E930" t="s">
        <v>50</v>
      </c>
      <c r="F930">
        <v>0</v>
      </c>
      <c r="G930">
        <f>INDEX(weekly!$E$2:$E$188,MATCH('Marketing Campaigns 22.11.22'!L930,weekly!$H$2:$H$188,0))</f>
        <v>914.29892857142852</v>
      </c>
      <c r="H930">
        <f>INDEX(weekly!$D$2:$D$188,MATCH('Marketing Campaigns 22.11.22'!L930,weekly!$H$2:$H$188,0))</f>
        <v>388.53571428571428</v>
      </c>
      <c r="I930">
        <f>INDEX(weekly!$F$2:$F$188,MATCH('Marketing Campaigns 22.11.22'!L930,weekly!$H$2:$H$188,0))</f>
        <v>0</v>
      </c>
      <c r="J930">
        <v>0</v>
      </c>
      <c r="K930">
        <v>0</v>
      </c>
      <c r="L930" t="str">
        <f t="shared" si="28"/>
        <v>9-2-2022</v>
      </c>
      <c r="M930">
        <f t="shared" si="29"/>
        <v>2022</v>
      </c>
    </row>
    <row r="931" spans="1:13" x14ac:dyDescent="0.2">
      <c r="A931" s="1">
        <v>44620</v>
      </c>
      <c r="B931">
        <v>9</v>
      </c>
      <c r="C931">
        <v>2</v>
      </c>
      <c r="D931">
        <v>1</v>
      </c>
      <c r="E931" t="s">
        <v>51</v>
      </c>
      <c r="F931">
        <v>0</v>
      </c>
      <c r="G931">
        <f>INDEX(weekly!$E$2:$E$188,MATCH('Marketing Campaigns 22.11.22'!L931,weekly!$H$2:$H$188,0))</f>
        <v>914.29892857142852</v>
      </c>
      <c r="H931">
        <f>INDEX(weekly!$D$2:$D$188,MATCH('Marketing Campaigns 22.11.22'!L931,weekly!$H$2:$H$188,0))</f>
        <v>388.53571428571428</v>
      </c>
      <c r="I931">
        <f>INDEX(weekly!$F$2:$F$188,MATCH('Marketing Campaigns 22.11.22'!L931,weekly!$H$2:$H$188,0))</f>
        <v>0</v>
      </c>
      <c r="J931">
        <v>0</v>
      </c>
      <c r="K931">
        <v>0</v>
      </c>
      <c r="L931" t="str">
        <f t="shared" si="28"/>
        <v>9-2-2022</v>
      </c>
      <c r="M931">
        <f t="shared" si="29"/>
        <v>2022</v>
      </c>
    </row>
    <row r="932" spans="1:13" x14ac:dyDescent="0.2">
      <c r="A932" s="1">
        <v>44620</v>
      </c>
      <c r="B932">
        <v>9</v>
      </c>
      <c r="C932">
        <v>2</v>
      </c>
      <c r="D932">
        <v>1</v>
      </c>
      <c r="E932" t="s">
        <v>52</v>
      </c>
      <c r="F932">
        <v>0</v>
      </c>
      <c r="G932">
        <f>INDEX(weekly!$E$2:$E$188,MATCH('Marketing Campaigns 22.11.22'!L932,weekly!$H$2:$H$188,0))</f>
        <v>914.29892857142852</v>
      </c>
      <c r="H932">
        <f>INDEX(weekly!$D$2:$D$188,MATCH('Marketing Campaigns 22.11.22'!L932,weekly!$H$2:$H$188,0))</f>
        <v>388.53571428571428</v>
      </c>
      <c r="I932">
        <f>INDEX(weekly!$F$2:$F$188,MATCH('Marketing Campaigns 22.11.22'!L932,weekly!$H$2:$H$188,0))</f>
        <v>0</v>
      </c>
      <c r="J932">
        <v>0</v>
      </c>
      <c r="K932">
        <v>0</v>
      </c>
      <c r="L932" t="str">
        <f t="shared" si="28"/>
        <v>9-2-2022</v>
      </c>
      <c r="M932">
        <f t="shared" si="29"/>
        <v>2022</v>
      </c>
    </row>
    <row r="933" spans="1:13" x14ac:dyDescent="0.2">
      <c r="A933" s="1">
        <v>44627</v>
      </c>
      <c r="B933">
        <v>10</v>
      </c>
      <c r="C933">
        <v>3</v>
      </c>
      <c r="D933">
        <v>1</v>
      </c>
      <c r="E933" t="s">
        <v>24</v>
      </c>
      <c r="F933">
        <v>0</v>
      </c>
      <c r="G933">
        <f>INDEX(weekly!$E$2:$E$188,MATCH('Marketing Campaigns 22.11.22'!L933,weekly!$H$2:$H$188,0))</f>
        <v>5817.6841935483872</v>
      </c>
      <c r="H933">
        <f>INDEX(weekly!$D$2:$D$188,MATCH('Marketing Campaigns 22.11.22'!L933,weekly!$H$2:$H$188,0))</f>
        <v>4309.2903225806449</v>
      </c>
      <c r="I933">
        <f>INDEX(weekly!$F$2:$F$188,MATCH('Marketing Campaigns 22.11.22'!L933,weekly!$H$2:$H$188,0))</f>
        <v>0</v>
      </c>
      <c r="J933">
        <v>0</v>
      </c>
      <c r="K933">
        <v>0</v>
      </c>
      <c r="L933" t="str">
        <f t="shared" si="28"/>
        <v>10-3-2022</v>
      </c>
      <c r="M933">
        <f t="shared" si="29"/>
        <v>2022</v>
      </c>
    </row>
    <row r="934" spans="1:13" x14ac:dyDescent="0.2">
      <c r="A934" s="1">
        <v>44627</v>
      </c>
      <c r="B934">
        <v>10</v>
      </c>
      <c r="C934">
        <v>3</v>
      </c>
      <c r="D934">
        <v>1</v>
      </c>
      <c r="E934" t="s">
        <v>39</v>
      </c>
      <c r="F934">
        <v>0</v>
      </c>
      <c r="G934">
        <f>INDEX(weekly!$E$2:$E$188,MATCH('Marketing Campaigns 22.11.22'!L934,weekly!$H$2:$H$188,0))</f>
        <v>5817.6841935483872</v>
      </c>
      <c r="H934">
        <f>INDEX(weekly!$D$2:$D$188,MATCH('Marketing Campaigns 22.11.22'!L934,weekly!$H$2:$H$188,0))</f>
        <v>4309.2903225806449</v>
      </c>
      <c r="I934">
        <f>INDEX(weekly!$F$2:$F$188,MATCH('Marketing Campaigns 22.11.22'!L934,weekly!$H$2:$H$188,0))</f>
        <v>0</v>
      </c>
      <c r="J934">
        <v>0</v>
      </c>
      <c r="K934">
        <v>0</v>
      </c>
      <c r="L934" t="str">
        <f t="shared" si="28"/>
        <v>10-3-2022</v>
      </c>
      <c r="M934">
        <f t="shared" si="29"/>
        <v>2022</v>
      </c>
    </row>
    <row r="935" spans="1:13" x14ac:dyDescent="0.2">
      <c r="A935" s="1">
        <v>44627</v>
      </c>
      <c r="B935">
        <v>10</v>
      </c>
      <c r="C935">
        <v>3</v>
      </c>
      <c r="D935">
        <v>1</v>
      </c>
      <c r="E935" t="s">
        <v>40</v>
      </c>
      <c r="F935">
        <v>0</v>
      </c>
      <c r="G935">
        <f>INDEX(weekly!$E$2:$E$188,MATCH('Marketing Campaigns 22.11.22'!L935,weekly!$H$2:$H$188,0))</f>
        <v>5817.6841935483872</v>
      </c>
      <c r="H935">
        <f>INDEX(weekly!$D$2:$D$188,MATCH('Marketing Campaigns 22.11.22'!L935,weekly!$H$2:$H$188,0))</f>
        <v>4309.2903225806449</v>
      </c>
      <c r="I935">
        <f>INDEX(weekly!$F$2:$F$188,MATCH('Marketing Campaigns 22.11.22'!L935,weekly!$H$2:$H$188,0))</f>
        <v>0</v>
      </c>
      <c r="J935">
        <v>0</v>
      </c>
      <c r="K935">
        <v>0</v>
      </c>
      <c r="L935" t="str">
        <f t="shared" si="28"/>
        <v>10-3-2022</v>
      </c>
      <c r="M935">
        <f t="shared" si="29"/>
        <v>2022</v>
      </c>
    </row>
    <row r="936" spans="1:13" x14ac:dyDescent="0.2">
      <c r="A936" s="1">
        <v>44627</v>
      </c>
      <c r="B936">
        <v>10</v>
      </c>
      <c r="C936">
        <v>3</v>
      </c>
      <c r="D936">
        <v>1</v>
      </c>
      <c r="E936" t="s">
        <v>41</v>
      </c>
      <c r="F936">
        <v>0</v>
      </c>
      <c r="G936">
        <f>INDEX(weekly!$E$2:$E$188,MATCH('Marketing Campaigns 22.11.22'!L936,weekly!$H$2:$H$188,0))</f>
        <v>5817.6841935483872</v>
      </c>
      <c r="H936">
        <f>INDEX(weekly!$D$2:$D$188,MATCH('Marketing Campaigns 22.11.22'!L936,weekly!$H$2:$H$188,0))</f>
        <v>4309.2903225806449</v>
      </c>
      <c r="I936">
        <f>INDEX(weekly!$F$2:$F$188,MATCH('Marketing Campaigns 22.11.22'!L936,weekly!$H$2:$H$188,0))</f>
        <v>0</v>
      </c>
      <c r="J936">
        <v>0</v>
      </c>
      <c r="K936">
        <v>0</v>
      </c>
      <c r="L936" t="str">
        <f t="shared" si="28"/>
        <v>10-3-2022</v>
      </c>
      <c r="M936">
        <f t="shared" si="29"/>
        <v>2022</v>
      </c>
    </row>
    <row r="937" spans="1:13" x14ac:dyDescent="0.2">
      <c r="A937" s="1">
        <v>44627</v>
      </c>
      <c r="B937">
        <v>10</v>
      </c>
      <c r="C937">
        <v>3</v>
      </c>
      <c r="D937">
        <v>1</v>
      </c>
      <c r="E937" t="s">
        <v>42</v>
      </c>
      <c r="F937">
        <v>0</v>
      </c>
      <c r="G937">
        <f>INDEX(weekly!$E$2:$E$188,MATCH('Marketing Campaigns 22.11.22'!L937,weekly!$H$2:$H$188,0))</f>
        <v>5817.6841935483872</v>
      </c>
      <c r="H937">
        <f>INDEX(weekly!$D$2:$D$188,MATCH('Marketing Campaigns 22.11.22'!L937,weekly!$H$2:$H$188,0))</f>
        <v>4309.2903225806449</v>
      </c>
      <c r="I937">
        <f>INDEX(weekly!$F$2:$F$188,MATCH('Marketing Campaigns 22.11.22'!L937,weekly!$H$2:$H$188,0))</f>
        <v>0</v>
      </c>
      <c r="J937">
        <v>0</v>
      </c>
      <c r="K937">
        <v>0</v>
      </c>
      <c r="L937" t="str">
        <f t="shared" si="28"/>
        <v>10-3-2022</v>
      </c>
      <c r="M937">
        <f t="shared" si="29"/>
        <v>2022</v>
      </c>
    </row>
    <row r="938" spans="1:13" x14ac:dyDescent="0.2">
      <c r="A938" s="1">
        <v>44627</v>
      </c>
      <c r="B938">
        <v>10</v>
      </c>
      <c r="C938">
        <v>3</v>
      </c>
      <c r="D938">
        <v>1</v>
      </c>
      <c r="E938" t="s">
        <v>43</v>
      </c>
      <c r="F938">
        <v>0</v>
      </c>
      <c r="G938">
        <f>INDEX(weekly!$E$2:$E$188,MATCH('Marketing Campaigns 22.11.22'!L938,weekly!$H$2:$H$188,0))</f>
        <v>5817.6841935483872</v>
      </c>
      <c r="H938">
        <f>INDEX(weekly!$D$2:$D$188,MATCH('Marketing Campaigns 22.11.22'!L938,weekly!$H$2:$H$188,0))</f>
        <v>4309.2903225806449</v>
      </c>
      <c r="I938">
        <f>INDEX(weekly!$F$2:$F$188,MATCH('Marketing Campaigns 22.11.22'!L938,weekly!$H$2:$H$188,0))</f>
        <v>0</v>
      </c>
      <c r="J938">
        <v>0</v>
      </c>
      <c r="K938">
        <v>0</v>
      </c>
      <c r="L938" t="str">
        <f t="shared" si="28"/>
        <v>10-3-2022</v>
      </c>
      <c r="M938">
        <f t="shared" si="29"/>
        <v>2022</v>
      </c>
    </row>
    <row r="939" spans="1:13" x14ac:dyDescent="0.2">
      <c r="A939" s="1">
        <v>44627</v>
      </c>
      <c r="B939">
        <v>10</v>
      </c>
      <c r="C939">
        <v>3</v>
      </c>
      <c r="D939">
        <v>1</v>
      </c>
      <c r="E939" t="s">
        <v>44</v>
      </c>
      <c r="F939">
        <v>0</v>
      </c>
      <c r="G939">
        <f>INDEX(weekly!$E$2:$E$188,MATCH('Marketing Campaigns 22.11.22'!L939,weekly!$H$2:$H$188,0))</f>
        <v>5817.6841935483872</v>
      </c>
      <c r="H939">
        <f>INDEX(weekly!$D$2:$D$188,MATCH('Marketing Campaigns 22.11.22'!L939,weekly!$H$2:$H$188,0))</f>
        <v>4309.2903225806449</v>
      </c>
      <c r="I939">
        <f>INDEX(weekly!$F$2:$F$188,MATCH('Marketing Campaigns 22.11.22'!L939,weekly!$H$2:$H$188,0))</f>
        <v>0</v>
      </c>
      <c r="J939">
        <v>0</v>
      </c>
      <c r="K939">
        <v>0</v>
      </c>
      <c r="L939" t="str">
        <f t="shared" si="28"/>
        <v>10-3-2022</v>
      </c>
      <c r="M939">
        <f t="shared" si="29"/>
        <v>2022</v>
      </c>
    </row>
    <row r="940" spans="1:13" x14ac:dyDescent="0.2">
      <c r="A940" s="1">
        <v>44627</v>
      </c>
      <c r="B940">
        <v>10</v>
      </c>
      <c r="C940">
        <v>3</v>
      </c>
      <c r="D940">
        <v>1</v>
      </c>
      <c r="E940" t="s">
        <v>45</v>
      </c>
      <c r="F940">
        <v>0</v>
      </c>
      <c r="G940">
        <f>INDEX(weekly!$E$2:$E$188,MATCH('Marketing Campaigns 22.11.22'!L940,weekly!$H$2:$H$188,0))</f>
        <v>5817.6841935483872</v>
      </c>
      <c r="H940">
        <f>INDEX(weekly!$D$2:$D$188,MATCH('Marketing Campaigns 22.11.22'!L940,weekly!$H$2:$H$188,0))</f>
        <v>4309.2903225806449</v>
      </c>
      <c r="I940">
        <f>INDEX(weekly!$F$2:$F$188,MATCH('Marketing Campaigns 22.11.22'!L940,weekly!$H$2:$H$188,0))</f>
        <v>0</v>
      </c>
      <c r="J940">
        <v>0</v>
      </c>
      <c r="K940">
        <v>0</v>
      </c>
      <c r="L940" t="str">
        <f t="shared" si="28"/>
        <v>10-3-2022</v>
      </c>
      <c r="M940">
        <f t="shared" si="29"/>
        <v>2022</v>
      </c>
    </row>
    <row r="941" spans="1:13" x14ac:dyDescent="0.2">
      <c r="A941" s="1">
        <v>44627</v>
      </c>
      <c r="B941">
        <v>10</v>
      </c>
      <c r="C941">
        <v>3</v>
      </c>
      <c r="D941">
        <v>1</v>
      </c>
      <c r="E941" t="s">
        <v>46</v>
      </c>
      <c r="F941">
        <v>0</v>
      </c>
      <c r="G941">
        <f>INDEX(weekly!$E$2:$E$188,MATCH('Marketing Campaigns 22.11.22'!L941,weekly!$H$2:$H$188,0))</f>
        <v>5817.6841935483872</v>
      </c>
      <c r="H941">
        <f>INDEX(weekly!$D$2:$D$188,MATCH('Marketing Campaigns 22.11.22'!L941,weekly!$H$2:$H$188,0))</f>
        <v>4309.2903225806449</v>
      </c>
      <c r="I941">
        <f>INDEX(weekly!$F$2:$F$188,MATCH('Marketing Campaigns 22.11.22'!L941,weekly!$H$2:$H$188,0))</f>
        <v>0</v>
      </c>
      <c r="J941">
        <v>0</v>
      </c>
      <c r="K941">
        <v>0</v>
      </c>
      <c r="L941" t="str">
        <f t="shared" si="28"/>
        <v>10-3-2022</v>
      </c>
      <c r="M941">
        <f t="shared" si="29"/>
        <v>2022</v>
      </c>
    </row>
    <row r="942" spans="1:13" x14ac:dyDescent="0.2">
      <c r="A942" s="1">
        <v>44627</v>
      </c>
      <c r="B942">
        <v>10</v>
      </c>
      <c r="C942">
        <v>3</v>
      </c>
      <c r="D942">
        <v>1</v>
      </c>
      <c r="E942" t="s">
        <v>47</v>
      </c>
      <c r="F942">
        <v>0</v>
      </c>
      <c r="G942">
        <f>INDEX(weekly!$E$2:$E$188,MATCH('Marketing Campaigns 22.11.22'!L942,weekly!$H$2:$H$188,0))</f>
        <v>5817.6841935483872</v>
      </c>
      <c r="H942">
        <f>INDEX(weekly!$D$2:$D$188,MATCH('Marketing Campaigns 22.11.22'!L942,weekly!$H$2:$H$188,0))</f>
        <v>4309.2903225806449</v>
      </c>
      <c r="I942">
        <f>INDEX(weekly!$F$2:$F$188,MATCH('Marketing Campaigns 22.11.22'!L942,weekly!$H$2:$H$188,0))</f>
        <v>0</v>
      </c>
      <c r="J942">
        <v>0</v>
      </c>
      <c r="K942">
        <v>0</v>
      </c>
      <c r="L942" t="str">
        <f t="shared" si="28"/>
        <v>10-3-2022</v>
      </c>
      <c r="M942">
        <f t="shared" si="29"/>
        <v>2022</v>
      </c>
    </row>
    <row r="943" spans="1:13" x14ac:dyDescent="0.2">
      <c r="A943" s="1">
        <v>44627</v>
      </c>
      <c r="B943">
        <v>10</v>
      </c>
      <c r="C943">
        <v>3</v>
      </c>
      <c r="D943">
        <v>1</v>
      </c>
      <c r="E943" t="s">
        <v>48</v>
      </c>
      <c r="F943">
        <v>0</v>
      </c>
      <c r="G943">
        <f>INDEX(weekly!$E$2:$E$188,MATCH('Marketing Campaigns 22.11.22'!L943,weekly!$H$2:$H$188,0))</f>
        <v>5817.6841935483872</v>
      </c>
      <c r="H943">
        <f>INDEX(weekly!$D$2:$D$188,MATCH('Marketing Campaigns 22.11.22'!L943,weekly!$H$2:$H$188,0))</f>
        <v>4309.2903225806449</v>
      </c>
      <c r="I943">
        <f>INDEX(weekly!$F$2:$F$188,MATCH('Marketing Campaigns 22.11.22'!L943,weekly!$H$2:$H$188,0))</f>
        <v>0</v>
      </c>
      <c r="J943">
        <v>0</v>
      </c>
      <c r="K943">
        <v>0</v>
      </c>
      <c r="L943" t="str">
        <f t="shared" si="28"/>
        <v>10-3-2022</v>
      </c>
      <c r="M943">
        <f t="shared" si="29"/>
        <v>2022</v>
      </c>
    </row>
    <row r="944" spans="1:13" x14ac:dyDescent="0.2">
      <c r="A944" s="1">
        <v>44627</v>
      </c>
      <c r="B944">
        <v>10</v>
      </c>
      <c r="C944">
        <v>3</v>
      </c>
      <c r="D944">
        <v>1</v>
      </c>
      <c r="E944" t="s">
        <v>49</v>
      </c>
      <c r="F944">
        <v>0</v>
      </c>
      <c r="G944">
        <f>INDEX(weekly!$E$2:$E$188,MATCH('Marketing Campaigns 22.11.22'!L944,weekly!$H$2:$H$188,0))</f>
        <v>5817.6841935483872</v>
      </c>
      <c r="H944">
        <f>INDEX(weekly!$D$2:$D$188,MATCH('Marketing Campaigns 22.11.22'!L944,weekly!$H$2:$H$188,0))</f>
        <v>4309.2903225806449</v>
      </c>
      <c r="I944">
        <f>INDEX(weekly!$F$2:$F$188,MATCH('Marketing Campaigns 22.11.22'!L944,weekly!$H$2:$H$188,0))</f>
        <v>0</v>
      </c>
      <c r="J944">
        <v>0</v>
      </c>
      <c r="K944">
        <v>0</v>
      </c>
      <c r="L944" t="str">
        <f t="shared" si="28"/>
        <v>10-3-2022</v>
      </c>
      <c r="M944">
        <f t="shared" si="29"/>
        <v>2022</v>
      </c>
    </row>
    <row r="945" spans="1:13" x14ac:dyDescent="0.2">
      <c r="A945" s="1">
        <v>44627</v>
      </c>
      <c r="B945">
        <v>10</v>
      </c>
      <c r="C945">
        <v>3</v>
      </c>
      <c r="D945">
        <v>1</v>
      </c>
      <c r="E945" t="s">
        <v>50</v>
      </c>
      <c r="F945">
        <v>0</v>
      </c>
      <c r="G945">
        <f>INDEX(weekly!$E$2:$E$188,MATCH('Marketing Campaigns 22.11.22'!L945,weekly!$H$2:$H$188,0))</f>
        <v>5817.6841935483872</v>
      </c>
      <c r="H945">
        <f>INDEX(weekly!$D$2:$D$188,MATCH('Marketing Campaigns 22.11.22'!L945,weekly!$H$2:$H$188,0))</f>
        <v>4309.2903225806449</v>
      </c>
      <c r="I945">
        <f>INDEX(weekly!$F$2:$F$188,MATCH('Marketing Campaigns 22.11.22'!L945,weekly!$H$2:$H$188,0))</f>
        <v>0</v>
      </c>
      <c r="J945">
        <v>0</v>
      </c>
      <c r="K945">
        <v>0</v>
      </c>
      <c r="L945" t="str">
        <f t="shared" si="28"/>
        <v>10-3-2022</v>
      </c>
      <c r="M945">
        <f t="shared" si="29"/>
        <v>2022</v>
      </c>
    </row>
    <row r="946" spans="1:13" x14ac:dyDescent="0.2">
      <c r="A946" s="1">
        <v>44627</v>
      </c>
      <c r="B946">
        <v>10</v>
      </c>
      <c r="C946">
        <v>3</v>
      </c>
      <c r="D946">
        <v>1</v>
      </c>
      <c r="E946" t="s">
        <v>51</v>
      </c>
      <c r="F946">
        <v>0</v>
      </c>
      <c r="G946">
        <f>INDEX(weekly!$E$2:$E$188,MATCH('Marketing Campaigns 22.11.22'!L946,weekly!$H$2:$H$188,0))</f>
        <v>5817.6841935483872</v>
      </c>
      <c r="H946">
        <f>INDEX(weekly!$D$2:$D$188,MATCH('Marketing Campaigns 22.11.22'!L946,weekly!$H$2:$H$188,0))</f>
        <v>4309.2903225806449</v>
      </c>
      <c r="I946">
        <f>INDEX(weekly!$F$2:$F$188,MATCH('Marketing Campaigns 22.11.22'!L946,weekly!$H$2:$H$188,0))</f>
        <v>0</v>
      </c>
      <c r="J946">
        <v>0</v>
      </c>
      <c r="K946">
        <v>0</v>
      </c>
      <c r="L946" t="str">
        <f t="shared" si="28"/>
        <v>10-3-2022</v>
      </c>
      <c r="M946">
        <f t="shared" si="29"/>
        <v>2022</v>
      </c>
    </row>
    <row r="947" spans="1:13" x14ac:dyDescent="0.2">
      <c r="A947" s="1">
        <v>44627</v>
      </c>
      <c r="B947">
        <v>10</v>
      </c>
      <c r="C947">
        <v>3</v>
      </c>
      <c r="D947">
        <v>1</v>
      </c>
      <c r="E947" t="s">
        <v>52</v>
      </c>
      <c r="F947">
        <v>0</v>
      </c>
      <c r="G947">
        <f>INDEX(weekly!$E$2:$E$188,MATCH('Marketing Campaigns 22.11.22'!L947,weekly!$H$2:$H$188,0))</f>
        <v>5817.6841935483872</v>
      </c>
      <c r="H947">
        <f>INDEX(weekly!$D$2:$D$188,MATCH('Marketing Campaigns 22.11.22'!L947,weekly!$H$2:$H$188,0))</f>
        <v>4309.2903225806449</v>
      </c>
      <c r="I947">
        <f>INDEX(weekly!$F$2:$F$188,MATCH('Marketing Campaigns 22.11.22'!L947,weekly!$H$2:$H$188,0))</f>
        <v>0</v>
      </c>
      <c r="J947">
        <v>0</v>
      </c>
      <c r="K947">
        <v>0</v>
      </c>
      <c r="L947" t="str">
        <f t="shared" si="28"/>
        <v>10-3-2022</v>
      </c>
      <c r="M947">
        <f t="shared" si="29"/>
        <v>2022</v>
      </c>
    </row>
    <row r="948" spans="1:13" x14ac:dyDescent="0.2">
      <c r="A948" s="1">
        <v>44634</v>
      </c>
      <c r="B948">
        <v>11</v>
      </c>
      <c r="C948">
        <v>3</v>
      </c>
      <c r="D948">
        <v>1</v>
      </c>
      <c r="E948" t="s">
        <v>24</v>
      </c>
      <c r="F948">
        <v>0</v>
      </c>
      <c r="G948">
        <f>INDEX(weekly!$E$2:$E$188,MATCH('Marketing Campaigns 22.11.22'!L948,weekly!$H$2:$H$188,0))</f>
        <v>5817.6841935483872</v>
      </c>
      <c r="H948">
        <f>INDEX(weekly!$D$2:$D$188,MATCH('Marketing Campaigns 22.11.22'!L948,weekly!$H$2:$H$188,0))</f>
        <v>4309.2903225806449</v>
      </c>
      <c r="I948">
        <f>INDEX(weekly!$F$2:$F$188,MATCH('Marketing Campaigns 22.11.22'!L948,weekly!$H$2:$H$188,0))</f>
        <v>0</v>
      </c>
      <c r="J948">
        <v>0</v>
      </c>
      <c r="K948">
        <v>0</v>
      </c>
      <c r="L948" t="str">
        <f t="shared" si="28"/>
        <v>11-3-2022</v>
      </c>
      <c r="M948">
        <f t="shared" si="29"/>
        <v>2022</v>
      </c>
    </row>
    <row r="949" spans="1:13" x14ac:dyDescent="0.2">
      <c r="A949" s="1">
        <v>44634</v>
      </c>
      <c r="B949">
        <v>11</v>
      </c>
      <c r="C949">
        <v>3</v>
      </c>
      <c r="D949">
        <v>1</v>
      </c>
      <c r="E949" t="s">
        <v>39</v>
      </c>
      <c r="F949">
        <v>0</v>
      </c>
      <c r="G949">
        <f>INDEX(weekly!$E$2:$E$188,MATCH('Marketing Campaigns 22.11.22'!L949,weekly!$H$2:$H$188,0))</f>
        <v>5817.6841935483872</v>
      </c>
      <c r="H949">
        <f>INDEX(weekly!$D$2:$D$188,MATCH('Marketing Campaigns 22.11.22'!L949,weekly!$H$2:$H$188,0))</f>
        <v>4309.2903225806449</v>
      </c>
      <c r="I949">
        <f>INDEX(weekly!$F$2:$F$188,MATCH('Marketing Campaigns 22.11.22'!L949,weekly!$H$2:$H$188,0))</f>
        <v>0</v>
      </c>
      <c r="J949">
        <v>0</v>
      </c>
      <c r="K949">
        <v>0</v>
      </c>
      <c r="L949" t="str">
        <f t="shared" si="28"/>
        <v>11-3-2022</v>
      </c>
      <c r="M949">
        <f t="shared" si="29"/>
        <v>2022</v>
      </c>
    </row>
    <row r="950" spans="1:13" x14ac:dyDescent="0.2">
      <c r="A950" s="1">
        <v>44634</v>
      </c>
      <c r="B950">
        <v>11</v>
      </c>
      <c r="C950">
        <v>3</v>
      </c>
      <c r="D950">
        <v>1</v>
      </c>
      <c r="E950" t="s">
        <v>40</v>
      </c>
      <c r="F950">
        <v>0</v>
      </c>
      <c r="G950">
        <f>INDEX(weekly!$E$2:$E$188,MATCH('Marketing Campaigns 22.11.22'!L950,weekly!$H$2:$H$188,0))</f>
        <v>5817.6841935483872</v>
      </c>
      <c r="H950">
        <f>INDEX(weekly!$D$2:$D$188,MATCH('Marketing Campaigns 22.11.22'!L950,weekly!$H$2:$H$188,0))</f>
        <v>4309.2903225806449</v>
      </c>
      <c r="I950">
        <f>INDEX(weekly!$F$2:$F$188,MATCH('Marketing Campaigns 22.11.22'!L950,weekly!$H$2:$H$188,0))</f>
        <v>0</v>
      </c>
      <c r="J950">
        <v>0</v>
      </c>
      <c r="K950">
        <v>0</v>
      </c>
      <c r="L950" t="str">
        <f t="shared" si="28"/>
        <v>11-3-2022</v>
      </c>
      <c r="M950">
        <f t="shared" si="29"/>
        <v>2022</v>
      </c>
    </row>
    <row r="951" spans="1:13" x14ac:dyDescent="0.2">
      <c r="A951" s="1">
        <v>44634</v>
      </c>
      <c r="B951">
        <v>11</v>
      </c>
      <c r="C951">
        <v>3</v>
      </c>
      <c r="D951">
        <v>1</v>
      </c>
      <c r="E951" t="s">
        <v>41</v>
      </c>
      <c r="F951">
        <v>0</v>
      </c>
      <c r="G951">
        <f>INDEX(weekly!$E$2:$E$188,MATCH('Marketing Campaigns 22.11.22'!L951,weekly!$H$2:$H$188,0))</f>
        <v>5817.6841935483872</v>
      </c>
      <c r="H951">
        <f>INDEX(weekly!$D$2:$D$188,MATCH('Marketing Campaigns 22.11.22'!L951,weekly!$H$2:$H$188,0))</f>
        <v>4309.2903225806449</v>
      </c>
      <c r="I951">
        <f>INDEX(weekly!$F$2:$F$188,MATCH('Marketing Campaigns 22.11.22'!L951,weekly!$H$2:$H$188,0))</f>
        <v>0</v>
      </c>
      <c r="J951">
        <v>0</v>
      </c>
      <c r="K951">
        <v>0</v>
      </c>
      <c r="L951" t="str">
        <f t="shared" si="28"/>
        <v>11-3-2022</v>
      </c>
      <c r="M951">
        <f t="shared" si="29"/>
        <v>2022</v>
      </c>
    </row>
    <row r="952" spans="1:13" x14ac:dyDescent="0.2">
      <c r="A952" s="1">
        <v>44634</v>
      </c>
      <c r="B952">
        <v>11</v>
      </c>
      <c r="C952">
        <v>3</v>
      </c>
      <c r="D952">
        <v>1</v>
      </c>
      <c r="E952" t="s">
        <v>42</v>
      </c>
      <c r="F952">
        <v>0</v>
      </c>
      <c r="G952">
        <f>INDEX(weekly!$E$2:$E$188,MATCH('Marketing Campaigns 22.11.22'!L952,weekly!$H$2:$H$188,0))</f>
        <v>5817.6841935483872</v>
      </c>
      <c r="H952">
        <f>INDEX(weekly!$D$2:$D$188,MATCH('Marketing Campaigns 22.11.22'!L952,weekly!$H$2:$H$188,0))</f>
        <v>4309.2903225806449</v>
      </c>
      <c r="I952">
        <f>INDEX(weekly!$F$2:$F$188,MATCH('Marketing Campaigns 22.11.22'!L952,weekly!$H$2:$H$188,0))</f>
        <v>0</v>
      </c>
      <c r="J952">
        <v>0</v>
      </c>
      <c r="K952">
        <v>0</v>
      </c>
      <c r="L952" t="str">
        <f t="shared" si="28"/>
        <v>11-3-2022</v>
      </c>
      <c r="M952">
        <f t="shared" si="29"/>
        <v>2022</v>
      </c>
    </row>
    <row r="953" spans="1:13" x14ac:dyDescent="0.2">
      <c r="A953" s="1">
        <v>44634</v>
      </c>
      <c r="B953">
        <v>11</v>
      </c>
      <c r="C953">
        <v>3</v>
      </c>
      <c r="D953">
        <v>1</v>
      </c>
      <c r="E953" t="s">
        <v>43</v>
      </c>
      <c r="F953">
        <v>0</v>
      </c>
      <c r="G953">
        <f>INDEX(weekly!$E$2:$E$188,MATCH('Marketing Campaigns 22.11.22'!L953,weekly!$H$2:$H$188,0))</f>
        <v>5817.6841935483872</v>
      </c>
      <c r="H953">
        <f>INDEX(weekly!$D$2:$D$188,MATCH('Marketing Campaigns 22.11.22'!L953,weekly!$H$2:$H$188,0))</f>
        <v>4309.2903225806449</v>
      </c>
      <c r="I953">
        <f>INDEX(weekly!$F$2:$F$188,MATCH('Marketing Campaigns 22.11.22'!L953,weekly!$H$2:$H$188,0))</f>
        <v>0</v>
      </c>
      <c r="J953">
        <v>0</v>
      </c>
      <c r="K953">
        <v>0</v>
      </c>
      <c r="L953" t="str">
        <f t="shared" si="28"/>
        <v>11-3-2022</v>
      </c>
      <c r="M953">
        <f t="shared" si="29"/>
        <v>2022</v>
      </c>
    </row>
    <row r="954" spans="1:13" x14ac:dyDescent="0.2">
      <c r="A954" s="1">
        <v>44634</v>
      </c>
      <c r="B954">
        <v>11</v>
      </c>
      <c r="C954">
        <v>3</v>
      </c>
      <c r="D954">
        <v>1</v>
      </c>
      <c r="E954" t="s">
        <v>44</v>
      </c>
      <c r="F954">
        <v>0</v>
      </c>
      <c r="G954">
        <f>INDEX(weekly!$E$2:$E$188,MATCH('Marketing Campaigns 22.11.22'!L954,weekly!$H$2:$H$188,0))</f>
        <v>5817.6841935483872</v>
      </c>
      <c r="H954">
        <f>INDEX(weekly!$D$2:$D$188,MATCH('Marketing Campaigns 22.11.22'!L954,weekly!$H$2:$H$188,0))</f>
        <v>4309.2903225806449</v>
      </c>
      <c r="I954">
        <f>INDEX(weekly!$F$2:$F$188,MATCH('Marketing Campaigns 22.11.22'!L954,weekly!$H$2:$H$188,0))</f>
        <v>0</v>
      </c>
      <c r="J954">
        <v>0</v>
      </c>
      <c r="K954">
        <v>0</v>
      </c>
      <c r="L954" t="str">
        <f t="shared" si="28"/>
        <v>11-3-2022</v>
      </c>
      <c r="M954">
        <f t="shared" si="29"/>
        <v>2022</v>
      </c>
    </row>
    <row r="955" spans="1:13" x14ac:dyDescent="0.2">
      <c r="A955" s="1">
        <v>44634</v>
      </c>
      <c r="B955">
        <v>11</v>
      </c>
      <c r="C955">
        <v>3</v>
      </c>
      <c r="D955">
        <v>1</v>
      </c>
      <c r="E955" t="s">
        <v>45</v>
      </c>
      <c r="F955">
        <v>0</v>
      </c>
      <c r="G955">
        <f>INDEX(weekly!$E$2:$E$188,MATCH('Marketing Campaigns 22.11.22'!L955,weekly!$H$2:$H$188,0))</f>
        <v>5817.6841935483872</v>
      </c>
      <c r="H955">
        <f>INDEX(weekly!$D$2:$D$188,MATCH('Marketing Campaigns 22.11.22'!L955,weekly!$H$2:$H$188,0))</f>
        <v>4309.2903225806449</v>
      </c>
      <c r="I955">
        <f>INDEX(weekly!$F$2:$F$188,MATCH('Marketing Campaigns 22.11.22'!L955,weekly!$H$2:$H$188,0))</f>
        <v>0</v>
      </c>
      <c r="J955">
        <v>0</v>
      </c>
      <c r="K955">
        <v>0</v>
      </c>
      <c r="L955" t="str">
        <f t="shared" si="28"/>
        <v>11-3-2022</v>
      </c>
      <c r="M955">
        <f t="shared" si="29"/>
        <v>2022</v>
      </c>
    </row>
    <row r="956" spans="1:13" x14ac:dyDescent="0.2">
      <c r="A956" s="1">
        <v>44634</v>
      </c>
      <c r="B956">
        <v>11</v>
      </c>
      <c r="C956">
        <v>3</v>
      </c>
      <c r="D956">
        <v>1</v>
      </c>
      <c r="E956" t="s">
        <v>46</v>
      </c>
      <c r="F956">
        <v>0</v>
      </c>
      <c r="G956">
        <f>INDEX(weekly!$E$2:$E$188,MATCH('Marketing Campaigns 22.11.22'!L956,weekly!$H$2:$H$188,0))</f>
        <v>5817.6841935483872</v>
      </c>
      <c r="H956">
        <f>INDEX(weekly!$D$2:$D$188,MATCH('Marketing Campaigns 22.11.22'!L956,weekly!$H$2:$H$188,0))</f>
        <v>4309.2903225806449</v>
      </c>
      <c r="I956">
        <f>INDEX(weekly!$F$2:$F$188,MATCH('Marketing Campaigns 22.11.22'!L956,weekly!$H$2:$H$188,0))</f>
        <v>0</v>
      </c>
      <c r="J956">
        <v>0</v>
      </c>
      <c r="K956">
        <v>0</v>
      </c>
      <c r="L956" t="str">
        <f t="shared" si="28"/>
        <v>11-3-2022</v>
      </c>
      <c r="M956">
        <f t="shared" si="29"/>
        <v>2022</v>
      </c>
    </row>
    <row r="957" spans="1:13" x14ac:dyDescent="0.2">
      <c r="A957" s="1">
        <v>44634</v>
      </c>
      <c r="B957">
        <v>11</v>
      </c>
      <c r="C957">
        <v>3</v>
      </c>
      <c r="D957">
        <v>1</v>
      </c>
      <c r="E957" t="s">
        <v>47</v>
      </c>
      <c r="F957">
        <v>0</v>
      </c>
      <c r="G957">
        <f>INDEX(weekly!$E$2:$E$188,MATCH('Marketing Campaigns 22.11.22'!L957,weekly!$H$2:$H$188,0))</f>
        <v>5817.6841935483872</v>
      </c>
      <c r="H957">
        <f>INDEX(weekly!$D$2:$D$188,MATCH('Marketing Campaigns 22.11.22'!L957,weekly!$H$2:$H$188,0))</f>
        <v>4309.2903225806449</v>
      </c>
      <c r="I957">
        <f>INDEX(weekly!$F$2:$F$188,MATCH('Marketing Campaigns 22.11.22'!L957,weekly!$H$2:$H$188,0))</f>
        <v>0</v>
      </c>
      <c r="J957">
        <v>0</v>
      </c>
      <c r="K957">
        <v>0</v>
      </c>
      <c r="L957" t="str">
        <f t="shared" si="28"/>
        <v>11-3-2022</v>
      </c>
      <c r="M957">
        <f t="shared" si="29"/>
        <v>2022</v>
      </c>
    </row>
    <row r="958" spans="1:13" x14ac:dyDescent="0.2">
      <c r="A958" s="1">
        <v>44634</v>
      </c>
      <c r="B958">
        <v>11</v>
      </c>
      <c r="C958">
        <v>3</v>
      </c>
      <c r="D958">
        <v>1</v>
      </c>
      <c r="E958" t="s">
        <v>48</v>
      </c>
      <c r="F958">
        <v>0</v>
      </c>
      <c r="G958">
        <f>INDEX(weekly!$E$2:$E$188,MATCH('Marketing Campaigns 22.11.22'!L958,weekly!$H$2:$H$188,0))</f>
        <v>5817.6841935483872</v>
      </c>
      <c r="H958">
        <f>INDEX(weekly!$D$2:$D$188,MATCH('Marketing Campaigns 22.11.22'!L958,weekly!$H$2:$H$188,0))</f>
        <v>4309.2903225806449</v>
      </c>
      <c r="I958">
        <f>INDEX(weekly!$F$2:$F$188,MATCH('Marketing Campaigns 22.11.22'!L958,weekly!$H$2:$H$188,0))</f>
        <v>0</v>
      </c>
      <c r="J958">
        <v>0</v>
      </c>
      <c r="K958">
        <v>0</v>
      </c>
      <c r="L958" t="str">
        <f t="shared" si="28"/>
        <v>11-3-2022</v>
      </c>
      <c r="M958">
        <f t="shared" si="29"/>
        <v>2022</v>
      </c>
    </row>
    <row r="959" spans="1:13" x14ac:dyDescent="0.2">
      <c r="A959" s="1">
        <v>44634</v>
      </c>
      <c r="B959">
        <v>11</v>
      </c>
      <c r="C959">
        <v>3</v>
      </c>
      <c r="D959">
        <v>1</v>
      </c>
      <c r="E959" t="s">
        <v>49</v>
      </c>
      <c r="F959">
        <v>0</v>
      </c>
      <c r="G959">
        <f>INDEX(weekly!$E$2:$E$188,MATCH('Marketing Campaigns 22.11.22'!L959,weekly!$H$2:$H$188,0))</f>
        <v>5817.6841935483872</v>
      </c>
      <c r="H959">
        <f>INDEX(weekly!$D$2:$D$188,MATCH('Marketing Campaigns 22.11.22'!L959,weekly!$H$2:$H$188,0))</f>
        <v>4309.2903225806449</v>
      </c>
      <c r="I959">
        <f>INDEX(weekly!$F$2:$F$188,MATCH('Marketing Campaigns 22.11.22'!L959,weekly!$H$2:$H$188,0))</f>
        <v>0</v>
      </c>
      <c r="J959">
        <v>0</v>
      </c>
      <c r="K959">
        <v>0</v>
      </c>
      <c r="L959" t="str">
        <f t="shared" si="28"/>
        <v>11-3-2022</v>
      </c>
      <c r="M959">
        <f t="shared" si="29"/>
        <v>2022</v>
      </c>
    </row>
    <row r="960" spans="1:13" x14ac:dyDescent="0.2">
      <c r="A960" s="1">
        <v>44634</v>
      </c>
      <c r="B960">
        <v>11</v>
      </c>
      <c r="C960">
        <v>3</v>
      </c>
      <c r="D960">
        <v>1</v>
      </c>
      <c r="E960" t="s">
        <v>50</v>
      </c>
      <c r="F960">
        <v>0</v>
      </c>
      <c r="G960">
        <f>INDEX(weekly!$E$2:$E$188,MATCH('Marketing Campaigns 22.11.22'!L960,weekly!$H$2:$H$188,0))</f>
        <v>5817.6841935483872</v>
      </c>
      <c r="H960">
        <f>INDEX(weekly!$D$2:$D$188,MATCH('Marketing Campaigns 22.11.22'!L960,weekly!$H$2:$H$188,0))</f>
        <v>4309.2903225806449</v>
      </c>
      <c r="I960">
        <f>INDEX(weekly!$F$2:$F$188,MATCH('Marketing Campaigns 22.11.22'!L960,weekly!$H$2:$H$188,0))</f>
        <v>0</v>
      </c>
      <c r="J960">
        <v>0</v>
      </c>
      <c r="K960">
        <v>0</v>
      </c>
      <c r="L960" t="str">
        <f t="shared" si="28"/>
        <v>11-3-2022</v>
      </c>
      <c r="M960">
        <f t="shared" si="29"/>
        <v>2022</v>
      </c>
    </row>
    <row r="961" spans="1:13" x14ac:dyDescent="0.2">
      <c r="A961" s="1">
        <v>44634</v>
      </c>
      <c r="B961">
        <v>11</v>
      </c>
      <c r="C961">
        <v>3</v>
      </c>
      <c r="D961">
        <v>1</v>
      </c>
      <c r="E961" t="s">
        <v>51</v>
      </c>
      <c r="F961">
        <v>0</v>
      </c>
      <c r="G961">
        <f>INDEX(weekly!$E$2:$E$188,MATCH('Marketing Campaigns 22.11.22'!L961,weekly!$H$2:$H$188,0))</f>
        <v>5817.6841935483872</v>
      </c>
      <c r="H961">
        <f>INDEX(weekly!$D$2:$D$188,MATCH('Marketing Campaigns 22.11.22'!L961,weekly!$H$2:$H$188,0))</f>
        <v>4309.2903225806449</v>
      </c>
      <c r="I961">
        <f>INDEX(weekly!$F$2:$F$188,MATCH('Marketing Campaigns 22.11.22'!L961,weekly!$H$2:$H$188,0))</f>
        <v>0</v>
      </c>
      <c r="J961">
        <v>0</v>
      </c>
      <c r="K961">
        <v>0</v>
      </c>
      <c r="L961" t="str">
        <f t="shared" si="28"/>
        <v>11-3-2022</v>
      </c>
      <c r="M961">
        <f t="shared" si="29"/>
        <v>2022</v>
      </c>
    </row>
    <row r="962" spans="1:13" x14ac:dyDescent="0.2">
      <c r="A962" s="1">
        <v>44634</v>
      </c>
      <c r="B962">
        <v>11</v>
      </c>
      <c r="C962">
        <v>3</v>
      </c>
      <c r="D962">
        <v>1</v>
      </c>
      <c r="E962" t="s">
        <v>52</v>
      </c>
      <c r="F962">
        <v>0</v>
      </c>
      <c r="G962">
        <f>INDEX(weekly!$E$2:$E$188,MATCH('Marketing Campaigns 22.11.22'!L962,weekly!$H$2:$H$188,0))</f>
        <v>5817.6841935483872</v>
      </c>
      <c r="H962">
        <f>INDEX(weekly!$D$2:$D$188,MATCH('Marketing Campaigns 22.11.22'!L962,weekly!$H$2:$H$188,0))</f>
        <v>4309.2903225806449</v>
      </c>
      <c r="I962">
        <f>INDEX(weekly!$F$2:$F$188,MATCH('Marketing Campaigns 22.11.22'!L962,weekly!$H$2:$H$188,0))</f>
        <v>0</v>
      </c>
      <c r="J962">
        <v>0</v>
      </c>
      <c r="K962">
        <v>0</v>
      </c>
      <c r="L962" t="str">
        <f t="shared" si="28"/>
        <v>11-3-2022</v>
      </c>
      <c r="M962">
        <f t="shared" si="29"/>
        <v>2022</v>
      </c>
    </row>
    <row r="963" spans="1:13" x14ac:dyDescent="0.2">
      <c r="A963" s="1">
        <v>44641</v>
      </c>
      <c r="B963">
        <v>12</v>
      </c>
      <c r="C963">
        <v>3</v>
      </c>
      <c r="D963">
        <v>1</v>
      </c>
      <c r="E963" t="s">
        <v>24</v>
      </c>
      <c r="F963">
        <v>0</v>
      </c>
      <c r="G963">
        <f>INDEX(weekly!$E$2:$E$188,MATCH('Marketing Campaigns 22.11.22'!L963,weekly!$H$2:$H$188,0))</f>
        <v>5817.6841935483872</v>
      </c>
      <c r="H963">
        <f>INDEX(weekly!$D$2:$D$188,MATCH('Marketing Campaigns 22.11.22'!L963,weekly!$H$2:$H$188,0))</f>
        <v>4309.2903225806449</v>
      </c>
      <c r="I963">
        <f>INDEX(weekly!$F$2:$F$188,MATCH('Marketing Campaigns 22.11.22'!L963,weekly!$H$2:$H$188,0))</f>
        <v>0</v>
      </c>
      <c r="J963">
        <v>0</v>
      </c>
      <c r="K963">
        <v>0</v>
      </c>
      <c r="L963" t="str">
        <f t="shared" si="28"/>
        <v>12-3-2022</v>
      </c>
      <c r="M963">
        <f t="shared" si="29"/>
        <v>2022</v>
      </c>
    </row>
    <row r="964" spans="1:13" x14ac:dyDescent="0.2">
      <c r="A964" s="1">
        <v>44641</v>
      </c>
      <c r="B964">
        <v>12</v>
      </c>
      <c r="C964">
        <v>3</v>
      </c>
      <c r="D964">
        <v>1</v>
      </c>
      <c r="E964" t="s">
        <v>39</v>
      </c>
      <c r="F964">
        <v>0</v>
      </c>
      <c r="G964">
        <f>INDEX(weekly!$E$2:$E$188,MATCH('Marketing Campaigns 22.11.22'!L964,weekly!$H$2:$H$188,0))</f>
        <v>5817.6841935483872</v>
      </c>
      <c r="H964">
        <f>INDEX(weekly!$D$2:$D$188,MATCH('Marketing Campaigns 22.11.22'!L964,weekly!$H$2:$H$188,0))</f>
        <v>4309.2903225806449</v>
      </c>
      <c r="I964">
        <f>INDEX(weekly!$F$2:$F$188,MATCH('Marketing Campaigns 22.11.22'!L964,weekly!$H$2:$H$188,0))</f>
        <v>0</v>
      </c>
      <c r="J964">
        <v>0</v>
      </c>
      <c r="K964">
        <v>0</v>
      </c>
      <c r="L964" t="str">
        <f t="shared" ref="L964:L1027" si="30">B964&amp;"-"&amp;C964&amp;"-"&amp;M964</f>
        <v>12-3-2022</v>
      </c>
      <c r="M964">
        <f t="shared" ref="M964:M1027" si="31">YEAR(A964)</f>
        <v>2022</v>
      </c>
    </row>
    <row r="965" spans="1:13" x14ac:dyDescent="0.2">
      <c r="A965" s="1">
        <v>44641</v>
      </c>
      <c r="B965">
        <v>12</v>
      </c>
      <c r="C965">
        <v>3</v>
      </c>
      <c r="D965">
        <v>1</v>
      </c>
      <c r="E965" t="s">
        <v>40</v>
      </c>
      <c r="F965">
        <v>0</v>
      </c>
      <c r="G965">
        <f>INDEX(weekly!$E$2:$E$188,MATCH('Marketing Campaigns 22.11.22'!L965,weekly!$H$2:$H$188,0))</f>
        <v>5817.6841935483872</v>
      </c>
      <c r="H965">
        <f>INDEX(weekly!$D$2:$D$188,MATCH('Marketing Campaigns 22.11.22'!L965,weekly!$H$2:$H$188,0))</f>
        <v>4309.2903225806449</v>
      </c>
      <c r="I965">
        <f>INDEX(weekly!$F$2:$F$188,MATCH('Marketing Campaigns 22.11.22'!L965,weekly!$H$2:$H$188,0))</f>
        <v>0</v>
      </c>
      <c r="J965">
        <v>0</v>
      </c>
      <c r="K965">
        <v>0</v>
      </c>
      <c r="L965" t="str">
        <f t="shared" si="30"/>
        <v>12-3-2022</v>
      </c>
      <c r="M965">
        <f t="shared" si="31"/>
        <v>2022</v>
      </c>
    </row>
    <row r="966" spans="1:13" x14ac:dyDescent="0.2">
      <c r="A966" s="1">
        <v>44641</v>
      </c>
      <c r="B966">
        <v>12</v>
      </c>
      <c r="C966">
        <v>3</v>
      </c>
      <c r="D966">
        <v>1</v>
      </c>
      <c r="E966" t="s">
        <v>41</v>
      </c>
      <c r="F966">
        <v>0</v>
      </c>
      <c r="G966">
        <f>INDEX(weekly!$E$2:$E$188,MATCH('Marketing Campaigns 22.11.22'!L966,weekly!$H$2:$H$188,0))</f>
        <v>5817.6841935483872</v>
      </c>
      <c r="H966">
        <f>INDEX(weekly!$D$2:$D$188,MATCH('Marketing Campaigns 22.11.22'!L966,weekly!$H$2:$H$188,0))</f>
        <v>4309.2903225806449</v>
      </c>
      <c r="I966">
        <f>INDEX(weekly!$F$2:$F$188,MATCH('Marketing Campaigns 22.11.22'!L966,weekly!$H$2:$H$188,0))</f>
        <v>0</v>
      </c>
      <c r="J966">
        <v>0</v>
      </c>
      <c r="K966">
        <v>0</v>
      </c>
      <c r="L966" t="str">
        <f t="shared" si="30"/>
        <v>12-3-2022</v>
      </c>
      <c r="M966">
        <f t="shared" si="31"/>
        <v>2022</v>
      </c>
    </row>
    <row r="967" spans="1:13" x14ac:dyDescent="0.2">
      <c r="A967" s="1">
        <v>44641</v>
      </c>
      <c r="B967">
        <v>12</v>
      </c>
      <c r="C967">
        <v>3</v>
      </c>
      <c r="D967">
        <v>1</v>
      </c>
      <c r="E967" t="s">
        <v>42</v>
      </c>
      <c r="F967">
        <v>0</v>
      </c>
      <c r="G967">
        <f>INDEX(weekly!$E$2:$E$188,MATCH('Marketing Campaigns 22.11.22'!L967,weekly!$H$2:$H$188,0))</f>
        <v>5817.6841935483872</v>
      </c>
      <c r="H967">
        <f>INDEX(weekly!$D$2:$D$188,MATCH('Marketing Campaigns 22.11.22'!L967,weekly!$H$2:$H$188,0))</f>
        <v>4309.2903225806449</v>
      </c>
      <c r="I967">
        <f>INDEX(weekly!$F$2:$F$188,MATCH('Marketing Campaigns 22.11.22'!L967,weekly!$H$2:$H$188,0))</f>
        <v>0</v>
      </c>
      <c r="J967">
        <v>0</v>
      </c>
      <c r="K967">
        <v>0</v>
      </c>
      <c r="L967" t="str">
        <f t="shared" si="30"/>
        <v>12-3-2022</v>
      </c>
      <c r="M967">
        <f t="shared" si="31"/>
        <v>2022</v>
      </c>
    </row>
    <row r="968" spans="1:13" x14ac:dyDescent="0.2">
      <c r="A968" s="1">
        <v>44641</v>
      </c>
      <c r="B968">
        <v>12</v>
      </c>
      <c r="C968">
        <v>3</v>
      </c>
      <c r="D968">
        <v>1</v>
      </c>
      <c r="E968" t="s">
        <v>43</v>
      </c>
      <c r="F968">
        <v>0</v>
      </c>
      <c r="G968">
        <f>INDEX(weekly!$E$2:$E$188,MATCH('Marketing Campaigns 22.11.22'!L968,weekly!$H$2:$H$188,0))</f>
        <v>5817.6841935483872</v>
      </c>
      <c r="H968">
        <f>INDEX(weekly!$D$2:$D$188,MATCH('Marketing Campaigns 22.11.22'!L968,weekly!$H$2:$H$188,0))</f>
        <v>4309.2903225806449</v>
      </c>
      <c r="I968">
        <f>INDEX(weekly!$F$2:$F$188,MATCH('Marketing Campaigns 22.11.22'!L968,weekly!$H$2:$H$188,0))</f>
        <v>0</v>
      </c>
      <c r="J968">
        <v>0</v>
      </c>
      <c r="K968">
        <v>0</v>
      </c>
      <c r="L968" t="str">
        <f t="shared" si="30"/>
        <v>12-3-2022</v>
      </c>
      <c r="M968">
        <f t="shared" si="31"/>
        <v>2022</v>
      </c>
    </row>
    <row r="969" spans="1:13" x14ac:dyDescent="0.2">
      <c r="A969" s="1">
        <v>44641</v>
      </c>
      <c r="B969">
        <v>12</v>
      </c>
      <c r="C969">
        <v>3</v>
      </c>
      <c r="D969">
        <v>1</v>
      </c>
      <c r="E969" t="s">
        <v>44</v>
      </c>
      <c r="F969">
        <v>0</v>
      </c>
      <c r="G969">
        <f>INDEX(weekly!$E$2:$E$188,MATCH('Marketing Campaigns 22.11.22'!L969,weekly!$H$2:$H$188,0))</f>
        <v>5817.6841935483872</v>
      </c>
      <c r="H969">
        <f>INDEX(weekly!$D$2:$D$188,MATCH('Marketing Campaigns 22.11.22'!L969,weekly!$H$2:$H$188,0))</f>
        <v>4309.2903225806449</v>
      </c>
      <c r="I969">
        <f>INDEX(weekly!$F$2:$F$188,MATCH('Marketing Campaigns 22.11.22'!L969,weekly!$H$2:$H$188,0))</f>
        <v>0</v>
      </c>
      <c r="J969">
        <v>0</v>
      </c>
      <c r="K969">
        <v>0</v>
      </c>
      <c r="L969" t="str">
        <f t="shared" si="30"/>
        <v>12-3-2022</v>
      </c>
      <c r="M969">
        <f t="shared" si="31"/>
        <v>2022</v>
      </c>
    </row>
    <row r="970" spans="1:13" x14ac:dyDescent="0.2">
      <c r="A970" s="1">
        <v>44641</v>
      </c>
      <c r="B970">
        <v>12</v>
      </c>
      <c r="C970">
        <v>3</v>
      </c>
      <c r="D970">
        <v>1</v>
      </c>
      <c r="E970" t="s">
        <v>45</v>
      </c>
      <c r="F970">
        <v>0</v>
      </c>
      <c r="G970">
        <f>INDEX(weekly!$E$2:$E$188,MATCH('Marketing Campaigns 22.11.22'!L970,weekly!$H$2:$H$188,0))</f>
        <v>5817.6841935483872</v>
      </c>
      <c r="H970">
        <f>INDEX(weekly!$D$2:$D$188,MATCH('Marketing Campaigns 22.11.22'!L970,weekly!$H$2:$H$188,0))</f>
        <v>4309.2903225806449</v>
      </c>
      <c r="I970">
        <f>INDEX(weekly!$F$2:$F$188,MATCH('Marketing Campaigns 22.11.22'!L970,weekly!$H$2:$H$188,0))</f>
        <v>0</v>
      </c>
      <c r="J970">
        <v>0</v>
      </c>
      <c r="K970">
        <v>0</v>
      </c>
      <c r="L970" t="str">
        <f t="shared" si="30"/>
        <v>12-3-2022</v>
      </c>
      <c r="M970">
        <f t="shared" si="31"/>
        <v>2022</v>
      </c>
    </row>
    <row r="971" spans="1:13" x14ac:dyDescent="0.2">
      <c r="A971" s="1">
        <v>44641</v>
      </c>
      <c r="B971">
        <v>12</v>
      </c>
      <c r="C971">
        <v>3</v>
      </c>
      <c r="D971">
        <v>1</v>
      </c>
      <c r="E971" t="s">
        <v>46</v>
      </c>
      <c r="F971">
        <v>0</v>
      </c>
      <c r="G971">
        <f>INDEX(weekly!$E$2:$E$188,MATCH('Marketing Campaigns 22.11.22'!L971,weekly!$H$2:$H$188,0))</f>
        <v>5817.6841935483872</v>
      </c>
      <c r="H971">
        <f>INDEX(weekly!$D$2:$D$188,MATCH('Marketing Campaigns 22.11.22'!L971,weekly!$H$2:$H$188,0))</f>
        <v>4309.2903225806449</v>
      </c>
      <c r="I971">
        <f>INDEX(weekly!$F$2:$F$188,MATCH('Marketing Campaigns 22.11.22'!L971,weekly!$H$2:$H$188,0))</f>
        <v>0</v>
      </c>
      <c r="J971">
        <v>0</v>
      </c>
      <c r="K971">
        <v>0</v>
      </c>
      <c r="L971" t="str">
        <f t="shared" si="30"/>
        <v>12-3-2022</v>
      </c>
      <c r="M971">
        <f t="shared" si="31"/>
        <v>2022</v>
      </c>
    </row>
    <row r="972" spans="1:13" x14ac:dyDescent="0.2">
      <c r="A972" s="1">
        <v>44641</v>
      </c>
      <c r="B972">
        <v>12</v>
      </c>
      <c r="C972">
        <v>3</v>
      </c>
      <c r="D972">
        <v>1</v>
      </c>
      <c r="E972" t="s">
        <v>47</v>
      </c>
      <c r="F972">
        <v>0</v>
      </c>
      <c r="G972">
        <f>INDEX(weekly!$E$2:$E$188,MATCH('Marketing Campaigns 22.11.22'!L972,weekly!$H$2:$H$188,0))</f>
        <v>5817.6841935483872</v>
      </c>
      <c r="H972">
        <f>INDEX(weekly!$D$2:$D$188,MATCH('Marketing Campaigns 22.11.22'!L972,weekly!$H$2:$H$188,0))</f>
        <v>4309.2903225806449</v>
      </c>
      <c r="I972">
        <f>INDEX(weekly!$F$2:$F$188,MATCH('Marketing Campaigns 22.11.22'!L972,weekly!$H$2:$H$188,0))</f>
        <v>0</v>
      </c>
      <c r="J972">
        <v>0</v>
      </c>
      <c r="K972">
        <v>0</v>
      </c>
      <c r="L972" t="str">
        <f t="shared" si="30"/>
        <v>12-3-2022</v>
      </c>
      <c r="M972">
        <f t="shared" si="31"/>
        <v>2022</v>
      </c>
    </row>
    <row r="973" spans="1:13" x14ac:dyDescent="0.2">
      <c r="A973" s="1">
        <v>44641</v>
      </c>
      <c r="B973">
        <v>12</v>
      </c>
      <c r="C973">
        <v>3</v>
      </c>
      <c r="D973">
        <v>1</v>
      </c>
      <c r="E973" t="s">
        <v>48</v>
      </c>
      <c r="F973">
        <v>0</v>
      </c>
      <c r="G973">
        <f>INDEX(weekly!$E$2:$E$188,MATCH('Marketing Campaigns 22.11.22'!L973,weekly!$H$2:$H$188,0))</f>
        <v>5817.6841935483872</v>
      </c>
      <c r="H973">
        <f>INDEX(weekly!$D$2:$D$188,MATCH('Marketing Campaigns 22.11.22'!L973,weekly!$H$2:$H$188,0))</f>
        <v>4309.2903225806449</v>
      </c>
      <c r="I973">
        <f>INDEX(weekly!$F$2:$F$188,MATCH('Marketing Campaigns 22.11.22'!L973,weekly!$H$2:$H$188,0))</f>
        <v>0</v>
      </c>
      <c r="J973">
        <v>0</v>
      </c>
      <c r="K973">
        <v>0</v>
      </c>
      <c r="L973" t="str">
        <f t="shared" si="30"/>
        <v>12-3-2022</v>
      </c>
      <c r="M973">
        <f t="shared" si="31"/>
        <v>2022</v>
      </c>
    </row>
    <row r="974" spans="1:13" x14ac:dyDescent="0.2">
      <c r="A974" s="1">
        <v>44641</v>
      </c>
      <c r="B974">
        <v>12</v>
      </c>
      <c r="C974">
        <v>3</v>
      </c>
      <c r="D974">
        <v>1</v>
      </c>
      <c r="E974" t="s">
        <v>49</v>
      </c>
      <c r="F974">
        <v>0</v>
      </c>
      <c r="G974">
        <f>INDEX(weekly!$E$2:$E$188,MATCH('Marketing Campaigns 22.11.22'!L974,weekly!$H$2:$H$188,0))</f>
        <v>5817.6841935483872</v>
      </c>
      <c r="H974">
        <f>INDEX(weekly!$D$2:$D$188,MATCH('Marketing Campaigns 22.11.22'!L974,weekly!$H$2:$H$188,0))</f>
        <v>4309.2903225806449</v>
      </c>
      <c r="I974">
        <f>INDEX(weekly!$F$2:$F$188,MATCH('Marketing Campaigns 22.11.22'!L974,weekly!$H$2:$H$188,0))</f>
        <v>0</v>
      </c>
      <c r="J974">
        <v>0</v>
      </c>
      <c r="K974">
        <v>0</v>
      </c>
      <c r="L974" t="str">
        <f t="shared" si="30"/>
        <v>12-3-2022</v>
      </c>
      <c r="M974">
        <f t="shared" si="31"/>
        <v>2022</v>
      </c>
    </row>
    <row r="975" spans="1:13" x14ac:dyDescent="0.2">
      <c r="A975" s="1">
        <v>44641</v>
      </c>
      <c r="B975">
        <v>12</v>
      </c>
      <c r="C975">
        <v>3</v>
      </c>
      <c r="D975">
        <v>1</v>
      </c>
      <c r="E975" t="s">
        <v>50</v>
      </c>
      <c r="F975">
        <v>0</v>
      </c>
      <c r="G975">
        <f>INDEX(weekly!$E$2:$E$188,MATCH('Marketing Campaigns 22.11.22'!L975,weekly!$H$2:$H$188,0))</f>
        <v>5817.6841935483872</v>
      </c>
      <c r="H975">
        <f>INDEX(weekly!$D$2:$D$188,MATCH('Marketing Campaigns 22.11.22'!L975,weekly!$H$2:$H$188,0))</f>
        <v>4309.2903225806449</v>
      </c>
      <c r="I975">
        <f>INDEX(weekly!$F$2:$F$188,MATCH('Marketing Campaigns 22.11.22'!L975,weekly!$H$2:$H$188,0))</f>
        <v>0</v>
      </c>
      <c r="J975">
        <v>0</v>
      </c>
      <c r="K975">
        <v>0</v>
      </c>
      <c r="L975" t="str">
        <f t="shared" si="30"/>
        <v>12-3-2022</v>
      </c>
      <c r="M975">
        <f t="shared" si="31"/>
        <v>2022</v>
      </c>
    </row>
    <row r="976" spans="1:13" x14ac:dyDescent="0.2">
      <c r="A976" s="1">
        <v>44641</v>
      </c>
      <c r="B976">
        <v>12</v>
      </c>
      <c r="C976">
        <v>3</v>
      </c>
      <c r="D976">
        <v>1</v>
      </c>
      <c r="E976" t="s">
        <v>51</v>
      </c>
      <c r="F976">
        <v>0</v>
      </c>
      <c r="G976">
        <f>INDEX(weekly!$E$2:$E$188,MATCH('Marketing Campaigns 22.11.22'!L976,weekly!$H$2:$H$188,0))</f>
        <v>5817.6841935483872</v>
      </c>
      <c r="H976">
        <f>INDEX(weekly!$D$2:$D$188,MATCH('Marketing Campaigns 22.11.22'!L976,weekly!$H$2:$H$188,0))</f>
        <v>4309.2903225806449</v>
      </c>
      <c r="I976">
        <f>INDEX(weekly!$F$2:$F$188,MATCH('Marketing Campaigns 22.11.22'!L976,weekly!$H$2:$H$188,0))</f>
        <v>0</v>
      </c>
      <c r="J976">
        <v>0</v>
      </c>
      <c r="K976">
        <v>0</v>
      </c>
      <c r="L976" t="str">
        <f t="shared" si="30"/>
        <v>12-3-2022</v>
      </c>
      <c r="M976">
        <f t="shared" si="31"/>
        <v>2022</v>
      </c>
    </row>
    <row r="977" spans="1:13" x14ac:dyDescent="0.2">
      <c r="A977" s="1">
        <v>44641</v>
      </c>
      <c r="B977">
        <v>12</v>
      </c>
      <c r="C977">
        <v>3</v>
      </c>
      <c r="D977">
        <v>1</v>
      </c>
      <c r="E977" t="s">
        <v>52</v>
      </c>
      <c r="F977">
        <v>0</v>
      </c>
      <c r="G977">
        <f>INDEX(weekly!$E$2:$E$188,MATCH('Marketing Campaigns 22.11.22'!L977,weekly!$H$2:$H$188,0))</f>
        <v>5817.6841935483872</v>
      </c>
      <c r="H977">
        <f>INDEX(weekly!$D$2:$D$188,MATCH('Marketing Campaigns 22.11.22'!L977,weekly!$H$2:$H$188,0))</f>
        <v>4309.2903225806449</v>
      </c>
      <c r="I977">
        <f>INDEX(weekly!$F$2:$F$188,MATCH('Marketing Campaigns 22.11.22'!L977,weekly!$H$2:$H$188,0))</f>
        <v>0</v>
      </c>
      <c r="J977">
        <v>0</v>
      </c>
      <c r="K977">
        <v>0</v>
      </c>
      <c r="L977" t="str">
        <f t="shared" si="30"/>
        <v>12-3-2022</v>
      </c>
      <c r="M977">
        <f t="shared" si="31"/>
        <v>2022</v>
      </c>
    </row>
    <row r="978" spans="1:13" x14ac:dyDescent="0.2">
      <c r="A978" s="1">
        <v>44648</v>
      </c>
      <c r="B978">
        <v>13</v>
      </c>
      <c r="C978">
        <v>3</v>
      </c>
      <c r="D978">
        <v>1</v>
      </c>
      <c r="E978" t="s">
        <v>24</v>
      </c>
      <c r="F978">
        <v>0</v>
      </c>
      <c r="G978">
        <f>INDEX(weekly!$E$2:$E$188,MATCH('Marketing Campaigns 22.11.22'!L978,weekly!$H$2:$H$188,0))</f>
        <v>3324.3909677419351</v>
      </c>
      <c r="H978">
        <f>INDEX(weekly!$D$2:$D$188,MATCH('Marketing Campaigns 22.11.22'!L978,weekly!$H$2:$H$188,0))</f>
        <v>2462.4516129032259</v>
      </c>
      <c r="I978">
        <f>INDEX(weekly!$F$2:$F$188,MATCH('Marketing Campaigns 22.11.22'!L978,weekly!$H$2:$H$188,0))</f>
        <v>0</v>
      </c>
      <c r="J978">
        <v>0</v>
      </c>
      <c r="K978">
        <v>0</v>
      </c>
      <c r="L978" t="str">
        <f t="shared" si="30"/>
        <v>13-3-2022</v>
      </c>
      <c r="M978">
        <f t="shared" si="31"/>
        <v>2022</v>
      </c>
    </row>
    <row r="979" spans="1:13" x14ac:dyDescent="0.2">
      <c r="A979" s="1">
        <v>44648</v>
      </c>
      <c r="B979">
        <v>13</v>
      </c>
      <c r="C979">
        <v>3</v>
      </c>
      <c r="D979">
        <v>1</v>
      </c>
      <c r="E979" t="s">
        <v>39</v>
      </c>
      <c r="F979">
        <v>0</v>
      </c>
      <c r="G979">
        <f>INDEX(weekly!$E$2:$E$188,MATCH('Marketing Campaigns 22.11.22'!L979,weekly!$H$2:$H$188,0))</f>
        <v>3324.3909677419351</v>
      </c>
      <c r="H979">
        <f>INDEX(weekly!$D$2:$D$188,MATCH('Marketing Campaigns 22.11.22'!L979,weekly!$H$2:$H$188,0))</f>
        <v>2462.4516129032259</v>
      </c>
      <c r="I979">
        <f>INDEX(weekly!$F$2:$F$188,MATCH('Marketing Campaigns 22.11.22'!L979,weekly!$H$2:$H$188,0))</f>
        <v>0</v>
      </c>
      <c r="J979">
        <v>0</v>
      </c>
      <c r="K979">
        <v>0</v>
      </c>
      <c r="L979" t="str">
        <f t="shared" si="30"/>
        <v>13-3-2022</v>
      </c>
      <c r="M979">
        <f t="shared" si="31"/>
        <v>2022</v>
      </c>
    </row>
    <row r="980" spans="1:13" x14ac:dyDescent="0.2">
      <c r="A980" s="1">
        <v>44648</v>
      </c>
      <c r="B980">
        <v>13</v>
      </c>
      <c r="C980">
        <v>3</v>
      </c>
      <c r="D980">
        <v>1</v>
      </c>
      <c r="E980" t="s">
        <v>40</v>
      </c>
      <c r="F980">
        <v>0</v>
      </c>
      <c r="G980">
        <f>INDEX(weekly!$E$2:$E$188,MATCH('Marketing Campaigns 22.11.22'!L980,weekly!$H$2:$H$188,0))</f>
        <v>3324.3909677419351</v>
      </c>
      <c r="H980">
        <f>INDEX(weekly!$D$2:$D$188,MATCH('Marketing Campaigns 22.11.22'!L980,weekly!$H$2:$H$188,0))</f>
        <v>2462.4516129032259</v>
      </c>
      <c r="I980">
        <f>INDEX(weekly!$F$2:$F$188,MATCH('Marketing Campaigns 22.11.22'!L980,weekly!$H$2:$H$188,0))</f>
        <v>0</v>
      </c>
      <c r="J980">
        <v>0</v>
      </c>
      <c r="K980">
        <v>0</v>
      </c>
      <c r="L980" t="str">
        <f t="shared" si="30"/>
        <v>13-3-2022</v>
      </c>
      <c r="M980">
        <f t="shared" si="31"/>
        <v>2022</v>
      </c>
    </row>
    <row r="981" spans="1:13" x14ac:dyDescent="0.2">
      <c r="A981" s="1">
        <v>44648</v>
      </c>
      <c r="B981">
        <v>13</v>
      </c>
      <c r="C981">
        <v>3</v>
      </c>
      <c r="D981">
        <v>1</v>
      </c>
      <c r="E981" t="s">
        <v>41</v>
      </c>
      <c r="F981">
        <v>0</v>
      </c>
      <c r="G981">
        <f>INDEX(weekly!$E$2:$E$188,MATCH('Marketing Campaigns 22.11.22'!L981,weekly!$H$2:$H$188,0))</f>
        <v>3324.3909677419351</v>
      </c>
      <c r="H981">
        <f>INDEX(weekly!$D$2:$D$188,MATCH('Marketing Campaigns 22.11.22'!L981,weekly!$H$2:$H$188,0))</f>
        <v>2462.4516129032259</v>
      </c>
      <c r="I981">
        <f>INDEX(weekly!$F$2:$F$188,MATCH('Marketing Campaigns 22.11.22'!L981,weekly!$H$2:$H$188,0))</f>
        <v>0</v>
      </c>
      <c r="J981">
        <v>0</v>
      </c>
      <c r="K981">
        <v>0</v>
      </c>
      <c r="L981" t="str">
        <f t="shared" si="30"/>
        <v>13-3-2022</v>
      </c>
      <c r="M981">
        <f t="shared" si="31"/>
        <v>2022</v>
      </c>
    </row>
    <row r="982" spans="1:13" x14ac:dyDescent="0.2">
      <c r="A982" s="1">
        <v>44648</v>
      </c>
      <c r="B982">
        <v>13</v>
      </c>
      <c r="C982">
        <v>3</v>
      </c>
      <c r="D982">
        <v>1</v>
      </c>
      <c r="E982" t="s">
        <v>42</v>
      </c>
      <c r="F982">
        <v>0</v>
      </c>
      <c r="G982">
        <f>INDEX(weekly!$E$2:$E$188,MATCH('Marketing Campaigns 22.11.22'!L982,weekly!$H$2:$H$188,0))</f>
        <v>3324.3909677419351</v>
      </c>
      <c r="H982">
        <f>INDEX(weekly!$D$2:$D$188,MATCH('Marketing Campaigns 22.11.22'!L982,weekly!$H$2:$H$188,0))</f>
        <v>2462.4516129032259</v>
      </c>
      <c r="I982">
        <f>INDEX(weekly!$F$2:$F$188,MATCH('Marketing Campaigns 22.11.22'!L982,weekly!$H$2:$H$188,0))</f>
        <v>0</v>
      </c>
      <c r="J982">
        <v>0</v>
      </c>
      <c r="K982">
        <v>0</v>
      </c>
      <c r="L982" t="str">
        <f t="shared" si="30"/>
        <v>13-3-2022</v>
      </c>
      <c r="M982">
        <f t="shared" si="31"/>
        <v>2022</v>
      </c>
    </row>
    <row r="983" spans="1:13" x14ac:dyDescent="0.2">
      <c r="A983" s="1">
        <v>44648</v>
      </c>
      <c r="B983">
        <v>13</v>
      </c>
      <c r="C983">
        <v>3</v>
      </c>
      <c r="D983">
        <v>1</v>
      </c>
      <c r="E983" t="s">
        <v>43</v>
      </c>
      <c r="F983">
        <v>0</v>
      </c>
      <c r="G983">
        <f>INDEX(weekly!$E$2:$E$188,MATCH('Marketing Campaigns 22.11.22'!L983,weekly!$H$2:$H$188,0))</f>
        <v>3324.3909677419351</v>
      </c>
      <c r="H983">
        <f>INDEX(weekly!$D$2:$D$188,MATCH('Marketing Campaigns 22.11.22'!L983,weekly!$H$2:$H$188,0))</f>
        <v>2462.4516129032259</v>
      </c>
      <c r="I983">
        <f>INDEX(weekly!$F$2:$F$188,MATCH('Marketing Campaigns 22.11.22'!L983,weekly!$H$2:$H$188,0))</f>
        <v>0</v>
      </c>
      <c r="J983">
        <v>0</v>
      </c>
      <c r="K983">
        <v>0</v>
      </c>
      <c r="L983" t="str">
        <f t="shared" si="30"/>
        <v>13-3-2022</v>
      </c>
      <c r="M983">
        <f t="shared" si="31"/>
        <v>2022</v>
      </c>
    </row>
    <row r="984" spans="1:13" x14ac:dyDescent="0.2">
      <c r="A984" s="1">
        <v>44648</v>
      </c>
      <c r="B984">
        <v>13</v>
      </c>
      <c r="C984">
        <v>3</v>
      </c>
      <c r="D984">
        <v>1</v>
      </c>
      <c r="E984" t="s">
        <v>44</v>
      </c>
      <c r="F984">
        <v>0</v>
      </c>
      <c r="G984">
        <f>INDEX(weekly!$E$2:$E$188,MATCH('Marketing Campaigns 22.11.22'!L984,weekly!$H$2:$H$188,0))</f>
        <v>3324.3909677419351</v>
      </c>
      <c r="H984">
        <f>INDEX(weekly!$D$2:$D$188,MATCH('Marketing Campaigns 22.11.22'!L984,weekly!$H$2:$H$188,0))</f>
        <v>2462.4516129032259</v>
      </c>
      <c r="I984">
        <f>INDEX(weekly!$F$2:$F$188,MATCH('Marketing Campaigns 22.11.22'!L984,weekly!$H$2:$H$188,0))</f>
        <v>0</v>
      </c>
      <c r="J984">
        <v>0</v>
      </c>
      <c r="K984">
        <v>0</v>
      </c>
      <c r="L984" t="str">
        <f t="shared" si="30"/>
        <v>13-3-2022</v>
      </c>
      <c r="M984">
        <f t="shared" si="31"/>
        <v>2022</v>
      </c>
    </row>
    <row r="985" spans="1:13" x14ac:dyDescent="0.2">
      <c r="A985" s="1">
        <v>44648</v>
      </c>
      <c r="B985">
        <v>13</v>
      </c>
      <c r="C985">
        <v>3</v>
      </c>
      <c r="D985">
        <v>1</v>
      </c>
      <c r="E985" t="s">
        <v>45</v>
      </c>
      <c r="F985">
        <v>0</v>
      </c>
      <c r="G985">
        <f>INDEX(weekly!$E$2:$E$188,MATCH('Marketing Campaigns 22.11.22'!L985,weekly!$H$2:$H$188,0))</f>
        <v>3324.3909677419351</v>
      </c>
      <c r="H985">
        <f>INDEX(weekly!$D$2:$D$188,MATCH('Marketing Campaigns 22.11.22'!L985,weekly!$H$2:$H$188,0))</f>
        <v>2462.4516129032259</v>
      </c>
      <c r="I985">
        <f>INDEX(weekly!$F$2:$F$188,MATCH('Marketing Campaigns 22.11.22'!L985,weekly!$H$2:$H$188,0))</f>
        <v>0</v>
      </c>
      <c r="J985">
        <v>0</v>
      </c>
      <c r="K985">
        <v>0</v>
      </c>
      <c r="L985" t="str">
        <f t="shared" si="30"/>
        <v>13-3-2022</v>
      </c>
      <c r="M985">
        <f t="shared" si="31"/>
        <v>2022</v>
      </c>
    </row>
    <row r="986" spans="1:13" x14ac:dyDescent="0.2">
      <c r="A986" s="1">
        <v>44648</v>
      </c>
      <c r="B986">
        <v>13</v>
      </c>
      <c r="C986">
        <v>3</v>
      </c>
      <c r="D986">
        <v>1</v>
      </c>
      <c r="E986" t="s">
        <v>46</v>
      </c>
      <c r="F986">
        <v>0</v>
      </c>
      <c r="G986">
        <f>INDEX(weekly!$E$2:$E$188,MATCH('Marketing Campaigns 22.11.22'!L986,weekly!$H$2:$H$188,0))</f>
        <v>3324.3909677419351</v>
      </c>
      <c r="H986">
        <f>INDEX(weekly!$D$2:$D$188,MATCH('Marketing Campaigns 22.11.22'!L986,weekly!$H$2:$H$188,0))</f>
        <v>2462.4516129032259</v>
      </c>
      <c r="I986">
        <f>INDEX(weekly!$F$2:$F$188,MATCH('Marketing Campaigns 22.11.22'!L986,weekly!$H$2:$H$188,0))</f>
        <v>0</v>
      </c>
      <c r="J986">
        <v>0</v>
      </c>
      <c r="K986">
        <v>0</v>
      </c>
      <c r="L986" t="str">
        <f t="shared" si="30"/>
        <v>13-3-2022</v>
      </c>
      <c r="M986">
        <f t="shared" si="31"/>
        <v>2022</v>
      </c>
    </row>
    <row r="987" spans="1:13" x14ac:dyDescent="0.2">
      <c r="A987" s="1">
        <v>44648</v>
      </c>
      <c r="B987">
        <v>13</v>
      </c>
      <c r="C987">
        <v>3</v>
      </c>
      <c r="D987">
        <v>1</v>
      </c>
      <c r="E987" t="s">
        <v>47</v>
      </c>
      <c r="F987">
        <v>0</v>
      </c>
      <c r="G987">
        <f>INDEX(weekly!$E$2:$E$188,MATCH('Marketing Campaigns 22.11.22'!L987,weekly!$H$2:$H$188,0))</f>
        <v>3324.3909677419351</v>
      </c>
      <c r="H987">
        <f>INDEX(weekly!$D$2:$D$188,MATCH('Marketing Campaigns 22.11.22'!L987,weekly!$H$2:$H$188,0))</f>
        <v>2462.4516129032259</v>
      </c>
      <c r="I987">
        <f>INDEX(weekly!$F$2:$F$188,MATCH('Marketing Campaigns 22.11.22'!L987,weekly!$H$2:$H$188,0))</f>
        <v>0</v>
      </c>
      <c r="J987">
        <v>0</v>
      </c>
      <c r="K987">
        <v>0</v>
      </c>
      <c r="L987" t="str">
        <f t="shared" si="30"/>
        <v>13-3-2022</v>
      </c>
      <c r="M987">
        <f t="shared" si="31"/>
        <v>2022</v>
      </c>
    </row>
    <row r="988" spans="1:13" x14ac:dyDescent="0.2">
      <c r="A988" s="1">
        <v>44648</v>
      </c>
      <c r="B988">
        <v>13</v>
      </c>
      <c r="C988">
        <v>3</v>
      </c>
      <c r="D988">
        <v>1</v>
      </c>
      <c r="E988" t="s">
        <v>48</v>
      </c>
      <c r="F988">
        <v>0</v>
      </c>
      <c r="G988">
        <f>INDEX(weekly!$E$2:$E$188,MATCH('Marketing Campaigns 22.11.22'!L988,weekly!$H$2:$H$188,0))</f>
        <v>3324.3909677419351</v>
      </c>
      <c r="H988">
        <f>INDEX(weekly!$D$2:$D$188,MATCH('Marketing Campaigns 22.11.22'!L988,weekly!$H$2:$H$188,0))</f>
        <v>2462.4516129032259</v>
      </c>
      <c r="I988">
        <f>INDEX(weekly!$F$2:$F$188,MATCH('Marketing Campaigns 22.11.22'!L988,weekly!$H$2:$H$188,0))</f>
        <v>0</v>
      </c>
      <c r="J988">
        <v>0</v>
      </c>
      <c r="K988">
        <v>0</v>
      </c>
      <c r="L988" t="str">
        <f t="shared" si="30"/>
        <v>13-3-2022</v>
      </c>
      <c r="M988">
        <f t="shared" si="31"/>
        <v>2022</v>
      </c>
    </row>
    <row r="989" spans="1:13" x14ac:dyDescent="0.2">
      <c r="A989" s="1">
        <v>44648</v>
      </c>
      <c r="B989">
        <v>13</v>
      </c>
      <c r="C989">
        <v>3</v>
      </c>
      <c r="D989">
        <v>1</v>
      </c>
      <c r="E989" t="s">
        <v>49</v>
      </c>
      <c r="F989">
        <v>0</v>
      </c>
      <c r="G989">
        <f>INDEX(weekly!$E$2:$E$188,MATCH('Marketing Campaigns 22.11.22'!L989,weekly!$H$2:$H$188,0))</f>
        <v>3324.3909677419351</v>
      </c>
      <c r="H989">
        <f>INDEX(weekly!$D$2:$D$188,MATCH('Marketing Campaigns 22.11.22'!L989,weekly!$H$2:$H$188,0))</f>
        <v>2462.4516129032259</v>
      </c>
      <c r="I989">
        <f>INDEX(weekly!$F$2:$F$188,MATCH('Marketing Campaigns 22.11.22'!L989,weekly!$H$2:$H$188,0))</f>
        <v>0</v>
      </c>
      <c r="J989">
        <v>0</v>
      </c>
      <c r="K989">
        <v>0</v>
      </c>
      <c r="L989" t="str">
        <f t="shared" si="30"/>
        <v>13-3-2022</v>
      </c>
      <c r="M989">
        <f t="shared" si="31"/>
        <v>2022</v>
      </c>
    </row>
    <row r="990" spans="1:13" x14ac:dyDescent="0.2">
      <c r="A990" s="1">
        <v>44648</v>
      </c>
      <c r="B990">
        <v>13</v>
      </c>
      <c r="C990">
        <v>3</v>
      </c>
      <c r="D990">
        <v>1</v>
      </c>
      <c r="E990" t="s">
        <v>50</v>
      </c>
      <c r="F990">
        <v>0</v>
      </c>
      <c r="G990">
        <f>INDEX(weekly!$E$2:$E$188,MATCH('Marketing Campaigns 22.11.22'!L990,weekly!$H$2:$H$188,0))</f>
        <v>3324.3909677419351</v>
      </c>
      <c r="H990">
        <f>INDEX(weekly!$D$2:$D$188,MATCH('Marketing Campaigns 22.11.22'!L990,weekly!$H$2:$H$188,0))</f>
        <v>2462.4516129032259</v>
      </c>
      <c r="I990">
        <f>INDEX(weekly!$F$2:$F$188,MATCH('Marketing Campaigns 22.11.22'!L990,weekly!$H$2:$H$188,0))</f>
        <v>0</v>
      </c>
      <c r="J990">
        <v>0</v>
      </c>
      <c r="K990">
        <v>0</v>
      </c>
      <c r="L990" t="str">
        <f t="shared" si="30"/>
        <v>13-3-2022</v>
      </c>
      <c r="M990">
        <f t="shared" si="31"/>
        <v>2022</v>
      </c>
    </row>
    <row r="991" spans="1:13" x14ac:dyDescent="0.2">
      <c r="A991" s="1">
        <v>44648</v>
      </c>
      <c r="B991">
        <v>13</v>
      </c>
      <c r="C991">
        <v>3</v>
      </c>
      <c r="D991">
        <v>1</v>
      </c>
      <c r="E991" t="s">
        <v>51</v>
      </c>
      <c r="F991">
        <v>0</v>
      </c>
      <c r="G991">
        <f>INDEX(weekly!$E$2:$E$188,MATCH('Marketing Campaigns 22.11.22'!L991,weekly!$H$2:$H$188,0))</f>
        <v>3324.3909677419351</v>
      </c>
      <c r="H991">
        <f>INDEX(weekly!$D$2:$D$188,MATCH('Marketing Campaigns 22.11.22'!L991,weekly!$H$2:$H$188,0))</f>
        <v>2462.4516129032259</v>
      </c>
      <c r="I991">
        <f>INDEX(weekly!$F$2:$F$188,MATCH('Marketing Campaigns 22.11.22'!L991,weekly!$H$2:$H$188,0))</f>
        <v>0</v>
      </c>
      <c r="J991">
        <v>0</v>
      </c>
      <c r="K991">
        <v>0</v>
      </c>
      <c r="L991" t="str">
        <f t="shared" si="30"/>
        <v>13-3-2022</v>
      </c>
      <c r="M991">
        <f t="shared" si="31"/>
        <v>2022</v>
      </c>
    </row>
    <row r="992" spans="1:13" x14ac:dyDescent="0.2">
      <c r="A992" s="1">
        <v>44648</v>
      </c>
      <c r="B992">
        <v>13</v>
      </c>
      <c r="C992">
        <v>3</v>
      </c>
      <c r="D992">
        <v>1</v>
      </c>
      <c r="E992" t="s">
        <v>52</v>
      </c>
      <c r="F992">
        <v>0</v>
      </c>
      <c r="G992">
        <f>INDEX(weekly!$E$2:$E$188,MATCH('Marketing Campaigns 22.11.22'!L992,weekly!$H$2:$H$188,0))</f>
        <v>3324.3909677419351</v>
      </c>
      <c r="H992">
        <f>INDEX(weekly!$D$2:$D$188,MATCH('Marketing Campaigns 22.11.22'!L992,weekly!$H$2:$H$188,0))</f>
        <v>2462.4516129032259</v>
      </c>
      <c r="I992">
        <f>INDEX(weekly!$F$2:$F$188,MATCH('Marketing Campaigns 22.11.22'!L992,weekly!$H$2:$H$188,0))</f>
        <v>0</v>
      </c>
      <c r="J992">
        <v>0</v>
      </c>
      <c r="K992">
        <v>0</v>
      </c>
      <c r="L992" t="str">
        <f t="shared" si="30"/>
        <v>13-3-2022</v>
      </c>
      <c r="M992">
        <f t="shared" si="31"/>
        <v>2022</v>
      </c>
    </row>
    <row r="993" spans="1:13" x14ac:dyDescent="0.2">
      <c r="A993" s="1">
        <v>44655</v>
      </c>
      <c r="B993">
        <v>14</v>
      </c>
      <c r="C993">
        <v>4</v>
      </c>
      <c r="D993">
        <v>1</v>
      </c>
      <c r="E993" t="s">
        <v>24</v>
      </c>
      <c r="F993">
        <v>0</v>
      </c>
      <c r="G993">
        <f>INDEX(weekly!$E$2:$E$188,MATCH('Marketing Campaigns 22.11.22'!L993,weekly!$H$2:$H$188,0))</f>
        <v>5954.9</v>
      </c>
      <c r="H993">
        <f>INDEX(weekly!$D$2:$D$188,MATCH('Marketing Campaigns 22.11.22'!L993,weekly!$H$2:$H$188,0))</f>
        <v>5923.8666666666659</v>
      </c>
      <c r="I993">
        <f>INDEX(weekly!$F$2:$F$188,MATCH('Marketing Campaigns 22.11.22'!L993,weekly!$H$2:$H$188,0))</f>
        <v>963.43333333333328</v>
      </c>
      <c r="J993">
        <v>0</v>
      </c>
      <c r="K993">
        <v>0</v>
      </c>
      <c r="L993" t="str">
        <f t="shared" si="30"/>
        <v>14-4-2022</v>
      </c>
      <c r="M993">
        <f t="shared" si="31"/>
        <v>2022</v>
      </c>
    </row>
    <row r="994" spans="1:13" x14ac:dyDescent="0.2">
      <c r="A994" s="1">
        <v>44655</v>
      </c>
      <c r="B994">
        <v>14</v>
      </c>
      <c r="C994">
        <v>4</v>
      </c>
      <c r="D994">
        <v>1</v>
      </c>
      <c r="E994" t="s">
        <v>39</v>
      </c>
      <c r="F994">
        <v>0</v>
      </c>
      <c r="G994">
        <f>INDEX(weekly!$E$2:$E$188,MATCH('Marketing Campaigns 22.11.22'!L994,weekly!$H$2:$H$188,0))</f>
        <v>5954.9</v>
      </c>
      <c r="H994">
        <f>INDEX(weekly!$D$2:$D$188,MATCH('Marketing Campaigns 22.11.22'!L994,weekly!$H$2:$H$188,0))</f>
        <v>5923.8666666666659</v>
      </c>
      <c r="I994">
        <f>INDEX(weekly!$F$2:$F$188,MATCH('Marketing Campaigns 22.11.22'!L994,weekly!$H$2:$H$188,0))</f>
        <v>963.43333333333328</v>
      </c>
      <c r="J994">
        <v>0</v>
      </c>
      <c r="K994">
        <v>0</v>
      </c>
      <c r="L994" t="str">
        <f t="shared" si="30"/>
        <v>14-4-2022</v>
      </c>
      <c r="M994">
        <f t="shared" si="31"/>
        <v>2022</v>
      </c>
    </row>
    <row r="995" spans="1:13" x14ac:dyDescent="0.2">
      <c r="A995" s="1">
        <v>44655</v>
      </c>
      <c r="B995">
        <v>14</v>
      </c>
      <c r="C995">
        <v>4</v>
      </c>
      <c r="D995">
        <v>1</v>
      </c>
      <c r="E995" t="s">
        <v>40</v>
      </c>
      <c r="F995">
        <v>0</v>
      </c>
      <c r="G995">
        <f>INDEX(weekly!$E$2:$E$188,MATCH('Marketing Campaigns 22.11.22'!L995,weekly!$H$2:$H$188,0))</f>
        <v>5954.9</v>
      </c>
      <c r="H995">
        <f>INDEX(weekly!$D$2:$D$188,MATCH('Marketing Campaigns 22.11.22'!L995,weekly!$H$2:$H$188,0))</f>
        <v>5923.8666666666659</v>
      </c>
      <c r="I995">
        <f>INDEX(weekly!$F$2:$F$188,MATCH('Marketing Campaigns 22.11.22'!L995,weekly!$H$2:$H$188,0))</f>
        <v>963.43333333333328</v>
      </c>
      <c r="J995">
        <v>0</v>
      </c>
      <c r="K995">
        <v>0</v>
      </c>
      <c r="L995" t="str">
        <f t="shared" si="30"/>
        <v>14-4-2022</v>
      </c>
      <c r="M995">
        <f t="shared" si="31"/>
        <v>2022</v>
      </c>
    </row>
    <row r="996" spans="1:13" x14ac:dyDescent="0.2">
      <c r="A996" s="1">
        <v>44655</v>
      </c>
      <c r="B996">
        <v>14</v>
      </c>
      <c r="C996">
        <v>4</v>
      </c>
      <c r="D996">
        <v>1</v>
      </c>
      <c r="E996" t="s">
        <v>41</v>
      </c>
      <c r="F996">
        <v>0</v>
      </c>
      <c r="G996">
        <f>INDEX(weekly!$E$2:$E$188,MATCH('Marketing Campaigns 22.11.22'!L996,weekly!$H$2:$H$188,0))</f>
        <v>5954.9</v>
      </c>
      <c r="H996">
        <f>INDEX(weekly!$D$2:$D$188,MATCH('Marketing Campaigns 22.11.22'!L996,weekly!$H$2:$H$188,0))</f>
        <v>5923.8666666666659</v>
      </c>
      <c r="I996">
        <f>INDEX(weekly!$F$2:$F$188,MATCH('Marketing Campaigns 22.11.22'!L996,weekly!$H$2:$H$188,0))</f>
        <v>963.43333333333328</v>
      </c>
      <c r="J996">
        <v>0</v>
      </c>
      <c r="K996">
        <v>0</v>
      </c>
      <c r="L996" t="str">
        <f t="shared" si="30"/>
        <v>14-4-2022</v>
      </c>
      <c r="M996">
        <f t="shared" si="31"/>
        <v>2022</v>
      </c>
    </row>
    <row r="997" spans="1:13" x14ac:dyDescent="0.2">
      <c r="A997" s="1">
        <v>44655</v>
      </c>
      <c r="B997">
        <v>14</v>
      </c>
      <c r="C997">
        <v>4</v>
      </c>
      <c r="D997">
        <v>1</v>
      </c>
      <c r="E997" t="s">
        <v>42</v>
      </c>
      <c r="F997">
        <v>0</v>
      </c>
      <c r="G997">
        <f>INDEX(weekly!$E$2:$E$188,MATCH('Marketing Campaigns 22.11.22'!L997,weekly!$H$2:$H$188,0))</f>
        <v>5954.9</v>
      </c>
      <c r="H997">
        <f>INDEX(weekly!$D$2:$D$188,MATCH('Marketing Campaigns 22.11.22'!L997,weekly!$H$2:$H$188,0))</f>
        <v>5923.8666666666659</v>
      </c>
      <c r="I997">
        <f>INDEX(weekly!$F$2:$F$188,MATCH('Marketing Campaigns 22.11.22'!L997,weekly!$H$2:$H$188,0))</f>
        <v>963.43333333333328</v>
      </c>
      <c r="J997">
        <v>0</v>
      </c>
      <c r="K997">
        <v>0</v>
      </c>
      <c r="L997" t="str">
        <f t="shared" si="30"/>
        <v>14-4-2022</v>
      </c>
      <c r="M997">
        <f t="shared" si="31"/>
        <v>2022</v>
      </c>
    </row>
    <row r="998" spans="1:13" x14ac:dyDescent="0.2">
      <c r="A998" s="1">
        <v>44655</v>
      </c>
      <c r="B998">
        <v>14</v>
      </c>
      <c r="C998">
        <v>4</v>
      </c>
      <c r="D998">
        <v>1</v>
      </c>
      <c r="E998" t="s">
        <v>43</v>
      </c>
      <c r="F998">
        <v>0</v>
      </c>
      <c r="G998">
        <f>INDEX(weekly!$E$2:$E$188,MATCH('Marketing Campaigns 22.11.22'!L998,weekly!$H$2:$H$188,0))</f>
        <v>5954.9</v>
      </c>
      <c r="H998">
        <f>INDEX(weekly!$D$2:$D$188,MATCH('Marketing Campaigns 22.11.22'!L998,weekly!$H$2:$H$188,0))</f>
        <v>5923.8666666666659</v>
      </c>
      <c r="I998">
        <f>INDEX(weekly!$F$2:$F$188,MATCH('Marketing Campaigns 22.11.22'!L998,weekly!$H$2:$H$188,0))</f>
        <v>963.43333333333328</v>
      </c>
      <c r="J998">
        <v>0</v>
      </c>
      <c r="K998">
        <v>0</v>
      </c>
      <c r="L998" t="str">
        <f t="shared" si="30"/>
        <v>14-4-2022</v>
      </c>
      <c r="M998">
        <f t="shared" si="31"/>
        <v>2022</v>
      </c>
    </row>
    <row r="999" spans="1:13" x14ac:dyDescent="0.2">
      <c r="A999" s="1">
        <v>44655</v>
      </c>
      <c r="B999">
        <v>14</v>
      </c>
      <c r="C999">
        <v>4</v>
      </c>
      <c r="D999">
        <v>1</v>
      </c>
      <c r="E999" t="s">
        <v>44</v>
      </c>
      <c r="F999">
        <v>0</v>
      </c>
      <c r="G999">
        <f>INDEX(weekly!$E$2:$E$188,MATCH('Marketing Campaigns 22.11.22'!L999,weekly!$H$2:$H$188,0))</f>
        <v>5954.9</v>
      </c>
      <c r="H999">
        <f>INDEX(weekly!$D$2:$D$188,MATCH('Marketing Campaigns 22.11.22'!L999,weekly!$H$2:$H$188,0))</f>
        <v>5923.8666666666659</v>
      </c>
      <c r="I999">
        <f>INDEX(weekly!$F$2:$F$188,MATCH('Marketing Campaigns 22.11.22'!L999,weekly!$H$2:$H$188,0))</f>
        <v>963.43333333333328</v>
      </c>
      <c r="J999">
        <v>0</v>
      </c>
      <c r="K999">
        <v>0</v>
      </c>
      <c r="L999" t="str">
        <f t="shared" si="30"/>
        <v>14-4-2022</v>
      </c>
      <c r="M999">
        <f t="shared" si="31"/>
        <v>2022</v>
      </c>
    </row>
    <row r="1000" spans="1:13" x14ac:dyDescent="0.2">
      <c r="A1000" s="1">
        <v>44655</v>
      </c>
      <c r="B1000">
        <v>14</v>
      </c>
      <c r="C1000">
        <v>4</v>
      </c>
      <c r="D1000">
        <v>1</v>
      </c>
      <c r="E1000" t="s">
        <v>45</v>
      </c>
      <c r="F1000">
        <v>0</v>
      </c>
      <c r="G1000">
        <f>INDEX(weekly!$E$2:$E$188,MATCH('Marketing Campaigns 22.11.22'!L1000,weekly!$H$2:$H$188,0))</f>
        <v>5954.9</v>
      </c>
      <c r="H1000">
        <f>INDEX(weekly!$D$2:$D$188,MATCH('Marketing Campaigns 22.11.22'!L1000,weekly!$H$2:$H$188,0))</f>
        <v>5923.8666666666659</v>
      </c>
      <c r="I1000">
        <f>INDEX(weekly!$F$2:$F$188,MATCH('Marketing Campaigns 22.11.22'!L1000,weekly!$H$2:$H$188,0))</f>
        <v>963.43333333333328</v>
      </c>
      <c r="J1000">
        <v>0</v>
      </c>
      <c r="K1000">
        <v>0</v>
      </c>
      <c r="L1000" t="str">
        <f t="shared" si="30"/>
        <v>14-4-2022</v>
      </c>
      <c r="M1000">
        <f t="shared" si="31"/>
        <v>2022</v>
      </c>
    </row>
    <row r="1001" spans="1:13" x14ac:dyDescent="0.2">
      <c r="A1001" s="1">
        <v>44655</v>
      </c>
      <c r="B1001">
        <v>14</v>
      </c>
      <c r="C1001">
        <v>4</v>
      </c>
      <c r="D1001">
        <v>1</v>
      </c>
      <c r="E1001" t="s">
        <v>46</v>
      </c>
      <c r="F1001">
        <v>0</v>
      </c>
      <c r="G1001">
        <f>INDEX(weekly!$E$2:$E$188,MATCH('Marketing Campaigns 22.11.22'!L1001,weekly!$H$2:$H$188,0))</f>
        <v>5954.9</v>
      </c>
      <c r="H1001">
        <f>INDEX(weekly!$D$2:$D$188,MATCH('Marketing Campaigns 22.11.22'!L1001,weekly!$H$2:$H$188,0))</f>
        <v>5923.8666666666659</v>
      </c>
      <c r="I1001">
        <f>INDEX(weekly!$F$2:$F$188,MATCH('Marketing Campaigns 22.11.22'!L1001,weekly!$H$2:$H$188,0))</f>
        <v>963.43333333333328</v>
      </c>
      <c r="J1001">
        <v>0</v>
      </c>
      <c r="K1001">
        <v>0</v>
      </c>
      <c r="L1001" t="str">
        <f t="shared" si="30"/>
        <v>14-4-2022</v>
      </c>
      <c r="M1001">
        <f t="shared" si="31"/>
        <v>2022</v>
      </c>
    </row>
    <row r="1002" spans="1:13" x14ac:dyDescent="0.2">
      <c r="A1002" s="1">
        <v>44655</v>
      </c>
      <c r="B1002">
        <v>14</v>
      </c>
      <c r="C1002">
        <v>4</v>
      </c>
      <c r="D1002">
        <v>1</v>
      </c>
      <c r="E1002" t="s">
        <v>47</v>
      </c>
      <c r="F1002">
        <v>0</v>
      </c>
      <c r="G1002">
        <f>INDEX(weekly!$E$2:$E$188,MATCH('Marketing Campaigns 22.11.22'!L1002,weekly!$H$2:$H$188,0))</f>
        <v>5954.9</v>
      </c>
      <c r="H1002">
        <f>INDEX(weekly!$D$2:$D$188,MATCH('Marketing Campaigns 22.11.22'!L1002,weekly!$H$2:$H$188,0))</f>
        <v>5923.8666666666659</v>
      </c>
      <c r="I1002">
        <f>INDEX(weekly!$F$2:$F$188,MATCH('Marketing Campaigns 22.11.22'!L1002,weekly!$H$2:$H$188,0))</f>
        <v>963.43333333333328</v>
      </c>
      <c r="J1002">
        <v>0</v>
      </c>
      <c r="K1002">
        <v>0</v>
      </c>
      <c r="L1002" t="str">
        <f t="shared" si="30"/>
        <v>14-4-2022</v>
      </c>
      <c r="M1002">
        <f t="shared" si="31"/>
        <v>2022</v>
      </c>
    </row>
    <row r="1003" spans="1:13" x14ac:dyDescent="0.2">
      <c r="A1003" s="1">
        <v>44655</v>
      </c>
      <c r="B1003">
        <v>14</v>
      </c>
      <c r="C1003">
        <v>4</v>
      </c>
      <c r="D1003">
        <v>1</v>
      </c>
      <c r="E1003" t="s">
        <v>48</v>
      </c>
      <c r="F1003">
        <v>0</v>
      </c>
      <c r="G1003">
        <f>INDEX(weekly!$E$2:$E$188,MATCH('Marketing Campaigns 22.11.22'!L1003,weekly!$H$2:$H$188,0))</f>
        <v>5954.9</v>
      </c>
      <c r="H1003">
        <f>INDEX(weekly!$D$2:$D$188,MATCH('Marketing Campaigns 22.11.22'!L1003,weekly!$H$2:$H$188,0))</f>
        <v>5923.8666666666659</v>
      </c>
      <c r="I1003">
        <f>INDEX(weekly!$F$2:$F$188,MATCH('Marketing Campaigns 22.11.22'!L1003,weekly!$H$2:$H$188,0))</f>
        <v>963.43333333333328</v>
      </c>
      <c r="J1003">
        <v>0</v>
      </c>
      <c r="K1003">
        <v>0</v>
      </c>
      <c r="L1003" t="str">
        <f t="shared" si="30"/>
        <v>14-4-2022</v>
      </c>
      <c r="M1003">
        <f t="shared" si="31"/>
        <v>2022</v>
      </c>
    </row>
    <row r="1004" spans="1:13" x14ac:dyDescent="0.2">
      <c r="A1004" s="1">
        <v>44655</v>
      </c>
      <c r="B1004">
        <v>14</v>
      </c>
      <c r="C1004">
        <v>4</v>
      </c>
      <c r="D1004">
        <v>1</v>
      </c>
      <c r="E1004" t="s">
        <v>49</v>
      </c>
      <c r="F1004">
        <v>0</v>
      </c>
      <c r="G1004">
        <f>INDEX(weekly!$E$2:$E$188,MATCH('Marketing Campaigns 22.11.22'!L1004,weekly!$H$2:$H$188,0))</f>
        <v>5954.9</v>
      </c>
      <c r="H1004">
        <f>INDEX(weekly!$D$2:$D$188,MATCH('Marketing Campaigns 22.11.22'!L1004,weekly!$H$2:$H$188,0))</f>
        <v>5923.8666666666659</v>
      </c>
      <c r="I1004">
        <f>INDEX(weekly!$F$2:$F$188,MATCH('Marketing Campaigns 22.11.22'!L1004,weekly!$H$2:$H$188,0))</f>
        <v>963.43333333333328</v>
      </c>
      <c r="J1004">
        <v>0</v>
      </c>
      <c r="K1004">
        <v>0</v>
      </c>
      <c r="L1004" t="str">
        <f t="shared" si="30"/>
        <v>14-4-2022</v>
      </c>
      <c r="M1004">
        <f t="shared" si="31"/>
        <v>2022</v>
      </c>
    </row>
    <row r="1005" spans="1:13" x14ac:dyDescent="0.2">
      <c r="A1005" s="1">
        <v>44655</v>
      </c>
      <c r="B1005">
        <v>14</v>
      </c>
      <c r="C1005">
        <v>4</v>
      </c>
      <c r="D1005">
        <v>1</v>
      </c>
      <c r="E1005" t="s">
        <v>50</v>
      </c>
      <c r="F1005">
        <v>0</v>
      </c>
      <c r="G1005">
        <f>INDEX(weekly!$E$2:$E$188,MATCH('Marketing Campaigns 22.11.22'!L1005,weekly!$H$2:$H$188,0))</f>
        <v>5954.9</v>
      </c>
      <c r="H1005">
        <f>INDEX(weekly!$D$2:$D$188,MATCH('Marketing Campaigns 22.11.22'!L1005,weekly!$H$2:$H$188,0))</f>
        <v>5923.8666666666659</v>
      </c>
      <c r="I1005">
        <f>INDEX(weekly!$F$2:$F$188,MATCH('Marketing Campaigns 22.11.22'!L1005,weekly!$H$2:$H$188,0))</f>
        <v>963.43333333333328</v>
      </c>
      <c r="J1005">
        <v>0</v>
      </c>
      <c r="K1005">
        <v>0</v>
      </c>
      <c r="L1005" t="str">
        <f t="shared" si="30"/>
        <v>14-4-2022</v>
      </c>
      <c r="M1005">
        <f t="shared" si="31"/>
        <v>2022</v>
      </c>
    </row>
    <row r="1006" spans="1:13" x14ac:dyDescent="0.2">
      <c r="A1006" s="1">
        <v>44655</v>
      </c>
      <c r="B1006">
        <v>14</v>
      </c>
      <c r="C1006">
        <v>4</v>
      </c>
      <c r="D1006">
        <v>1</v>
      </c>
      <c r="E1006" t="s">
        <v>51</v>
      </c>
      <c r="F1006">
        <v>0</v>
      </c>
      <c r="G1006">
        <f>INDEX(weekly!$E$2:$E$188,MATCH('Marketing Campaigns 22.11.22'!L1006,weekly!$H$2:$H$188,0))</f>
        <v>5954.9</v>
      </c>
      <c r="H1006">
        <f>INDEX(weekly!$D$2:$D$188,MATCH('Marketing Campaigns 22.11.22'!L1006,weekly!$H$2:$H$188,0))</f>
        <v>5923.8666666666659</v>
      </c>
      <c r="I1006">
        <f>INDEX(weekly!$F$2:$F$188,MATCH('Marketing Campaigns 22.11.22'!L1006,weekly!$H$2:$H$188,0))</f>
        <v>963.43333333333328</v>
      </c>
      <c r="J1006">
        <v>0</v>
      </c>
      <c r="K1006">
        <v>0</v>
      </c>
      <c r="L1006" t="str">
        <f t="shared" si="30"/>
        <v>14-4-2022</v>
      </c>
      <c r="M1006">
        <f t="shared" si="31"/>
        <v>2022</v>
      </c>
    </row>
    <row r="1007" spans="1:13" x14ac:dyDescent="0.2">
      <c r="A1007" s="1">
        <v>44655</v>
      </c>
      <c r="B1007">
        <v>14</v>
      </c>
      <c r="C1007">
        <v>4</v>
      </c>
      <c r="D1007">
        <v>1</v>
      </c>
      <c r="E1007" t="s">
        <v>52</v>
      </c>
      <c r="F1007">
        <v>0</v>
      </c>
      <c r="G1007">
        <f>INDEX(weekly!$E$2:$E$188,MATCH('Marketing Campaigns 22.11.22'!L1007,weekly!$H$2:$H$188,0))</f>
        <v>5954.9</v>
      </c>
      <c r="H1007">
        <f>INDEX(weekly!$D$2:$D$188,MATCH('Marketing Campaigns 22.11.22'!L1007,weekly!$H$2:$H$188,0))</f>
        <v>5923.8666666666659</v>
      </c>
      <c r="I1007">
        <f>INDEX(weekly!$F$2:$F$188,MATCH('Marketing Campaigns 22.11.22'!L1007,weekly!$H$2:$H$188,0))</f>
        <v>963.43333333333328</v>
      </c>
      <c r="J1007">
        <v>0</v>
      </c>
      <c r="K1007">
        <v>0</v>
      </c>
      <c r="L1007" t="str">
        <f t="shared" si="30"/>
        <v>14-4-2022</v>
      </c>
      <c r="M1007">
        <f t="shared" si="31"/>
        <v>2022</v>
      </c>
    </row>
    <row r="1008" spans="1:13" x14ac:dyDescent="0.2">
      <c r="A1008" s="1">
        <v>44662</v>
      </c>
      <c r="B1008">
        <v>15</v>
      </c>
      <c r="C1008">
        <v>4</v>
      </c>
      <c r="D1008">
        <v>2</v>
      </c>
      <c r="E1008" t="s">
        <v>24</v>
      </c>
      <c r="F1008">
        <v>0</v>
      </c>
      <c r="G1008">
        <f>INDEX(weekly!$E$2:$E$188,MATCH('Marketing Campaigns 22.11.22'!L1008,weekly!$H$2:$H$188,0))</f>
        <v>5954.9</v>
      </c>
      <c r="H1008">
        <f>INDEX(weekly!$D$2:$D$188,MATCH('Marketing Campaigns 22.11.22'!L1008,weekly!$H$2:$H$188,0))</f>
        <v>5923.8666666666659</v>
      </c>
      <c r="I1008">
        <f>INDEX(weekly!$F$2:$F$188,MATCH('Marketing Campaigns 22.11.22'!L1008,weekly!$H$2:$H$188,0))</f>
        <v>963.43333333333328</v>
      </c>
      <c r="J1008">
        <v>0</v>
      </c>
      <c r="K1008">
        <v>0</v>
      </c>
      <c r="L1008" t="str">
        <f t="shared" si="30"/>
        <v>15-4-2022</v>
      </c>
      <c r="M1008">
        <f t="shared" si="31"/>
        <v>2022</v>
      </c>
    </row>
    <row r="1009" spans="1:13" x14ac:dyDescent="0.2">
      <c r="A1009" s="1">
        <v>44662</v>
      </c>
      <c r="B1009">
        <v>15</v>
      </c>
      <c r="C1009">
        <v>4</v>
      </c>
      <c r="D1009">
        <v>2</v>
      </c>
      <c r="E1009" t="s">
        <v>39</v>
      </c>
      <c r="F1009">
        <v>0</v>
      </c>
      <c r="G1009">
        <f>INDEX(weekly!$E$2:$E$188,MATCH('Marketing Campaigns 22.11.22'!L1009,weekly!$H$2:$H$188,0))</f>
        <v>5954.9</v>
      </c>
      <c r="H1009">
        <f>INDEX(weekly!$D$2:$D$188,MATCH('Marketing Campaigns 22.11.22'!L1009,weekly!$H$2:$H$188,0))</f>
        <v>5923.8666666666659</v>
      </c>
      <c r="I1009">
        <f>INDEX(weekly!$F$2:$F$188,MATCH('Marketing Campaigns 22.11.22'!L1009,weekly!$H$2:$H$188,0))</f>
        <v>963.43333333333328</v>
      </c>
      <c r="J1009">
        <v>0</v>
      </c>
      <c r="K1009">
        <v>0</v>
      </c>
      <c r="L1009" t="str">
        <f t="shared" si="30"/>
        <v>15-4-2022</v>
      </c>
      <c r="M1009">
        <f t="shared" si="31"/>
        <v>2022</v>
      </c>
    </row>
    <row r="1010" spans="1:13" x14ac:dyDescent="0.2">
      <c r="A1010" s="1">
        <v>44662</v>
      </c>
      <c r="B1010">
        <v>15</v>
      </c>
      <c r="C1010">
        <v>4</v>
      </c>
      <c r="D1010">
        <v>2</v>
      </c>
      <c r="E1010" t="s">
        <v>40</v>
      </c>
      <c r="F1010">
        <v>0</v>
      </c>
      <c r="G1010">
        <f>INDEX(weekly!$E$2:$E$188,MATCH('Marketing Campaigns 22.11.22'!L1010,weekly!$H$2:$H$188,0))</f>
        <v>5954.9</v>
      </c>
      <c r="H1010">
        <f>INDEX(weekly!$D$2:$D$188,MATCH('Marketing Campaigns 22.11.22'!L1010,weekly!$H$2:$H$188,0))</f>
        <v>5923.8666666666659</v>
      </c>
      <c r="I1010">
        <f>INDEX(weekly!$F$2:$F$188,MATCH('Marketing Campaigns 22.11.22'!L1010,weekly!$H$2:$H$188,0))</f>
        <v>963.43333333333328</v>
      </c>
      <c r="J1010">
        <v>0</v>
      </c>
      <c r="K1010">
        <v>0</v>
      </c>
      <c r="L1010" t="str">
        <f t="shared" si="30"/>
        <v>15-4-2022</v>
      </c>
      <c r="M1010">
        <f t="shared" si="31"/>
        <v>2022</v>
      </c>
    </row>
    <row r="1011" spans="1:13" x14ac:dyDescent="0.2">
      <c r="A1011" s="1">
        <v>44662</v>
      </c>
      <c r="B1011">
        <v>15</v>
      </c>
      <c r="C1011">
        <v>4</v>
      </c>
      <c r="D1011">
        <v>2</v>
      </c>
      <c r="E1011" t="s">
        <v>41</v>
      </c>
      <c r="F1011">
        <v>0</v>
      </c>
      <c r="G1011">
        <f>INDEX(weekly!$E$2:$E$188,MATCH('Marketing Campaigns 22.11.22'!L1011,weekly!$H$2:$H$188,0))</f>
        <v>5954.9</v>
      </c>
      <c r="H1011">
        <f>INDEX(weekly!$D$2:$D$188,MATCH('Marketing Campaigns 22.11.22'!L1011,weekly!$H$2:$H$188,0))</f>
        <v>5923.8666666666659</v>
      </c>
      <c r="I1011">
        <f>INDEX(weekly!$F$2:$F$188,MATCH('Marketing Campaigns 22.11.22'!L1011,weekly!$H$2:$H$188,0))</f>
        <v>963.43333333333328</v>
      </c>
      <c r="J1011">
        <v>0</v>
      </c>
      <c r="K1011">
        <v>0</v>
      </c>
      <c r="L1011" t="str">
        <f t="shared" si="30"/>
        <v>15-4-2022</v>
      </c>
      <c r="M1011">
        <f t="shared" si="31"/>
        <v>2022</v>
      </c>
    </row>
    <row r="1012" spans="1:13" x14ac:dyDescent="0.2">
      <c r="A1012" s="1">
        <v>44662</v>
      </c>
      <c r="B1012">
        <v>15</v>
      </c>
      <c r="C1012">
        <v>4</v>
      </c>
      <c r="D1012">
        <v>2</v>
      </c>
      <c r="E1012" t="s">
        <v>42</v>
      </c>
      <c r="F1012">
        <v>0</v>
      </c>
      <c r="G1012">
        <f>INDEX(weekly!$E$2:$E$188,MATCH('Marketing Campaigns 22.11.22'!L1012,weekly!$H$2:$H$188,0))</f>
        <v>5954.9</v>
      </c>
      <c r="H1012">
        <f>INDEX(weekly!$D$2:$D$188,MATCH('Marketing Campaigns 22.11.22'!L1012,weekly!$H$2:$H$188,0))</f>
        <v>5923.8666666666659</v>
      </c>
      <c r="I1012">
        <f>INDEX(weekly!$F$2:$F$188,MATCH('Marketing Campaigns 22.11.22'!L1012,weekly!$H$2:$H$188,0))</f>
        <v>963.43333333333328</v>
      </c>
      <c r="J1012">
        <v>0</v>
      </c>
      <c r="K1012">
        <v>0</v>
      </c>
      <c r="L1012" t="str">
        <f t="shared" si="30"/>
        <v>15-4-2022</v>
      </c>
      <c r="M1012">
        <f t="shared" si="31"/>
        <v>2022</v>
      </c>
    </row>
    <row r="1013" spans="1:13" x14ac:dyDescent="0.2">
      <c r="A1013" s="1">
        <v>44662</v>
      </c>
      <c r="B1013">
        <v>15</v>
      </c>
      <c r="C1013">
        <v>4</v>
      </c>
      <c r="D1013">
        <v>2</v>
      </c>
      <c r="E1013" t="s">
        <v>43</v>
      </c>
      <c r="F1013">
        <v>0</v>
      </c>
      <c r="G1013">
        <f>INDEX(weekly!$E$2:$E$188,MATCH('Marketing Campaigns 22.11.22'!L1013,weekly!$H$2:$H$188,0))</f>
        <v>5954.9</v>
      </c>
      <c r="H1013">
        <f>INDEX(weekly!$D$2:$D$188,MATCH('Marketing Campaigns 22.11.22'!L1013,weekly!$H$2:$H$188,0))</f>
        <v>5923.8666666666659</v>
      </c>
      <c r="I1013">
        <f>INDEX(weekly!$F$2:$F$188,MATCH('Marketing Campaigns 22.11.22'!L1013,weekly!$H$2:$H$188,0))</f>
        <v>963.43333333333328</v>
      </c>
      <c r="J1013">
        <v>0</v>
      </c>
      <c r="K1013">
        <v>0</v>
      </c>
      <c r="L1013" t="str">
        <f t="shared" si="30"/>
        <v>15-4-2022</v>
      </c>
      <c r="M1013">
        <f t="shared" si="31"/>
        <v>2022</v>
      </c>
    </row>
    <row r="1014" spans="1:13" x14ac:dyDescent="0.2">
      <c r="A1014" s="1">
        <v>44662</v>
      </c>
      <c r="B1014">
        <v>15</v>
      </c>
      <c r="C1014">
        <v>4</v>
      </c>
      <c r="D1014">
        <v>2</v>
      </c>
      <c r="E1014" t="s">
        <v>44</v>
      </c>
      <c r="F1014">
        <v>0</v>
      </c>
      <c r="G1014">
        <f>INDEX(weekly!$E$2:$E$188,MATCH('Marketing Campaigns 22.11.22'!L1014,weekly!$H$2:$H$188,0))</f>
        <v>5954.9</v>
      </c>
      <c r="H1014">
        <f>INDEX(weekly!$D$2:$D$188,MATCH('Marketing Campaigns 22.11.22'!L1014,weekly!$H$2:$H$188,0))</f>
        <v>5923.8666666666659</v>
      </c>
      <c r="I1014">
        <f>INDEX(weekly!$F$2:$F$188,MATCH('Marketing Campaigns 22.11.22'!L1014,weekly!$H$2:$H$188,0))</f>
        <v>963.43333333333328</v>
      </c>
      <c r="J1014">
        <v>0</v>
      </c>
      <c r="K1014">
        <v>0</v>
      </c>
      <c r="L1014" t="str">
        <f t="shared" si="30"/>
        <v>15-4-2022</v>
      </c>
      <c r="M1014">
        <f t="shared" si="31"/>
        <v>2022</v>
      </c>
    </row>
    <row r="1015" spans="1:13" x14ac:dyDescent="0.2">
      <c r="A1015" s="1">
        <v>44662</v>
      </c>
      <c r="B1015">
        <v>15</v>
      </c>
      <c r="C1015">
        <v>4</v>
      </c>
      <c r="D1015">
        <v>2</v>
      </c>
      <c r="E1015" t="s">
        <v>45</v>
      </c>
      <c r="F1015">
        <v>0</v>
      </c>
      <c r="G1015">
        <f>INDEX(weekly!$E$2:$E$188,MATCH('Marketing Campaigns 22.11.22'!L1015,weekly!$H$2:$H$188,0))</f>
        <v>5954.9</v>
      </c>
      <c r="H1015">
        <f>INDEX(weekly!$D$2:$D$188,MATCH('Marketing Campaigns 22.11.22'!L1015,weekly!$H$2:$H$188,0))</f>
        <v>5923.8666666666659</v>
      </c>
      <c r="I1015">
        <f>INDEX(weekly!$F$2:$F$188,MATCH('Marketing Campaigns 22.11.22'!L1015,weekly!$H$2:$H$188,0))</f>
        <v>963.43333333333328</v>
      </c>
      <c r="J1015">
        <v>0</v>
      </c>
      <c r="K1015">
        <v>0</v>
      </c>
      <c r="L1015" t="str">
        <f t="shared" si="30"/>
        <v>15-4-2022</v>
      </c>
      <c r="M1015">
        <f t="shared" si="31"/>
        <v>2022</v>
      </c>
    </row>
    <row r="1016" spans="1:13" x14ac:dyDescent="0.2">
      <c r="A1016" s="1">
        <v>44662</v>
      </c>
      <c r="B1016">
        <v>15</v>
      </c>
      <c r="C1016">
        <v>4</v>
      </c>
      <c r="D1016">
        <v>2</v>
      </c>
      <c r="E1016" t="s">
        <v>46</v>
      </c>
      <c r="F1016">
        <v>0</v>
      </c>
      <c r="G1016">
        <f>INDEX(weekly!$E$2:$E$188,MATCH('Marketing Campaigns 22.11.22'!L1016,weekly!$H$2:$H$188,0))</f>
        <v>5954.9</v>
      </c>
      <c r="H1016">
        <f>INDEX(weekly!$D$2:$D$188,MATCH('Marketing Campaigns 22.11.22'!L1016,weekly!$H$2:$H$188,0))</f>
        <v>5923.8666666666659</v>
      </c>
      <c r="I1016">
        <f>INDEX(weekly!$F$2:$F$188,MATCH('Marketing Campaigns 22.11.22'!L1016,weekly!$H$2:$H$188,0))</f>
        <v>963.43333333333328</v>
      </c>
      <c r="J1016">
        <v>0</v>
      </c>
      <c r="K1016">
        <v>0</v>
      </c>
      <c r="L1016" t="str">
        <f t="shared" si="30"/>
        <v>15-4-2022</v>
      </c>
      <c r="M1016">
        <f t="shared" si="31"/>
        <v>2022</v>
      </c>
    </row>
    <row r="1017" spans="1:13" x14ac:dyDescent="0.2">
      <c r="A1017" s="1">
        <v>44662</v>
      </c>
      <c r="B1017">
        <v>15</v>
      </c>
      <c r="C1017">
        <v>4</v>
      </c>
      <c r="D1017">
        <v>2</v>
      </c>
      <c r="E1017" t="s">
        <v>47</v>
      </c>
      <c r="F1017">
        <v>0</v>
      </c>
      <c r="G1017">
        <f>INDEX(weekly!$E$2:$E$188,MATCH('Marketing Campaigns 22.11.22'!L1017,weekly!$H$2:$H$188,0))</f>
        <v>5954.9</v>
      </c>
      <c r="H1017">
        <f>INDEX(weekly!$D$2:$D$188,MATCH('Marketing Campaigns 22.11.22'!L1017,weekly!$H$2:$H$188,0))</f>
        <v>5923.8666666666659</v>
      </c>
      <c r="I1017">
        <f>INDEX(weekly!$F$2:$F$188,MATCH('Marketing Campaigns 22.11.22'!L1017,weekly!$H$2:$H$188,0))</f>
        <v>963.43333333333328</v>
      </c>
      <c r="J1017">
        <v>0</v>
      </c>
      <c r="K1017">
        <v>0</v>
      </c>
      <c r="L1017" t="str">
        <f t="shared" si="30"/>
        <v>15-4-2022</v>
      </c>
      <c r="M1017">
        <f t="shared" si="31"/>
        <v>2022</v>
      </c>
    </row>
    <row r="1018" spans="1:13" x14ac:dyDescent="0.2">
      <c r="A1018" s="1">
        <v>44662</v>
      </c>
      <c r="B1018">
        <v>15</v>
      </c>
      <c r="C1018">
        <v>4</v>
      </c>
      <c r="D1018">
        <v>2</v>
      </c>
      <c r="E1018" t="s">
        <v>48</v>
      </c>
      <c r="F1018">
        <v>0</v>
      </c>
      <c r="G1018">
        <f>INDEX(weekly!$E$2:$E$188,MATCH('Marketing Campaigns 22.11.22'!L1018,weekly!$H$2:$H$188,0))</f>
        <v>5954.9</v>
      </c>
      <c r="H1018">
        <f>INDEX(weekly!$D$2:$D$188,MATCH('Marketing Campaigns 22.11.22'!L1018,weekly!$H$2:$H$188,0))</f>
        <v>5923.8666666666659</v>
      </c>
      <c r="I1018">
        <f>INDEX(weekly!$F$2:$F$188,MATCH('Marketing Campaigns 22.11.22'!L1018,weekly!$H$2:$H$188,0))</f>
        <v>963.43333333333328</v>
      </c>
      <c r="J1018">
        <v>0</v>
      </c>
      <c r="K1018">
        <v>0</v>
      </c>
      <c r="L1018" t="str">
        <f t="shared" si="30"/>
        <v>15-4-2022</v>
      </c>
      <c r="M1018">
        <f t="shared" si="31"/>
        <v>2022</v>
      </c>
    </row>
    <row r="1019" spans="1:13" x14ac:dyDescent="0.2">
      <c r="A1019" s="1">
        <v>44662</v>
      </c>
      <c r="B1019">
        <v>15</v>
      </c>
      <c r="C1019">
        <v>4</v>
      </c>
      <c r="D1019">
        <v>2</v>
      </c>
      <c r="E1019" t="s">
        <v>49</v>
      </c>
      <c r="F1019">
        <v>0</v>
      </c>
      <c r="G1019">
        <f>INDEX(weekly!$E$2:$E$188,MATCH('Marketing Campaigns 22.11.22'!L1019,weekly!$H$2:$H$188,0))</f>
        <v>5954.9</v>
      </c>
      <c r="H1019">
        <f>INDEX(weekly!$D$2:$D$188,MATCH('Marketing Campaigns 22.11.22'!L1019,weekly!$H$2:$H$188,0))</f>
        <v>5923.8666666666659</v>
      </c>
      <c r="I1019">
        <f>INDEX(weekly!$F$2:$F$188,MATCH('Marketing Campaigns 22.11.22'!L1019,weekly!$H$2:$H$188,0))</f>
        <v>963.43333333333328</v>
      </c>
      <c r="J1019">
        <v>0</v>
      </c>
      <c r="K1019">
        <v>0</v>
      </c>
      <c r="L1019" t="str">
        <f t="shared" si="30"/>
        <v>15-4-2022</v>
      </c>
      <c r="M1019">
        <f t="shared" si="31"/>
        <v>2022</v>
      </c>
    </row>
    <row r="1020" spans="1:13" x14ac:dyDescent="0.2">
      <c r="A1020" s="1">
        <v>44662</v>
      </c>
      <c r="B1020">
        <v>15</v>
      </c>
      <c r="C1020">
        <v>4</v>
      </c>
      <c r="D1020">
        <v>2</v>
      </c>
      <c r="E1020" t="s">
        <v>50</v>
      </c>
      <c r="F1020">
        <v>0</v>
      </c>
      <c r="G1020">
        <f>INDEX(weekly!$E$2:$E$188,MATCH('Marketing Campaigns 22.11.22'!L1020,weekly!$H$2:$H$188,0))</f>
        <v>5954.9</v>
      </c>
      <c r="H1020">
        <f>INDEX(weekly!$D$2:$D$188,MATCH('Marketing Campaigns 22.11.22'!L1020,weekly!$H$2:$H$188,0))</f>
        <v>5923.8666666666659</v>
      </c>
      <c r="I1020">
        <f>INDEX(weekly!$F$2:$F$188,MATCH('Marketing Campaigns 22.11.22'!L1020,weekly!$H$2:$H$188,0))</f>
        <v>963.43333333333328</v>
      </c>
      <c r="J1020">
        <v>0</v>
      </c>
      <c r="K1020">
        <v>0</v>
      </c>
      <c r="L1020" t="str">
        <f t="shared" si="30"/>
        <v>15-4-2022</v>
      </c>
      <c r="M1020">
        <f t="shared" si="31"/>
        <v>2022</v>
      </c>
    </row>
    <row r="1021" spans="1:13" x14ac:dyDescent="0.2">
      <c r="A1021" s="1">
        <v>44662</v>
      </c>
      <c r="B1021">
        <v>15</v>
      </c>
      <c r="C1021">
        <v>4</v>
      </c>
      <c r="D1021">
        <v>2</v>
      </c>
      <c r="E1021" t="s">
        <v>51</v>
      </c>
      <c r="F1021">
        <v>0</v>
      </c>
      <c r="G1021">
        <f>INDEX(weekly!$E$2:$E$188,MATCH('Marketing Campaigns 22.11.22'!L1021,weekly!$H$2:$H$188,0))</f>
        <v>5954.9</v>
      </c>
      <c r="H1021">
        <f>INDEX(weekly!$D$2:$D$188,MATCH('Marketing Campaigns 22.11.22'!L1021,weekly!$H$2:$H$188,0))</f>
        <v>5923.8666666666659</v>
      </c>
      <c r="I1021">
        <f>INDEX(weekly!$F$2:$F$188,MATCH('Marketing Campaigns 22.11.22'!L1021,weekly!$H$2:$H$188,0))</f>
        <v>963.43333333333328</v>
      </c>
      <c r="J1021">
        <v>0</v>
      </c>
      <c r="K1021">
        <v>0</v>
      </c>
      <c r="L1021" t="str">
        <f t="shared" si="30"/>
        <v>15-4-2022</v>
      </c>
      <c r="M1021">
        <f t="shared" si="31"/>
        <v>2022</v>
      </c>
    </row>
    <row r="1022" spans="1:13" x14ac:dyDescent="0.2">
      <c r="A1022" s="1">
        <v>44662</v>
      </c>
      <c r="B1022">
        <v>15</v>
      </c>
      <c r="C1022">
        <v>4</v>
      </c>
      <c r="D1022">
        <v>2</v>
      </c>
      <c r="E1022" t="s">
        <v>52</v>
      </c>
      <c r="F1022">
        <v>0</v>
      </c>
      <c r="G1022">
        <f>INDEX(weekly!$E$2:$E$188,MATCH('Marketing Campaigns 22.11.22'!L1022,weekly!$H$2:$H$188,0))</f>
        <v>5954.9</v>
      </c>
      <c r="H1022">
        <f>INDEX(weekly!$D$2:$D$188,MATCH('Marketing Campaigns 22.11.22'!L1022,weekly!$H$2:$H$188,0))</f>
        <v>5923.8666666666659</v>
      </c>
      <c r="I1022">
        <f>INDEX(weekly!$F$2:$F$188,MATCH('Marketing Campaigns 22.11.22'!L1022,weekly!$H$2:$H$188,0))</f>
        <v>963.43333333333328</v>
      </c>
      <c r="J1022">
        <v>0</v>
      </c>
      <c r="K1022">
        <v>0</v>
      </c>
      <c r="L1022" t="str">
        <f t="shared" si="30"/>
        <v>15-4-2022</v>
      </c>
      <c r="M1022">
        <f t="shared" si="31"/>
        <v>2022</v>
      </c>
    </row>
    <row r="1023" spans="1:13" x14ac:dyDescent="0.2">
      <c r="A1023" s="1">
        <v>44669</v>
      </c>
      <c r="B1023">
        <v>16</v>
      </c>
      <c r="C1023">
        <v>4</v>
      </c>
      <c r="D1023">
        <v>2</v>
      </c>
      <c r="E1023" t="s">
        <v>24</v>
      </c>
      <c r="F1023">
        <v>0</v>
      </c>
      <c r="G1023">
        <f>INDEX(weekly!$E$2:$E$188,MATCH('Marketing Campaigns 22.11.22'!L1023,weekly!$H$2:$H$188,0))</f>
        <v>5954.9</v>
      </c>
      <c r="H1023">
        <f>INDEX(weekly!$D$2:$D$188,MATCH('Marketing Campaigns 22.11.22'!L1023,weekly!$H$2:$H$188,0))</f>
        <v>5923.8666666666659</v>
      </c>
      <c r="I1023">
        <f>INDEX(weekly!$F$2:$F$188,MATCH('Marketing Campaigns 22.11.22'!L1023,weekly!$H$2:$H$188,0))</f>
        <v>963.43333333333328</v>
      </c>
      <c r="J1023">
        <v>0</v>
      </c>
      <c r="K1023">
        <v>0</v>
      </c>
      <c r="L1023" t="str">
        <f t="shared" si="30"/>
        <v>16-4-2022</v>
      </c>
      <c r="M1023">
        <f t="shared" si="31"/>
        <v>2022</v>
      </c>
    </row>
    <row r="1024" spans="1:13" x14ac:dyDescent="0.2">
      <c r="A1024" s="1">
        <v>44669</v>
      </c>
      <c r="B1024">
        <v>16</v>
      </c>
      <c r="C1024">
        <v>4</v>
      </c>
      <c r="D1024">
        <v>2</v>
      </c>
      <c r="E1024" t="s">
        <v>39</v>
      </c>
      <c r="F1024">
        <v>0</v>
      </c>
      <c r="G1024">
        <f>INDEX(weekly!$E$2:$E$188,MATCH('Marketing Campaigns 22.11.22'!L1024,weekly!$H$2:$H$188,0))</f>
        <v>5954.9</v>
      </c>
      <c r="H1024">
        <f>INDEX(weekly!$D$2:$D$188,MATCH('Marketing Campaigns 22.11.22'!L1024,weekly!$H$2:$H$188,0))</f>
        <v>5923.8666666666659</v>
      </c>
      <c r="I1024">
        <f>INDEX(weekly!$F$2:$F$188,MATCH('Marketing Campaigns 22.11.22'!L1024,weekly!$H$2:$H$188,0))</f>
        <v>963.43333333333328</v>
      </c>
      <c r="J1024">
        <v>0</v>
      </c>
      <c r="K1024">
        <v>0</v>
      </c>
      <c r="L1024" t="str">
        <f t="shared" si="30"/>
        <v>16-4-2022</v>
      </c>
      <c r="M1024">
        <f t="shared" si="31"/>
        <v>2022</v>
      </c>
    </row>
    <row r="1025" spans="1:13" x14ac:dyDescent="0.2">
      <c r="A1025" s="1">
        <v>44669</v>
      </c>
      <c r="B1025">
        <v>16</v>
      </c>
      <c r="C1025">
        <v>4</v>
      </c>
      <c r="D1025">
        <v>2</v>
      </c>
      <c r="E1025" t="s">
        <v>40</v>
      </c>
      <c r="F1025">
        <v>0</v>
      </c>
      <c r="G1025">
        <f>INDEX(weekly!$E$2:$E$188,MATCH('Marketing Campaigns 22.11.22'!L1025,weekly!$H$2:$H$188,0))</f>
        <v>5954.9</v>
      </c>
      <c r="H1025">
        <f>INDEX(weekly!$D$2:$D$188,MATCH('Marketing Campaigns 22.11.22'!L1025,weekly!$H$2:$H$188,0))</f>
        <v>5923.8666666666659</v>
      </c>
      <c r="I1025">
        <f>INDEX(weekly!$F$2:$F$188,MATCH('Marketing Campaigns 22.11.22'!L1025,weekly!$H$2:$H$188,0))</f>
        <v>963.43333333333328</v>
      </c>
      <c r="J1025">
        <v>0</v>
      </c>
      <c r="K1025">
        <v>0</v>
      </c>
      <c r="L1025" t="str">
        <f t="shared" si="30"/>
        <v>16-4-2022</v>
      </c>
      <c r="M1025">
        <f t="shared" si="31"/>
        <v>2022</v>
      </c>
    </row>
    <row r="1026" spans="1:13" x14ac:dyDescent="0.2">
      <c r="A1026" s="1">
        <v>44669</v>
      </c>
      <c r="B1026">
        <v>16</v>
      </c>
      <c r="C1026">
        <v>4</v>
      </c>
      <c r="D1026">
        <v>2</v>
      </c>
      <c r="E1026" t="s">
        <v>41</v>
      </c>
      <c r="F1026">
        <v>0</v>
      </c>
      <c r="G1026">
        <f>INDEX(weekly!$E$2:$E$188,MATCH('Marketing Campaigns 22.11.22'!L1026,weekly!$H$2:$H$188,0))</f>
        <v>5954.9</v>
      </c>
      <c r="H1026">
        <f>INDEX(weekly!$D$2:$D$188,MATCH('Marketing Campaigns 22.11.22'!L1026,weekly!$H$2:$H$188,0))</f>
        <v>5923.8666666666659</v>
      </c>
      <c r="I1026">
        <f>INDEX(weekly!$F$2:$F$188,MATCH('Marketing Campaigns 22.11.22'!L1026,weekly!$H$2:$H$188,0))</f>
        <v>963.43333333333328</v>
      </c>
      <c r="J1026">
        <v>0</v>
      </c>
      <c r="K1026">
        <v>0</v>
      </c>
      <c r="L1026" t="str">
        <f t="shared" si="30"/>
        <v>16-4-2022</v>
      </c>
      <c r="M1026">
        <f t="shared" si="31"/>
        <v>2022</v>
      </c>
    </row>
    <row r="1027" spans="1:13" x14ac:dyDescent="0.2">
      <c r="A1027" s="1">
        <v>44669</v>
      </c>
      <c r="B1027">
        <v>16</v>
      </c>
      <c r="C1027">
        <v>4</v>
      </c>
      <c r="D1027">
        <v>2</v>
      </c>
      <c r="E1027" t="s">
        <v>42</v>
      </c>
      <c r="F1027">
        <v>0</v>
      </c>
      <c r="G1027">
        <f>INDEX(weekly!$E$2:$E$188,MATCH('Marketing Campaigns 22.11.22'!L1027,weekly!$H$2:$H$188,0))</f>
        <v>5954.9</v>
      </c>
      <c r="H1027">
        <f>INDEX(weekly!$D$2:$D$188,MATCH('Marketing Campaigns 22.11.22'!L1027,weekly!$H$2:$H$188,0))</f>
        <v>5923.8666666666659</v>
      </c>
      <c r="I1027">
        <f>INDEX(weekly!$F$2:$F$188,MATCH('Marketing Campaigns 22.11.22'!L1027,weekly!$H$2:$H$188,0))</f>
        <v>963.43333333333328</v>
      </c>
      <c r="J1027">
        <v>0</v>
      </c>
      <c r="K1027">
        <v>0</v>
      </c>
      <c r="L1027" t="str">
        <f t="shared" si="30"/>
        <v>16-4-2022</v>
      </c>
      <c r="M1027">
        <f t="shared" si="31"/>
        <v>2022</v>
      </c>
    </row>
    <row r="1028" spans="1:13" x14ac:dyDescent="0.2">
      <c r="A1028" s="1">
        <v>44669</v>
      </c>
      <c r="B1028">
        <v>16</v>
      </c>
      <c r="C1028">
        <v>4</v>
      </c>
      <c r="D1028">
        <v>2</v>
      </c>
      <c r="E1028" t="s">
        <v>43</v>
      </c>
      <c r="F1028">
        <v>0</v>
      </c>
      <c r="G1028">
        <f>INDEX(weekly!$E$2:$E$188,MATCH('Marketing Campaigns 22.11.22'!L1028,weekly!$H$2:$H$188,0))</f>
        <v>5954.9</v>
      </c>
      <c r="H1028">
        <f>INDEX(weekly!$D$2:$D$188,MATCH('Marketing Campaigns 22.11.22'!L1028,weekly!$H$2:$H$188,0))</f>
        <v>5923.8666666666659</v>
      </c>
      <c r="I1028">
        <f>INDEX(weekly!$F$2:$F$188,MATCH('Marketing Campaigns 22.11.22'!L1028,weekly!$H$2:$H$188,0))</f>
        <v>963.43333333333328</v>
      </c>
      <c r="J1028">
        <v>0</v>
      </c>
      <c r="K1028">
        <v>0</v>
      </c>
      <c r="L1028" t="str">
        <f t="shared" ref="L1028:L1091" si="32">B1028&amp;"-"&amp;C1028&amp;"-"&amp;M1028</f>
        <v>16-4-2022</v>
      </c>
      <c r="M1028">
        <f t="shared" ref="M1028:M1091" si="33">YEAR(A1028)</f>
        <v>2022</v>
      </c>
    </row>
    <row r="1029" spans="1:13" x14ac:dyDescent="0.2">
      <c r="A1029" s="1">
        <v>44669</v>
      </c>
      <c r="B1029">
        <v>16</v>
      </c>
      <c r="C1029">
        <v>4</v>
      </c>
      <c r="D1029">
        <v>2</v>
      </c>
      <c r="E1029" t="s">
        <v>44</v>
      </c>
      <c r="F1029">
        <v>0</v>
      </c>
      <c r="G1029">
        <f>INDEX(weekly!$E$2:$E$188,MATCH('Marketing Campaigns 22.11.22'!L1029,weekly!$H$2:$H$188,0))</f>
        <v>5954.9</v>
      </c>
      <c r="H1029">
        <f>INDEX(weekly!$D$2:$D$188,MATCH('Marketing Campaigns 22.11.22'!L1029,weekly!$H$2:$H$188,0))</f>
        <v>5923.8666666666659</v>
      </c>
      <c r="I1029">
        <f>INDEX(weekly!$F$2:$F$188,MATCH('Marketing Campaigns 22.11.22'!L1029,weekly!$H$2:$H$188,0))</f>
        <v>963.43333333333328</v>
      </c>
      <c r="J1029">
        <v>0</v>
      </c>
      <c r="K1029">
        <v>0</v>
      </c>
      <c r="L1029" t="str">
        <f t="shared" si="32"/>
        <v>16-4-2022</v>
      </c>
      <c r="M1029">
        <f t="shared" si="33"/>
        <v>2022</v>
      </c>
    </row>
    <row r="1030" spans="1:13" x14ac:dyDescent="0.2">
      <c r="A1030" s="1">
        <v>44669</v>
      </c>
      <c r="B1030">
        <v>16</v>
      </c>
      <c r="C1030">
        <v>4</v>
      </c>
      <c r="D1030">
        <v>2</v>
      </c>
      <c r="E1030" t="s">
        <v>45</v>
      </c>
      <c r="F1030">
        <v>0</v>
      </c>
      <c r="G1030">
        <f>INDEX(weekly!$E$2:$E$188,MATCH('Marketing Campaigns 22.11.22'!L1030,weekly!$H$2:$H$188,0))</f>
        <v>5954.9</v>
      </c>
      <c r="H1030">
        <f>INDEX(weekly!$D$2:$D$188,MATCH('Marketing Campaigns 22.11.22'!L1030,weekly!$H$2:$H$188,0))</f>
        <v>5923.8666666666659</v>
      </c>
      <c r="I1030">
        <f>INDEX(weekly!$F$2:$F$188,MATCH('Marketing Campaigns 22.11.22'!L1030,weekly!$H$2:$H$188,0))</f>
        <v>963.43333333333328</v>
      </c>
      <c r="J1030">
        <v>0</v>
      </c>
      <c r="K1030">
        <v>0</v>
      </c>
      <c r="L1030" t="str">
        <f t="shared" si="32"/>
        <v>16-4-2022</v>
      </c>
      <c r="M1030">
        <f t="shared" si="33"/>
        <v>2022</v>
      </c>
    </row>
    <row r="1031" spans="1:13" x14ac:dyDescent="0.2">
      <c r="A1031" s="1">
        <v>44669</v>
      </c>
      <c r="B1031">
        <v>16</v>
      </c>
      <c r="C1031">
        <v>4</v>
      </c>
      <c r="D1031">
        <v>2</v>
      </c>
      <c r="E1031" t="s">
        <v>46</v>
      </c>
      <c r="F1031">
        <v>0</v>
      </c>
      <c r="G1031">
        <f>INDEX(weekly!$E$2:$E$188,MATCH('Marketing Campaigns 22.11.22'!L1031,weekly!$H$2:$H$188,0))</f>
        <v>5954.9</v>
      </c>
      <c r="H1031">
        <f>INDEX(weekly!$D$2:$D$188,MATCH('Marketing Campaigns 22.11.22'!L1031,weekly!$H$2:$H$188,0))</f>
        <v>5923.8666666666659</v>
      </c>
      <c r="I1031">
        <f>INDEX(weekly!$F$2:$F$188,MATCH('Marketing Campaigns 22.11.22'!L1031,weekly!$H$2:$H$188,0))</f>
        <v>963.43333333333328</v>
      </c>
      <c r="J1031">
        <v>0</v>
      </c>
      <c r="K1031">
        <v>0</v>
      </c>
      <c r="L1031" t="str">
        <f t="shared" si="32"/>
        <v>16-4-2022</v>
      </c>
      <c r="M1031">
        <f t="shared" si="33"/>
        <v>2022</v>
      </c>
    </row>
    <row r="1032" spans="1:13" x14ac:dyDescent="0.2">
      <c r="A1032" s="1">
        <v>44669</v>
      </c>
      <c r="B1032">
        <v>16</v>
      </c>
      <c r="C1032">
        <v>4</v>
      </c>
      <c r="D1032">
        <v>2</v>
      </c>
      <c r="E1032" t="s">
        <v>47</v>
      </c>
      <c r="F1032">
        <v>0</v>
      </c>
      <c r="G1032">
        <f>INDEX(weekly!$E$2:$E$188,MATCH('Marketing Campaigns 22.11.22'!L1032,weekly!$H$2:$H$188,0))</f>
        <v>5954.9</v>
      </c>
      <c r="H1032">
        <f>INDEX(weekly!$D$2:$D$188,MATCH('Marketing Campaigns 22.11.22'!L1032,weekly!$H$2:$H$188,0))</f>
        <v>5923.8666666666659</v>
      </c>
      <c r="I1032">
        <f>INDEX(weekly!$F$2:$F$188,MATCH('Marketing Campaigns 22.11.22'!L1032,weekly!$H$2:$H$188,0))</f>
        <v>963.43333333333328</v>
      </c>
      <c r="J1032">
        <v>0</v>
      </c>
      <c r="K1032">
        <v>0</v>
      </c>
      <c r="L1032" t="str">
        <f t="shared" si="32"/>
        <v>16-4-2022</v>
      </c>
      <c r="M1032">
        <f t="shared" si="33"/>
        <v>2022</v>
      </c>
    </row>
    <row r="1033" spans="1:13" x14ac:dyDescent="0.2">
      <c r="A1033" s="1">
        <v>44669</v>
      </c>
      <c r="B1033">
        <v>16</v>
      </c>
      <c r="C1033">
        <v>4</v>
      </c>
      <c r="D1033">
        <v>2</v>
      </c>
      <c r="E1033" t="s">
        <v>48</v>
      </c>
      <c r="F1033">
        <v>0</v>
      </c>
      <c r="G1033">
        <f>INDEX(weekly!$E$2:$E$188,MATCH('Marketing Campaigns 22.11.22'!L1033,weekly!$H$2:$H$188,0))</f>
        <v>5954.9</v>
      </c>
      <c r="H1033">
        <f>INDEX(weekly!$D$2:$D$188,MATCH('Marketing Campaigns 22.11.22'!L1033,weekly!$H$2:$H$188,0))</f>
        <v>5923.8666666666659</v>
      </c>
      <c r="I1033">
        <f>INDEX(weekly!$F$2:$F$188,MATCH('Marketing Campaigns 22.11.22'!L1033,weekly!$H$2:$H$188,0))</f>
        <v>963.43333333333328</v>
      </c>
      <c r="J1033">
        <v>0</v>
      </c>
      <c r="K1033">
        <v>0</v>
      </c>
      <c r="L1033" t="str">
        <f t="shared" si="32"/>
        <v>16-4-2022</v>
      </c>
      <c r="M1033">
        <f t="shared" si="33"/>
        <v>2022</v>
      </c>
    </row>
    <row r="1034" spans="1:13" x14ac:dyDescent="0.2">
      <c r="A1034" s="1">
        <v>44669</v>
      </c>
      <c r="B1034">
        <v>16</v>
      </c>
      <c r="C1034">
        <v>4</v>
      </c>
      <c r="D1034">
        <v>2</v>
      </c>
      <c r="E1034" t="s">
        <v>49</v>
      </c>
      <c r="F1034">
        <v>0</v>
      </c>
      <c r="G1034">
        <f>INDEX(weekly!$E$2:$E$188,MATCH('Marketing Campaigns 22.11.22'!L1034,weekly!$H$2:$H$188,0))</f>
        <v>5954.9</v>
      </c>
      <c r="H1034">
        <f>INDEX(weekly!$D$2:$D$188,MATCH('Marketing Campaigns 22.11.22'!L1034,weekly!$H$2:$H$188,0))</f>
        <v>5923.8666666666659</v>
      </c>
      <c r="I1034">
        <f>INDEX(weekly!$F$2:$F$188,MATCH('Marketing Campaigns 22.11.22'!L1034,weekly!$H$2:$H$188,0))</f>
        <v>963.43333333333328</v>
      </c>
      <c r="J1034">
        <v>0</v>
      </c>
      <c r="K1034">
        <v>0</v>
      </c>
      <c r="L1034" t="str">
        <f t="shared" si="32"/>
        <v>16-4-2022</v>
      </c>
      <c r="M1034">
        <f t="shared" si="33"/>
        <v>2022</v>
      </c>
    </row>
    <row r="1035" spans="1:13" x14ac:dyDescent="0.2">
      <c r="A1035" s="1">
        <v>44669</v>
      </c>
      <c r="B1035">
        <v>16</v>
      </c>
      <c r="C1035">
        <v>4</v>
      </c>
      <c r="D1035">
        <v>2</v>
      </c>
      <c r="E1035" t="s">
        <v>50</v>
      </c>
      <c r="F1035">
        <v>0</v>
      </c>
      <c r="G1035">
        <f>INDEX(weekly!$E$2:$E$188,MATCH('Marketing Campaigns 22.11.22'!L1035,weekly!$H$2:$H$188,0))</f>
        <v>5954.9</v>
      </c>
      <c r="H1035">
        <f>INDEX(weekly!$D$2:$D$188,MATCH('Marketing Campaigns 22.11.22'!L1035,weekly!$H$2:$H$188,0))</f>
        <v>5923.8666666666659</v>
      </c>
      <c r="I1035">
        <f>INDEX(weekly!$F$2:$F$188,MATCH('Marketing Campaigns 22.11.22'!L1035,weekly!$H$2:$H$188,0))</f>
        <v>963.43333333333328</v>
      </c>
      <c r="J1035">
        <v>0</v>
      </c>
      <c r="K1035">
        <v>0</v>
      </c>
      <c r="L1035" t="str">
        <f t="shared" si="32"/>
        <v>16-4-2022</v>
      </c>
      <c r="M1035">
        <f t="shared" si="33"/>
        <v>2022</v>
      </c>
    </row>
    <row r="1036" spans="1:13" x14ac:dyDescent="0.2">
      <c r="A1036" s="1">
        <v>44669</v>
      </c>
      <c r="B1036">
        <v>16</v>
      </c>
      <c r="C1036">
        <v>4</v>
      </c>
      <c r="D1036">
        <v>2</v>
      </c>
      <c r="E1036" t="s">
        <v>51</v>
      </c>
      <c r="F1036">
        <v>0</v>
      </c>
      <c r="G1036">
        <f>INDEX(weekly!$E$2:$E$188,MATCH('Marketing Campaigns 22.11.22'!L1036,weekly!$H$2:$H$188,0))</f>
        <v>5954.9</v>
      </c>
      <c r="H1036">
        <f>INDEX(weekly!$D$2:$D$188,MATCH('Marketing Campaigns 22.11.22'!L1036,weekly!$H$2:$H$188,0))</f>
        <v>5923.8666666666659</v>
      </c>
      <c r="I1036">
        <f>INDEX(weekly!$F$2:$F$188,MATCH('Marketing Campaigns 22.11.22'!L1036,weekly!$H$2:$H$188,0))</f>
        <v>963.43333333333328</v>
      </c>
      <c r="J1036">
        <v>0</v>
      </c>
      <c r="K1036">
        <v>0</v>
      </c>
      <c r="L1036" t="str">
        <f t="shared" si="32"/>
        <v>16-4-2022</v>
      </c>
      <c r="M1036">
        <f t="shared" si="33"/>
        <v>2022</v>
      </c>
    </row>
    <row r="1037" spans="1:13" x14ac:dyDescent="0.2">
      <c r="A1037" s="1">
        <v>44669</v>
      </c>
      <c r="B1037">
        <v>16</v>
      </c>
      <c r="C1037">
        <v>4</v>
      </c>
      <c r="D1037">
        <v>2</v>
      </c>
      <c r="E1037" t="s">
        <v>52</v>
      </c>
      <c r="F1037">
        <v>0</v>
      </c>
      <c r="G1037">
        <f>INDEX(weekly!$E$2:$E$188,MATCH('Marketing Campaigns 22.11.22'!L1037,weekly!$H$2:$H$188,0))</f>
        <v>5954.9</v>
      </c>
      <c r="H1037">
        <f>INDEX(weekly!$D$2:$D$188,MATCH('Marketing Campaigns 22.11.22'!L1037,weekly!$H$2:$H$188,0))</f>
        <v>5923.8666666666659</v>
      </c>
      <c r="I1037">
        <f>INDEX(weekly!$F$2:$F$188,MATCH('Marketing Campaigns 22.11.22'!L1037,weekly!$H$2:$H$188,0))</f>
        <v>963.43333333333328</v>
      </c>
      <c r="J1037">
        <v>0</v>
      </c>
      <c r="K1037">
        <v>0</v>
      </c>
      <c r="L1037" t="str">
        <f t="shared" si="32"/>
        <v>16-4-2022</v>
      </c>
      <c r="M1037">
        <f t="shared" si="33"/>
        <v>2022</v>
      </c>
    </row>
    <row r="1038" spans="1:13" x14ac:dyDescent="0.2">
      <c r="A1038" s="1">
        <v>44676</v>
      </c>
      <c r="B1038">
        <v>17</v>
      </c>
      <c r="C1038">
        <v>4</v>
      </c>
      <c r="D1038">
        <v>2</v>
      </c>
      <c r="E1038" t="s">
        <v>24</v>
      </c>
      <c r="F1038">
        <v>0</v>
      </c>
      <c r="G1038">
        <f>INDEX(weekly!$E$2:$E$188,MATCH('Marketing Campaigns 22.11.22'!L1038,weekly!$H$2:$H$188,0))</f>
        <v>5104.2</v>
      </c>
      <c r="H1038">
        <f>INDEX(weekly!$D$2:$D$188,MATCH('Marketing Campaigns 22.11.22'!L1038,weekly!$H$2:$H$188,0))</f>
        <v>5077.5999999999995</v>
      </c>
      <c r="I1038">
        <f>INDEX(weekly!$F$2:$F$188,MATCH('Marketing Campaigns 22.11.22'!L1038,weekly!$H$2:$H$188,0))</f>
        <v>825.8</v>
      </c>
      <c r="J1038">
        <v>0</v>
      </c>
      <c r="K1038">
        <v>0</v>
      </c>
      <c r="L1038" t="str">
        <f t="shared" si="32"/>
        <v>17-4-2022</v>
      </c>
      <c r="M1038">
        <f t="shared" si="33"/>
        <v>2022</v>
      </c>
    </row>
    <row r="1039" spans="1:13" x14ac:dyDescent="0.2">
      <c r="A1039" s="1">
        <v>44676</v>
      </c>
      <c r="B1039">
        <v>17</v>
      </c>
      <c r="C1039">
        <v>4</v>
      </c>
      <c r="D1039">
        <v>2</v>
      </c>
      <c r="E1039" t="s">
        <v>39</v>
      </c>
      <c r="F1039">
        <v>0</v>
      </c>
      <c r="G1039">
        <f>INDEX(weekly!$E$2:$E$188,MATCH('Marketing Campaigns 22.11.22'!L1039,weekly!$H$2:$H$188,0))</f>
        <v>5104.2</v>
      </c>
      <c r="H1039">
        <f>INDEX(weekly!$D$2:$D$188,MATCH('Marketing Campaigns 22.11.22'!L1039,weekly!$H$2:$H$188,0))</f>
        <v>5077.5999999999995</v>
      </c>
      <c r="I1039">
        <f>INDEX(weekly!$F$2:$F$188,MATCH('Marketing Campaigns 22.11.22'!L1039,weekly!$H$2:$H$188,0))</f>
        <v>825.8</v>
      </c>
      <c r="J1039">
        <v>0</v>
      </c>
      <c r="K1039">
        <v>0</v>
      </c>
      <c r="L1039" t="str">
        <f t="shared" si="32"/>
        <v>17-4-2022</v>
      </c>
      <c r="M1039">
        <f t="shared" si="33"/>
        <v>2022</v>
      </c>
    </row>
    <row r="1040" spans="1:13" x14ac:dyDescent="0.2">
      <c r="A1040" s="1">
        <v>44676</v>
      </c>
      <c r="B1040">
        <v>17</v>
      </c>
      <c r="C1040">
        <v>4</v>
      </c>
      <c r="D1040">
        <v>2</v>
      </c>
      <c r="E1040" t="s">
        <v>40</v>
      </c>
      <c r="F1040">
        <v>0</v>
      </c>
      <c r="G1040">
        <f>INDEX(weekly!$E$2:$E$188,MATCH('Marketing Campaigns 22.11.22'!L1040,weekly!$H$2:$H$188,0))</f>
        <v>5104.2</v>
      </c>
      <c r="H1040">
        <f>INDEX(weekly!$D$2:$D$188,MATCH('Marketing Campaigns 22.11.22'!L1040,weekly!$H$2:$H$188,0))</f>
        <v>5077.5999999999995</v>
      </c>
      <c r="I1040">
        <f>INDEX(weekly!$F$2:$F$188,MATCH('Marketing Campaigns 22.11.22'!L1040,weekly!$H$2:$H$188,0))</f>
        <v>825.8</v>
      </c>
      <c r="J1040">
        <v>0</v>
      </c>
      <c r="K1040">
        <v>0</v>
      </c>
      <c r="L1040" t="str">
        <f t="shared" si="32"/>
        <v>17-4-2022</v>
      </c>
      <c r="M1040">
        <f t="shared" si="33"/>
        <v>2022</v>
      </c>
    </row>
    <row r="1041" spans="1:13" x14ac:dyDescent="0.2">
      <c r="A1041" s="1">
        <v>44676</v>
      </c>
      <c r="B1041">
        <v>17</v>
      </c>
      <c r="C1041">
        <v>4</v>
      </c>
      <c r="D1041">
        <v>2</v>
      </c>
      <c r="E1041" t="s">
        <v>41</v>
      </c>
      <c r="F1041">
        <v>0</v>
      </c>
      <c r="G1041">
        <f>INDEX(weekly!$E$2:$E$188,MATCH('Marketing Campaigns 22.11.22'!L1041,weekly!$H$2:$H$188,0))</f>
        <v>5104.2</v>
      </c>
      <c r="H1041">
        <f>INDEX(weekly!$D$2:$D$188,MATCH('Marketing Campaigns 22.11.22'!L1041,weekly!$H$2:$H$188,0))</f>
        <v>5077.5999999999995</v>
      </c>
      <c r="I1041">
        <f>INDEX(weekly!$F$2:$F$188,MATCH('Marketing Campaigns 22.11.22'!L1041,weekly!$H$2:$H$188,0))</f>
        <v>825.8</v>
      </c>
      <c r="J1041">
        <v>0</v>
      </c>
      <c r="K1041">
        <v>0</v>
      </c>
      <c r="L1041" t="str">
        <f t="shared" si="32"/>
        <v>17-4-2022</v>
      </c>
      <c r="M1041">
        <f t="shared" si="33"/>
        <v>2022</v>
      </c>
    </row>
    <row r="1042" spans="1:13" x14ac:dyDescent="0.2">
      <c r="A1042" s="1">
        <v>44676</v>
      </c>
      <c r="B1042">
        <v>17</v>
      </c>
      <c r="C1042">
        <v>4</v>
      </c>
      <c r="D1042">
        <v>2</v>
      </c>
      <c r="E1042" t="s">
        <v>42</v>
      </c>
      <c r="F1042">
        <v>0</v>
      </c>
      <c r="G1042">
        <f>INDEX(weekly!$E$2:$E$188,MATCH('Marketing Campaigns 22.11.22'!L1042,weekly!$H$2:$H$188,0))</f>
        <v>5104.2</v>
      </c>
      <c r="H1042">
        <f>INDEX(weekly!$D$2:$D$188,MATCH('Marketing Campaigns 22.11.22'!L1042,weekly!$H$2:$H$188,0))</f>
        <v>5077.5999999999995</v>
      </c>
      <c r="I1042">
        <f>INDEX(weekly!$F$2:$F$188,MATCH('Marketing Campaigns 22.11.22'!L1042,weekly!$H$2:$H$188,0))</f>
        <v>825.8</v>
      </c>
      <c r="J1042">
        <v>0</v>
      </c>
      <c r="K1042">
        <v>0</v>
      </c>
      <c r="L1042" t="str">
        <f t="shared" si="32"/>
        <v>17-4-2022</v>
      </c>
      <c r="M1042">
        <f t="shared" si="33"/>
        <v>2022</v>
      </c>
    </row>
    <row r="1043" spans="1:13" x14ac:dyDescent="0.2">
      <c r="A1043" s="1">
        <v>44676</v>
      </c>
      <c r="B1043">
        <v>17</v>
      </c>
      <c r="C1043">
        <v>4</v>
      </c>
      <c r="D1043">
        <v>2</v>
      </c>
      <c r="E1043" t="s">
        <v>43</v>
      </c>
      <c r="F1043">
        <v>0</v>
      </c>
      <c r="G1043">
        <f>INDEX(weekly!$E$2:$E$188,MATCH('Marketing Campaigns 22.11.22'!L1043,weekly!$H$2:$H$188,0))</f>
        <v>5104.2</v>
      </c>
      <c r="H1043">
        <f>INDEX(weekly!$D$2:$D$188,MATCH('Marketing Campaigns 22.11.22'!L1043,weekly!$H$2:$H$188,0))</f>
        <v>5077.5999999999995</v>
      </c>
      <c r="I1043">
        <f>INDEX(weekly!$F$2:$F$188,MATCH('Marketing Campaigns 22.11.22'!L1043,weekly!$H$2:$H$188,0))</f>
        <v>825.8</v>
      </c>
      <c r="J1043">
        <v>0</v>
      </c>
      <c r="K1043">
        <v>0</v>
      </c>
      <c r="L1043" t="str">
        <f t="shared" si="32"/>
        <v>17-4-2022</v>
      </c>
      <c r="M1043">
        <f t="shared" si="33"/>
        <v>2022</v>
      </c>
    </row>
    <row r="1044" spans="1:13" x14ac:dyDescent="0.2">
      <c r="A1044" s="1">
        <v>44676</v>
      </c>
      <c r="B1044">
        <v>17</v>
      </c>
      <c r="C1044">
        <v>4</v>
      </c>
      <c r="D1044">
        <v>2</v>
      </c>
      <c r="E1044" t="s">
        <v>44</v>
      </c>
      <c r="F1044">
        <v>0</v>
      </c>
      <c r="G1044">
        <f>INDEX(weekly!$E$2:$E$188,MATCH('Marketing Campaigns 22.11.22'!L1044,weekly!$H$2:$H$188,0))</f>
        <v>5104.2</v>
      </c>
      <c r="H1044">
        <f>INDEX(weekly!$D$2:$D$188,MATCH('Marketing Campaigns 22.11.22'!L1044,weekly!$H$2:$H$188,0))</f>
        <v>5077.5999999999995</v>
      </c>
      <c r="I1044">
        <f>INDEX(weekly!$F$2:$F$188,MATCH('Marketing Campaigns 22.11.22'!L1044,weekly!$H$2:$H$188,0))</f>
        <v>825.8</v>
      </c>
      <c r="J1044">
        <v>0</v>
      </c>
      <c r="K1044">
        <v>0</v>
      </c>
      <c r="L1044" t="str">
        <f t="shared" si="32"/>
        <v>17-4-2022</v>
      </c>
      <c r="M1044">
        <f t="shared" si="33"/>
        <v>2022</v>
      </c>
    </row>
    <row r="1045" spans="1:13" x14ac:dyDescent="0.2">
      <c r="A1045" s="1">
        <v>44676</v>
      </c>
      <c r="B1045">
        <v>17</v>
      </c>
      <c r="C1045">
        <v>4</v>
      </c>
      <c r="D1045">
        <v>2</v>
      </c>
      <c r="E1045" t="s">
        <v>45</v>
      </c>
      <c r="F1045">
        <v>0</v>
      </c>
      <c r="G1045">
        <f>INDEX(weekly!$E$2:$E$188,MATCH('Marketing Campaigns 22.11.22'!L1045,weekly!$H$2:$H$188,0))</f>
        <v>5104.2</v>
      </c>
      <c r="H1045">
        <f>INDEX(weekly!$D$2:$D$188,MATCH('Marketing Campaigns 22.11.22'!L1045,weekly!$H$2:$H$188,0))</f>
        <v>5077.5999999999995</v>
      </c>
      <c r="I1045">
        <f>INDEX(weekly!$F$2:$F$188,MATCH('Marketing Campaigns 22.11.22'!L1045,weekly!$H$2:$H$188,0))</f>
        <v>825.8</v>
      </c>
      <c r="J1045">
        <v>0</v>
      </c>
      <c r="K1045">
        <v>0</v>
      </c>
      <c r="L1045" t="str">
        <f t="shared" si="32"/>
        <v>17-4-2022</v>
      </c>
      <c r="M1045">
        <f t="shared" si="33"/>
        <v>2022</v>
      </c>
    </row>
    <row r="1046" spans="1:13" x14ac:dyDescent="0.2">
      <c r="A1046" s="1">
        <v>44676</v>
      </c>
      <c r="B1046">
        <v>17</v>
      </c>
      <c r="C1046">
        <v>4</v>
      </c>
      <c r="D1046">
        <v>2</v>
      </c>
      <c r="E1046" t="s">
        <v>46</v>
      </c>
      <c r="F1046">
        <v>0</v>
      </c>
      <c r="G1046">
        <f>INDEX(weekly!$E$2:$E$188,MATCH('Marketing Campaigns 22.11.22'!L1046,weekly!$H$2:$H$188,0))</f>
        <v>5104.2</v>
      </c>
      <c r="H1046">
        <f>INDEX(weekly!$D$2:$D$188,MATCH('Marketing Campaigns 22.11.22'!L1046,weekly!$H$2:$H$188,0))</f>
        <v>5077.5999999999995</v>
      </c>
      <c r="I1046">
        <f>INDEX(weekly!$F$2:$F$188,MATCH('Marketing Campaigns 22.11.22'!L1046,weekly!$H$2:$H$188,0))</f>
        <v>825.8</v>
      </c>
      <c r="J1046">
        <v>0</v>
      </c>
      <c r="K1046">
        <v>0</v>
      </c>
      <c r="L1046" t="str">
        <f t="shared" si="32"/>
        <v>17-4-2022</v>
      </c>
      <c r="M1046">
        <f t="shared" si="33"/>
        <v>2022</v>
      </c>
    </row>
    <row r="1047" spans="1:13" x14ac:dyDescent="0.2">
      <c r="A1047" s="1">
        <v>44676</v>
      </c>
      <c r="B1047">
        <v>17</v>
      </c>
      <c r="C1047">
        <v>4</v>
      </c>
      <c r="D1047">
        <v>2</v>
      </c>
      <c r="E1047" t="s">
        <v>47</v>
      </c>
      <c r="F1047">
        <v>0</v>
      </c>
      <c r="G1047">
        <f>INDEX(weekly!$E$2:$E$188,MATCH('Marketing Campaigns 22.11.22'!L1047,weekly!$H$2:$H$188,0))</f>
        <v>5104.2</v>
      </c>
      <c r="H1047">
        <f>INDEX(weekly!$D$2:$D$188,MATCH('Marketing Campaigns 22.11.22'!L1047,weekly!$H$2:$H$188,0))</f>
        <v>5077.5999999999995</v>
      </c>
      <c r="I1047">
        <f>INDEX(weekly!$F$2:$F$188,MATCH('Marketing Campaigns 22.11.22'!L1047,weekly!$H$2:$H$188,0))</f>
        <v>825.8</v>
      </c>
      <c r="J1047">
        <v>0</v>
      </c>
      <c r="K1047">
        <v>0</v>
      </c>
      <c r="L1047" t="str">
        <f t="shared" si="32"/>
        <v>17-4-2022</v>
      </c>
      <c r="M1047">
        <f t="shared" si="33"/>
        <v>2022</v>
      </c>
    </row>
    <row r="1048" spans="1:13" x14ac:dyDescent="0.2">
      <c r="A1048" s="1">
        <v>44676</v>
      </c>
      <c r="B1048">
        <v>17</v>
      </c>
      <c r="C1048">
        <v>4</v>
      </c>
      <c r="D1048">
        <v>2</v>
      </c>
      <c r="E1048" t="s">
        <v>48</v>
      </c>
      <c r="F1048">
        <v>0</v>
      </c>
      <c r="G1048">
        <f>INDEX(weekly!$E$2:$E$188,MATCH('Marketing Campaigns 22.11.22'!L1048,weekly!$H$2:$H$188,0))</f>
        <v>5104.2</v>
      </c>
      <c r="H1048">
        <f>INDEX(weekly!$D$2:$D$188,MATCH('Marketing Campaigns 22.11.22'!L1048,weekly!$H$2:$H$188,0))</f>
        <v>5077.5999999999995</v>
      </c>
      <c r="I1048">
        <f>INDEX(weekly!$F$2:$F$188,MATCH('Marketing Campaigns 22.11.22'!L1048,weekly!$H$2:$H$188,0))</f>
        <v>825.8</v>
      </c>
      <c r="J1048">
        <v>0</v>
      </c>
      <c r="K1048">
        <v>0</v>
      </c>
      <c r="L1048" t="str">
        <f t="shared" si="32"/>
        <v>17-4-2022</v>
      </c>
      <c r="M1048">
        <f t="shared" si="33"/>
        <v>2022</v>
      </c>
    </row>
    <row r="1049" spans="1:13" x14ac:dyDescent="0.2">
      <c r="A1049" s="1">
        <v>44676</v>
      </c>
      <c r="B1049">
        <v>17</v>
      </c>
      <c r="C1049">
        <v>4</v>
      </c>
      <c r="D1049">
        <v>2</v>
      </c>
      <c r="E1049" t="s">
        <v>49</v>
      </c>
      <c r="F1049">
        <v>0</v>
      </c>
      <c r="G1049">
        <f>INDEX(weekly!$E$2:$E$188,MATCH('Marketing Campaigns 22.11.22'!L1049,weekly!$H$2:$H$188,0))</f>
        <v>5104.2</v>
      </c>
      <c r="H1049">
        <f>INDEX(weekly!$D$2:$D$188,MATCH('Marketing Campaigns 22.11.22'!L1049,weekly!$H$2:$H$188,0))</f>
        <v>5077.5999999999995</v>
      </c>
      <c r="I1049">
        <f>INDEX(weekly!$F$2:$F$188,MATCH('Marketing Campaigns 22.11.22'!L1049,weekly!$H$2:$H$188,0))</f>
        <v>825.8</v>
      </c>
      <c r="J1049">
        <v>0</v>
      </c>
      <c r="K1049">
        <v>0</v>
      </c>
      <c r="L1049" t="str">
        <f t="shared" si="32"/>
        <v>17-4-2022</v>
      </c>
      <c r="M1049">
        <f t="shared" si="33"/>
        <v>2022</v>
      </c>
    </row>
    <row r="1050" spans="1:13" x14ac:dyDescent="0.2">
      <c r="A1050" s="1">
        <v>44676</v>
      </c>
      <c r="B1050">
        <v>17</v>
      </c>
      <c r="C1050">
        <v>4</v>
      </c>
      <c r="D1050">
        <v>2</v>
      </c>
      <c r="E1050" t="s">
        <v>50</v>
      </c>
      <c r="F1050">
        <v>0</v>
      </c>
      <c r="G1050">
        <f>INDEX(weekly!$E$2:$E$188,MATCH('Marketing Campaigns 22.11.22'!L1050,weekly!$H$2:$H$188,0))</f>
        <v>5104.2</v>
      </c>
      <c r="H1050">
        <f>INDEX(weekly!$D$2:$D$188,MATCH('Marketing Campaigns 22.11.22'!L1050,weekly!$H$2:$H$188,0))</f>
        <v>5077.5999999999995</v>
      </c>
      <c r="I1050">
        <f>INDEX(weekly!$F$2:$F$188,MATCH('Marketing Campaigns 22.11.22'!L1050,weekly!$H$2:$H$188,0))</f>
        <v>825.8</v>
      </c>
      <c r="J1050">
        <v>0</v>
      </c>
      <c r="K1050">
        <v>0</v>
      </c>
      <c r="L1050" t="str">
        <f t="shared" si="32"/>
        <v>17-4-2022</v>
      </c>
      <c r="M1050">
        <f t="shared" si="33"/>
        <v>2022</v>
      </c>
    </row>
    <row r="1051" spans="1:13" x14ac:dyDescent="0.2">
      <c r="A1051" s="1">
        <v>44676</v>
      </c>
      <c r="B1051">
        <v>17</v>
      </c>
      <c r="C1051">
        <v>4</v>
      </c>
      <c r="D1051">
        <v>2</v>
      </c>
      <c r="E1051" t="s">
        <v>51</v>
      </c>
      <c r="F1051">
        <v>0</v>
      </c>
      <c r="G1051">
        <f>INDEX(weekly!$E$2:$E$188,MATCH('Marketing Campaigns 22.11.22'!L1051,weekly!$H$2:$H$188,0))</f>
        <v>5104.2</v>
      </c>
      <c r="H1051">
        <f>INDEX(weekly!$D$2:$D$188,MATCH('Marketing Campaigns 22.11.22'!L1051,weekly!$H$2:$H$188,0))</f>
        <v>5077.5999999999995</v>
      </c>
      <c r="I1051">
        <f>INDEX(weekly!$F$2:$F$188,MATCH('Marketing Campaigns 22.11.22'!L1051,weekly!$H$2:$H$188,0))</f>
        <v>825.8</v>
      </c>
      <c r="J1051">
        <v>0</v>
      </c>
      <c r="K1051">
        <v>0</v>
      </c>
      <c r="L1051" t="str">
        <f t="shared" si="32"/>
        <v>17-4-2022</v>
      </c>
      <c r="M1051">
        <f t="shared" si="33"/>
        <v>2022</v>
      </c>
    </row>
    <row r="1052" spans="1:13" x14ac:dyDescent="0.2">
      <c r="A1052" s="1">
        <v>44676</v>
      </c>
      <c r="B1052">
        <v>17</v>
      </c>
      <c r="C1052">
        <v>4</v>
      </c>
      <c r="D1052">
        <v>2</v>
      </c>
      <c r="E1052" t="s">
        <v>52</v>
      </c>
      <c r="F1052">
        <v>0</v>
      </c>
      <c r="G1052">
        <f>INDEX(weekly!$E$2:$E$188,MATCH('Marketing Campaigns 22.11.22'!L1052,weekly!$H$2:$H$188,0))</f>
        <v>5104.2</v>
      </c>
      <c r="H1052">
        <f>INDEX(weekly!$D$2:$D$188,MATCH('Marketing Campaigns 22.11.22'!L1052,weekly!$H$2:$H$188,0))</f>
        <v>5077.5999999999995</v>
      </c>
      <c r="I1052">
        <f>INDEX(weekly!$F$2:$F$188,MATCH('Marketing Campaigns 22.11.22'!L1052,weekly!$H$2:$H$188,0))</f>
        <v>825.8</v>
      </c>
      <c r="J1052">
        <v>0</v>
      </c>
      <c r="K1052">
        <v>0</v>
      </c>
      <c r="L1052" t="str">
        <f t="shared" si="32"/>
        <v>17-4-2022</v>
      </c>
      <c r="M1052">
        <f t="shared" si="33"/>
        <v>2022</v>
      </c>
    </row>
    <row r="1053" spans="1:13" x14ac:dyDescent="0.2">
      <c r="A1053" s="1">
        <v>44683</v>
      </c>
      <c r="B1053">
        <v>18</v>
      </c>
      <c r="C1053">
        <v>5</v>
      </c>
      <c r="D1053">
        <v>2</v>
      </c>
      <c r="E1053" t="s">
        <v>24</v>
      </c>
      <c r="F1053">
        <v>0</v>
      </c>
      <c r="G1053">
        <f>INDEX(weekly!$E$2:$E$188,MATCH('Marketing Campaigns 22.11.22'!L1053,weekly!$H$2:$H$188,0))</f>
        <v>6599.4193548387102</v>
      </c>
      <c r="H1053">
        <f>INDEX(weekly!$D$2:$D$188,MATCH('Marketing Campaigns 22.11.22'!L1053,weekly!$H$2:$H$188,0))</f>
        <v>8225</v>
      </c>
      <c r="I1053">
        <f>INDEX(weekly!$F$2:$F$188,MATCH('Marketing Campaigns 22.11.22'!L1053,weekly!$H$2:$H$188,0))</f>
        <v>4411.3548387096771</v>
      </c>
      <c r="J1053">
        <v>0</v>
      </c>
      <c r="K1053">
        <v>0</v>
      </c>
      <c r="L1053" t="str">
        <f t="shared" si="32"/>
        <v>18-5-2022</v>
      </c>
      <c r="M1053">
        <f t="shared" si="33"/>
        <v>2022</v>
      </c>
    </row>
    <row r="1054" spans="1:13" x14ac:dyDescent="0.2">
      <c r="A1054" s="1">
        <v>44683</v>
      </c>
      <c r="B1054">
        <v>18</v>
      </c>
      <c r="C1054">
        <v>5</v>
      </c>
      <c r="D1054">
        <v>2</v>
      </c>
      <c r="E1054" t="s">
        <v>39</v>
      </c>
      <c r="F1054">
        <v>0</v>
      </c>
      <c r="G1054">
        <f>INDEX(weekly!$E$2:$E$188,MATCH('Marketing Campaigns 22.11.22'!L1054,weekly!$H$2:$H$188,0))</f>
        <v>6599.4193548387102</v>
      </c>
      <c r="H1054">
        <f>INDEX(weekly!$D$2:$D$188,MATCH('Marketing Campaigns 22.11.22'!L1054,weekly!$H$2:$H$188,0))</f>
        <v>8225</v>
      </c>
      <c r="I1054">
        <f>INDEX(weekly!$F$2:$F$188,MATCH('Marketing Campaigns 22.11.22'!L1054,weekly!$H$2:$H$188,0))</f>
        <v>4411.3548387096771</v>
      </c>
      <c r="J1054">
        <v>0</v>
      </c>
      <c r="K1054">
        <v>0</v>
      </c>
      <c r="L1054" t="str">
        <f t="shared" si="32"/>
        <v>18-5-2022</v>
      </c>
      <c r="M1054">
        <f t="shared" si="33"/>
        <v>2022</v>
      </c>
    </row>
    <row r="1055" spans="1:13" x14ac:dyDescent="0.2">
      <c r="A1055" s="1">
        <v>44683</v>
      </c>
      <c r="B1055">
        <v>18</v>
      </c>
      <c r="C1055">
        <v>5</v>
      </c>
      <c r="D1055">
        <v>2</v>
      </c>
      <c r="E1055" t="s">
        <v>40</v>
      </c>
      <c r="F1055">
        <v>0</v>
      </c>
      <c r="G1055">
        <f>INDEX(weekly!$E$2:$E$188,MATCH('Marketing Campaigns 22.11.22'!L1055,weekly!$H$2:$H$188,0))</f>
        <v>6599.4193548387102</v>
      </c>
      <c r="H1055">
        <f>INDEX(weekly!$D$2:$D$188,MATCH('Marketing Campaigns 22.11.22'!L1055,weekly!$H$2:$H$188,0))</f>
        <v>8225</v>
      </c>
      <c r="I1055">
        <f>INDEX(weekly!$F$2:$F$188,MATCH('Marketing Campaigns 22.11.22'!L1055,weekly!$H$2:$H$188,0))</f>
        <v>4411.3548387096771</v>
      </c>
      <c r="J1055">
        <v>0</v>
      </c>
      <c r="K1055">
        <v>0</v>
      </c>
      <c r="L1055" t="str">
        <f t="shared" si="32"/>
        <v>18-5-2022</v>
      </c>
      <c r="M1055">
        <f t="shared" si="33"/>
        <v>2022</v>
      </c>
    </row>
    <row r="1056" spans="1:13" x14ac:dyDescent="0.2">
      <c r="A1056" s="1">
        <v>44683</v>
      </c>
      <c r="B1056">
        <v>18</v>
      </c>
      <c r="C1056">
        <v>5</v>
      </c>
      <c r="D1056">
        <v>2</v>
      </c>
      <c r="E1056" t="s">
        <v>41</v>
      </c>
      <c r="F1056">
        <v>0</v>
      </c>
      <c r="G1056">
        <f>INDEX(weekly!$E$2:$E$188,MATCH('Marketing Campaigns 22.11.22'!L1056,weekly!$H$2:$H$188,0))</f>
        <v>6599.4193548387102</v>
      </c>
      <c r="H1056">
        <f>INDEX(weekly!$D$2:$D$188,MATCH('Marketing Campaigns 22.11.22'!L1056,weekly!$H$2:$H$188,0))</f>
        <v>8225</v>
      </c>
      <c r="I1056">
        <f>INDEX(weekly!$F$2:$F$188,MATCH('Marketing Campaigns 22.11.22'!L1056,weekly!$H$2:$H$188,0))</f>
        <v>4411.3548387096771</v>
      </c>
      <c r="J1056">
        <v>0</v>
      </c>
      <c r="K1056">
        <v>0</v>
      </c>
      <c r="L1056" t="str">
        <f t="shared" si="32"/>
        <v>18-5-2022</v>
      </c>
      <c r="M1056">
        <f t="shared" si="33"/>
        <v>2022</v>
      </c>
    </row>
    <row r="1057" spans="1:13" x14ac:dyDescent="0.2">
      <c r="A1057" s="1">
        <v>44683</v>
      </c>
      <c r="B1057">
        <v>18</v>
      </c>
      <c r="C1057">
        <v>5</v>
      </c>
      <c r="D1057">
        <v>2</v>
      </c>
      <c r="E1057" t="s">
        <v>42</v>
      </c>
      <c r="F1057">
        <v>0</v>
      </c>
      <c r="G1057">
        <f>INDEX(weekly!$E$2:$E$188,MATCH('Marketing Campaigns 22.11.22'!L1057,weekly!$H$2:$H$188,0))</f>
        <v>6599.4193548387102</v>
      </c>
      <c r="H1057">
        <f>INDEX(weekly!$D$2:$D$188,MATCH('Marketing Campaigns 22.11.22'!L1057,weekly!$H$2:$H$188,0))</f>
        <v>8225</v>
      </c>
      <c r="I1057">
        <f>INDEX(weekly!$F$2:$F$188,MATCH('Marketing Campaigns 22.11.22'!L1057,weekly!$H$2:$H$188,0))</f>
        <v>4411.3548387096771</v>
      </c>
      <c r="J1057">
        <v>0</v>
      </c>
      <c r="K1057">
        <v>0</v>
      </c>
      <c r="L1057" t="str">
        <f t="shared" si="32"/>
        <v>18-5-2022</v>
      </c>
      <c r="M1057">
        <f t="shared" si="33"/>
        <v>2022</v>
      </c>
    </row>
    <row r="1058" spans="1:13" x14ac:dyDescent="0.2">
      <c r="A1058" s="1">
        <v>44683</v>
      </c>
      <c r="B1058">
        <v>18</v>
      </c>
      <c r="C1058">
        <v>5</v>
      </c>
      <c r="D1058">
        <v>2</v>
      </c>
      <c r="E1058" t="s">
        <v>43</v>
      </c>
      <c r="F1058">
        <v>0</v>
      </c>
      <c r="G1058">
        <f>INDEX(weekly!$E$2:$E$188,MATCH('Marketing Campaigns 22.11.22'!L1058,weekly!$H$2:$H$188,0))</f>
        <v>6599.4193548387102</v>
      </c>
      <c r="H1058">
        <f>INDEX(weekly!$D$2:$D$188,MATCH('Marketing Campaigns 22.11.22'!L1058,weekly!$H$2:$H$188,0))</f>
        <v>8225</v>
      </c>
      <c r="I1058">
        <f>INDEX(weekly!$F$2:$F$188,MATCH('Marketing Campaigns 22.11.22'!L1058,weekly!$H$2:$H$188,0))</f>
        <v>4411.3548387096771</v>
      </c>
      <c r="J1058">
        <v>0</v>
      </c>
      <c r="K1058">
        <v>0</v>
      </c>
      <c r="L1058" t="str">
        <f t="shared" si="32"/>
        <v>18-5-2022</v>
      </c>
      <c r="M1058">
        <f t="shared" si="33"/>
        <v>2022</v>
      </c>
    </row>
    <row r="1059" spans="1:13" x14ac:dyDescent="0.2">
      <c r="A1059" s="1">
        <v>44683</v>
      </c>
      <c r="B1059">
        <v>18</v>
      </c>
      <c r="C1059">
        <v>5</v>
      </c>
      <c r="D1059">
        <v>2</v>
      </c>
      <c r="E1059" t="s">
        <v>44</v>
      </c>
      <c r="F1059">
        <v>0</v>
      </c>
      <c r="G1059">
        <f>INDEX(weekly!$E$2:$E$188,MATCH('Marketing Campaigns 22.11.22'!L1059,weekly!$H$2:$H$188,0))</f>
        <v>6599.4193548387102</v>
      </c>
      <c r="H1059">
        <f>INDEX(weekly!$D$2:$D$188,MATCH('Marketing Campaigns 22.11.22'!L1059,weekly!$H$2:$H$188,0))</f>
        <v>8225</v>
      </c>
      <c r="I1059">
        <f>INDEX(weekly!$F$2:$F$188,MATCH('Marketing Campaigns 22.11.22'!L1059,weekly!$H$2:$H$188,0))</f>
        <v>4411.3548387096771</v>
      </c>
      <c r="J1059">
        <v>0</v>
      </c>
      <c r="K1059">
        <v>0</v>
      </c>
      <c r="L1059" t="str">
        <f t="shared" si="32"/>
        <v>18-5-2022</v>
      </c>
      <c r="M1059">
        <f t="shared" si="33"/>
        <v>2022</v>
      </c>
    </row>
    <row r="1060" spans="1:13" x14ac:dyDescent="0.2">
      <c r="A1060" s="1">
        <v>44683</v>
      </c>
      <c r="B1060">
        <v>18</v>
      </c>
      <c r="C1060">
        <v>5</v>
      </c>
      <c r="D1060">
        <v>2</v>
      </c>
      <c r="E1060" t="s">
        <v>45</v>
      </c>
      <c r="F1060">
        <v>0</v>
      </c>
      <c r="G1060">
        <f>INDEX(weekly!$E$2:$E$188,MATCH('Marketing Campaigns 22.11.22'!L1060,weekly!$H$2:$H$188,0))</f>
        <v>6599.4193548387102</v>
      </c>
      <c r="H1060">
        <f>INDEX(weekly!$D$2:$D$188,MATCH('Marketing Campaigns 22.11.22'!L1060,weekly!$H$2:$H$188,0))</f>
        <v>8225</v>
      </c>
      <c r="I1060">
        <f>INDEX(weekly!$F$2:$F$188,MATCH('Marketing Campaigns 22.11.22'!L1060,weekly!$H$2:$H$188,0))</f>
        <v>4411.3548387096771</v>
      </c>
      <c r="J1060">
        <v>0</v>
      </c>
      <c r="K1060">
        <v>0</v>
      </c>
      <c r="L1060" t="str">
        <f t="shared" si="32"/>
        <v>18-5-2022</v>
      </c>
      <c r="M1060">
        <f t="shared" si="33"/>
        <v>2022</v>
      </c>
    </row>
    <row r="1061" spans="1:13" x14ac:dyDescent="0.2">
      <c r="A1061" s="1">
        <v>44683</v>
      </c>
      <c r="B1061">
        <v>18</v>
      </c>
      <c r="C1061">
        <v>5</v>
      </c>
      <c r="D1061">
        <v>2</v>
      </c>
      <c r="E1061" t="s">
        <v>46</v>
      </c>
      <c r="F1061">
        <v>0</v>
      </c>
      <c r="G1061">
        <f>INDEX(weekly!$E$2:$E$188,MATCH('Marketing Campaigns 22.11.22'!L1061,weekly!$H$2:$H$188,0))</f>
        <v>6599.4193548387102</v>
      </c>
      <c r="H1061">
        <f>INDEX(weekly!$D$2:$D$188,MATCH('Marketing Campaigns 22.11.22'!L1061,weekly!$H$2:$H$188,0))</f>
        <v>8225</v>
      </c>
      <c r="I1061">
        <f>INDEX(weekly!$F$2:$F$188,MATCH('Marketing Campaigns 22.11.22'!L1061,weekly!$H$2:$H$188,0))</f>
        <v>4411.3548387096771</v>
      </c>
      <c r="J1061">
        <v>0</v>
      </c>
      <c r="K1061">
        <v>0</v>
      </c>
      <c r="L1061" t="str">
        <f t="shared" si="32"/>
        <v>18-5-2022</v>
      </c>
      <c r="M1061">
        <f t="shared" si="33"/>
        <v>2022</v>
      </c>
    </row>
    <row r="1062" spans="1:13" x14ac:dyDescent="0.2">
      <c r="A1062" s="1">
        <v>44683</v>
      </c>
      <c r="B1062">
        <v>18</v>
      </c>
      <c r="C1062">
        <v>5</v>
      </c>
      <c r="D1062">
        <v>2</v>
      </c>
      <c r="E1062" t="s">
        <v>47</v>
      </c>
      <c r="F1062">
        <v>0</v>
      </c>
      <c r="G1062">
        <f>INDEX(weekly!$E$2:$E$188,MATCH('Marketing Campaigns 22.11.22'!L1062,weekly!$H$2:$H$188,0))</f>
        <v>6599.4193548387102</v>
      </c>
      <c r="H1062">
        <f>INDEX(weekly!$D$2:$D$188,MATCH('Marketing Campaigns 22.11.22'!L1062,weekly!$H$2:$H$188,0))</f>
        <v>8225</v>
      </c>
      <c r="I1062">
        <f>INDEX(weekly!$F$2:$F$188,MATCH('Marketing Campaigns 22.11.22'!L1062,weekly!$H$2:$H$188,0))</f>
        <v>4411.3548387096771</v>
      </c>
      <c r="J1062">
        <v>0</v>
      </c>
      <c r="K1062">
        <v>0</v>
      </c>
      <c r="L1062" t="str">
        <f t="shared" si="32"/>
        <v>18-5-2022</v>
      </c>
      <c r="M1062">
        <f t="shared" si="33"/>
        <v>2022</v>
      </c>
    </row>
    <row r="1063" spans="1:13" x14ac:dyDescent="0.2">
      <c r="A1063" s="1">
        <v>44683</v>
      </c>
      <c r="B1063">
        <v>18</v>
      </c>
      <c r="C1063">
        <v>5</v>
      </c>
      <c r="D1063">
        <v>2</v>
      </c>
      <c r="E1063" t="s">
        <v>48</v>
      </c>
      <c r="F1063">
        <v>0</v>
      </c>
      <c r="G1063">
        <f>INDEX(weekly!$E$2:$E$188,MATCH('Marketing Campaigns 22.11.22'!L1063,weekly!$H$2:$H$188,0))</f>
        <v>6599.4193548387102</v>
      </c>
      <c r="H1063">
        <f>INDEX(weekly!$D$2:$D$188,MATCH('Marketing Campaigns 22.11.22'!L1063,weekly!$H$2:$H$188,0))</f>
        <v>8225</v>
      </c>
      <c r="I1063">
        <f>INDEX(weekly!$F$2:$F$188,MATCH('Marketing Campaigns 22.11.22'!L1063,weekly!$H$2:$H$188,0))</f>
        <v>4411.3548387096771</v>
      </c>
      <c r="J1063">
        <v>0</v>
      </c>
      <c r="K1063">
        <v>0</v>
      </c>
      <c r="L1063" t="str">
        <f t="shared" si="32"/>
        <v>18-5-2022</v>
      </c>
      <c r="M1063">
        <f t="shared" si="33"/>
        <v>2022</v>
      </c>
    </row>
    <row r="1064" spans="1:13" x14ac:dyDescent="0.2">
      <c r="A1064" s="1">
        <v>44683</v>
      </c>
      <c r="B1064">
        <v>18</v>
      </c>
      <c r="C1064">
        <v>5</v>
      </c>
      <c r="D1064">
        <v>2</v>
      </c>
      <c r="E1064" t="s">
        <v>49</v>
      </c>
      <c r="F1064">
        <v>0</v>
      </c>
      <c r="G1064">
        <f>INDEX(weekly!$E$2:$E$188,MATCH('Marketing Campaigns 22.11.22'!L1064,weekly!$H$2:$H$188,0))</f>
        <v>6599.4193548387102</v>
      </c>
      <c r="H1064">
        <f>INDEX(weekly!$D$2:$D$188,MATCH('Marketing Campaigns 22.11.22'!L1064,weekly!$H$2:$H$188,0))</f>
        <v>8225</v>
      </c>
      <c r="I1064">
        <f>INDEX(weekly!$F$2:$F$188,MATCH('Marketing Campaigns 22.11.22'!L1064,weekly!$H$2:$H$188,0))</f>
        <v>4411.3548387096771</v>
      </c>
      <c r="J1064">
        <v>0</v>
      </c>
      <c r="K1064">
        <v>0</v>
      </c>
      <c r="L1064" t="str">
        <f t="shared" si="32"/>
        <v>18-5-2022</v>
      </c>
      <c r="M1064">
        <f t="shared" si="33"/>
        <v>2022</v>
      </c>
    </row>
    <row r="1065" spans="1:13" x14ac:dyDescent="0.2">
      <c r="A1065" s="1">
        <v>44683</v>
      </c>
      <c r="B1065">
        <v>18</v>
      </c>
      <c r="C1065">
        <v>5</v>
      </c>
      <c r="D1065">
        <v>2</v>
      </c>
      <c r="E1065" t="s">
        <v>50</v>
      </c>
      <c r="F1065">
        <v>0</v>
      </c>
      <c r="G1065">
        <f>INDEX(weekly!$E$2:$E$188,MATCH('Marketing Campaigns 22.11.22'!L1065,weekly!$H$2:$H$188,0))</f>
        <v>6599.4193548387102</v>
      </c>
      <c r="H1065">
        <f>INDEX(weekly!$D$2:$D$188,MATCH('Marketing Campaigns 22.11.22'!L1065,weekly!$H$2:$H$188,0))</f>
        <v>8225</v>
      </c>
      <c r="I1065">
        <f>INDEX(weekly!$F$2:$F$188,MATCH('Marketing Campaigns 22.11.22'!L1065,weekly!$H$2:$H$188,0))</f>
        <v>4411.3548387096771</v>
      </c>
      <c r="J1065">
        <v>0</v>
      </c>
      <c r="K1065">
        <v>0</v>
      </c>
      <c r="L1065" t="str">
        <f t="shared" si="32"/>
        <v>18-5-2022</v>
      </c>
      <c r="M1065">
        <f t="shared" si="33"/>
        <v>2022</v>
      </c>
    </row>
    <row r="1066" spans="1:13" x14ac:dyDescent="0.2">
      <c r="A1066" s="1">
        <v>44683</v>
      </c>
      <c r="B1066">
        <v>18</v>
      </c>
      <c r="C1066">
        <v>5</v>
      </c>
      <c r="D1066">
        <v>2</v>
      </c>
      <c r="E1066" t="s">
        <v>51</v>
      </c>
      <c r="F1066">
        <v>0</v>
      </c>
      <c r="G1066">
        <f>INDEX(weekly!$E$2:$E$188,MATCH('Marketing Campaigns 22.11.22'!L1066,weekly!$H$2:$H$188,0))</f>
        <v>6599.4193548387102</v>
      </c>
      <c r="H1066">
        <f>INDEX(weekly!$D$2:$D$188,MATCH('Marketing Campaigns 22.11.22'!L1066,weekly!$H$2:$H$188,0))</f>
        <v>8225</v>
      </c>
      <c r="I1066">
        <f>INDEX(weekly!$F$2:$F$188,MATCH('Marketing Campaigns 22.11.22'!L1066,weekly!$H$2:$H$188,0))</f>
        <v>4411.3548387096771</v>
      </c>
      <c r="J1066">
        <v>0</v>
      </c>
      <c r="K1066">
        <v>0</v>
      </c>
      <c r="L1066" t="str">
        <f t="shared" si="32"/>
        <v>18-5-2022</v>
      </c>
      <c r="M1066">
        <f t="shared" si="33"/>
        <v>2022</v>
      </c>
    </row>
    <row r="1067" spans="1:13" x14ac:dyDescent="0.2">
      <c r="A1067" s="1">
        <v>44683</v>
      </c>
      <c r="B1067">
        <v>18</v>
      </c>
      <c r="C1067">
        <v>5</v>
      </c>
      <c r="D1067">
        <v>2</v>
      </c>
      <c r="E1067" t="s">
        <v>52</v>
      </c>
      <c r="F1067">
        <v>0</v>
      </c>
      <c r="G1067">
        <f>INDEX(weekly!$E$2:$E$188,MATCH('Marketing Campaigns 22.11.22'!L1067,weekly!$H$2:$H$188,0))</f>
        <v>6599.4193548387102</v>
      </c>
      <c r="H1067">
        <f>INDEX(weekly!$D$2:$D$188,MATCH('Marketing Campaigns 22.11.22'!L1067,weekly!$H$2:$H$188,0))</f>
        <v>8225</v>
      </c>
      <c r="I1067">
        <f>INDEX(weekly!$F$2:$F$188,MATCH('Marketing Campaigns 22.11.22'!L1067,weekly!$H$2:$H$188,0))</f>
        <v>4411.3548387096771</v>
      </c>
      <c r="J1067">
        <v>0</v>
      </c>
      <c r="K1067">
        <v>0</v>
      </c>
      <c r="L1067" t="str">
        <f t="shared" si="32"/>
        <v>18-5-2022</v>
      </c>
      <c r="M1067">
        <f t="shared" si="33"/>
        <v>2022</v>
      </c>
    </row>
    <row r="1068" spans="1:13" x14ac:dyDescent="0.2">
      <c r="A1068" s="1">
        <v>44690</v>
      </c>
      <c r="B1068">
        <v>19</v>
      </c>
      <c r="C1068">
        <v>5</v>
      </c>
      <c r="D1068">
        <v>2</v>
      </c>
      <c r="E1068" t="s">
        <v>24</v>
      </c>
      <c r="F1068">
        <v>0</v>
      </c>
      <c r="G1068">
        <f>INDEX(weekly!$E$2:$E$188,MATCH('Marketing Campaigns 22.11.22'!L1068,weekly!$H$2:$H$188,0))</f>
        <v>6599.4193548387102</v>
      </c>
      <c r="H1068">
        <f>INDEX(weekly!$D$2:$D$188,MATCH('Marketing Campaigns 22.11.22'!L1068,weekly!$H$2:$H$188,0))</f>
        <v>8225</v>
      </c>
      <c r="I1068">
        <f>INDEX(weekly!$F$2:$F$188,MATCH('Marketing Campaigns 22.11.22'!L1068,weekly!$H$2:$H$188,0))</f>
        <v>4411.3548387096771</v>
      </c>
      <c r="J1068">
        <v>0</v>
      </c>
      <c r="K1068">
        <v>0</v>
      </c>
      <c r="L1068" t="str">
        <f t="shared" si="32"/>
        <v>19-5-2022</v>
      </c>
      <c r="M1068">
        <f t="shared" si="33"/>
        <v>2022</v>
      </c>
    </row>
    <row r="1069" spans="1:13" x14ac:dyDescent="0.2">
      <c r="A1069" s="1">
        <v>44690</v>
      </c>
      <c r="B1069">
        <v>19</v>
      </c>
      <c r="C1069">
        <v>5</v>
      </c>
      <c r="D1069">
        <v>2</v>
      </c>
      <c r="E1069" t="s">
        <v>39</v>
      </c>
      <c r="F1069">
        <v>0</v>
      </c>
      <c r="G1069">
        <f>INDEX(weekly!$E$2:$E$188,MATCH('Marketing Campaigns 22.11.22'!L1069,weekly!$H$2:$H$188,0))</f>
        <v>6599.4193548387102</v>
      </c>
      <c r="H1069">
        <f>INDEX(weekly!$D$2:$D$188,MATCH('Marketing Campaigns 22.11.22'!L1069,weekly!$H$2:$H$188,0))</f>
        <v>8225</v>
      </c>
      <c r="I1069">
        <f>INDEX(weekly!$F$2:$F$188,MATCH('Marketing Campaigns 22.11.22'!L1069,weekly!$H$2:$H$188,0))</f>
        <v>4411.3548387096771</v>
      </c>
      <c r="J1069">
        <v>0</v>
      </c>
      <c r="K1069">
        <v>0</v>
      </c>
      <c r="L1069" t="str">
        <f t="shared" si="32"/>
        <v>19-5-2022</v>
      </c>
      <c r="M1069">
        <f t="shared" si="33"/>
        <v>2022</v>
      </c>
    </row>
    <row r="1070" spans="1:13" x14ac:dyDescent="0.2">
      <c r="A1070" s="1">
        <v>44690</v>
      </c>
      <c r="B1070">
        <v>19</v>
      </c>
      <c r="C1070">
        <v>5</v>
      </c>
      <c r="D1070">
        <v>2</v>
      </c>
      <c r="E1070" t="s">
        <v>40</v>
      </c>
      <c r="F1070">
        <v>0</v>
      </c>
      <c r="G1070">
        <f>INDEX(weekly!$E$2:$E$188,MATCH('Marketing Campaigns 22.11.22'!L1070,weekly!$H$2:$H$188,0))</f>
        <v>6599.4193548387102</v>
      </c>
      <c r="H1070">
        <f>INDEX(weekly!$D$2:$D$188,MATCH('Marketing Campaigns 22.11.22'!L1070,weekly!$H$2:$H$188,0))</f>
        <v>8225</v>
      </c>
      <c r="I1070">
        <f>INDEX(weekly!$F$2:$F$188,MATCH('Marketing Campaigns 22.11.22'!L1070,weekly!$H$2:$H$188,0))</f>
        <v>4411.3548387096771</v>
      </c>
      <c r="J1070">
        <v>0</v>
      </c>
      <c r="K1070">
        <v>0</v>
      </c>
      <c r="L1070" t="str">
        <f t="shared" si="32"/>
        <v>19-5-2022</v>
      </c>
      <c r="M1070">
        <f t="shared" si="33"/>
        <v>2022</v>
      </c>
    </row>
    <row r="1071" spans="1:13" x14ac:dyDescent="0.2">
      <c r="A1071" s="1">
        <v>44690</v>
      </c>
      <c r="B1071">
        <v>19</v>
      </c>
      <c r="C1071">
        <v>5</v>
      </c>
      <c r="D1071">
        <v>2</v>
      </c>
      <c r="E1071" t="s">
        <v>41</v>
      </c>
      <c r="F1071">
        <v>0</v>
      </c>
      <c r="G1071">
        <f>INDEX(weekly!$E$2:$E$188,MATCH('Marketing Campaigns 22.11.22'!L1071,weekly!$H$2:$H$188,0))</f>
        <v>6599.4193548387102</v>
      </c>
      <c r="H1071">
        <f>INDEX(weekly!$D$2:$D$188,MATCH('Marketing Campaigns 22.11.22'!L1071,weekly!$H$2:$H$188,0))</f>
        <v>8225</v>
      </c>
      <c r="I1071">
        <f>INDEX(weekly!$F$2:$F$188,MATCH('Marketing Campaigns 22.11.22'!L1071,weekly!$H$2:$H$188,0))</f>
        <v>4411.3548387096771</v>
      </c>
      <c r="J1071">
        <v>0</v>
      </c>
      <c r="K1071">
        <v>0</v>
      </c>
      <c r="L1071" t="str">
        <f t="shared" si="32"/>
        <v>19-5-2022</v>
      </c>
      <c r="M1071">
        <f t="shared" si="33"/>
        <v>2022</v>
      </c>
    </row>
    <row r="1072" spans="1:13" x14ac:dyDescent="0.2">
      <c r="A1072" s="1">
        <v>44690</v>
      </c>
      <c r="B1072">
        <v>19</v>
      </c>
      <c r="C1072">
        <v>5</v>
      </c>
      <c r="D1072">
        <v>2</v>
      </c>
      <c r="E1072" t="s">
        <v>42</v>
      </c>
      <c r="F1072">
        <v>0</v>
      </c>
      <c r="G1072">
        <f>INDEX(weekly!$E$2:$E$188,MATCH('Marketing Campaigns 22.11.22'!L1072,weekly!$H$2:$H$188,0))</f>
        <v>6599.4193548387102</v>
      </c>
      <c r="H1072">
        <f>INDEX(weekly!$D$2:$D$188,MATCH('Marketing Campaigns 22.11.22'!L1072,weekly!$H$2:$H$188,0))</f>
        <v>8225</v>
      </c>
      <c r="I1072">
        <f>INDEX(weekly!$F$2:$F$188,MATCH('Marketing Campaigns 22.11.22'!L1072,weekly!$H$2:$H$188,0))</f>
        <v>4411.3548387096771</v>
      </c>
      <c r="J1072">
        <v>0</v>
      </c>
      <c r="K1072">
        <v>0</v>
      </c>
      <c r="L1072" t="str">
        <f t="shared" si="32"/>
        <v>19-5-2022</v>
      </c>
      <c r="M1072">
        <f t="shared" si="33"/>
        <v>2022</v>
      </c>
    </row>
    <row r="1073" spans="1:13" x14ac:dyDescent="0.2">
      <c r="A1073" s="1">
        <v>44690</v>
      </c>
      <c r="B1073">
        <v>19</v>
      </c>
      <c r="C1073">
        <v>5</v>
      </c>
      <c r="D1073">
        <v>2</v>
      </c>
      <c r="E1073" t="s">
        <v>43</v>
      </c>
      <c r="F1073">
        <v>0</v>
      </c>
      <c r="G1073">
        <f>INDEX(weekly!$E$2:$E$188,MATCH('Marketing Campaigns 22.11.22'!L1073,weekly!$H$2:$H$188,0))</f>
        <v>6599.4193548387102</v>
      </c>
      <c r="H1073">
        <f>INDEX(weekly!$D$2:$D$188,MATCH('Marketing Campaigns 22.11.22'!L1073,weekly!$H$2:$H$188,0))</f>
        <v>8225</v>
      </c>
      <c r="I1073">
        <f>INDEX(weekly!$F$2:$F$188,MATCH('Marketing Campaigns 22.11.22'!L1073,weekly!$H$2:$H$188,0))</f>
        <v>4411.3548387096771</v>
      </c>
      <c r="J1073">
        <v>0</v>
      </c>
      <c r="K1073">
        <v>0</v>
      </c>
      <c r="L1073" t="str">
        <f t="shared" si="32"/>
        <v>19-5-2022</v>
      </c>
      <c r="M1073">
        <f t="shared" si="33"/>
        <v>2022</v>
      </c>
    </row>
    <row r="1074" spans="1:13" x14ac:dyDescent="0.2">
      <c r="A1074" s="1">
        <v>44690</v>
      </c>
      <c r="B1074">
        <v>19</v>
      </c>
      <c r="C1074">
        <v>5</v>
      </c>
      <c r="D1074">
        <v>2</v>
      </c>
      <c r="E1074" t="s">
        <v>44</v>
      </c>
      <c r="F1074">
        <v>0</v>
      </c>
      <c r="G1074">
        <f>INDEX(weekly!$E$2:$E$188,MATCH('Marketing Campaigns 22.11.22'!L1074,weekly!$H$2:$H$188,0))</f>
        <v>6599.4193548387102</v>
      </c>
      <c r="H1074">
        <f>INDEX(weekly!$D$2:$D$188,MATCH('Marketing Campaigns 22.11.22'!L1074,weekly!$H$2:$H$188,0))</f>
        <v>8225</v>
      </c>
      <c r="I1074">
        <f>INDEX(weekly!$F$2:$F$188,MATCH('Marketing Campaigns 22.11.22'!L1074,weekly!$H$2:$H$188,0))</f>
        <v>4411.3548387096771</v>
      </c>
      <c r="J1074">
        <v>0</v>
      </c>
      <c r="K1074">
        <v>0</v>
      </c>
      <c r="L1074" t="str">
        <f t="shared" si="32"/>
        <v>19-5-2022</v>
      </c>
      <c r="M1074">
        <f t="shared" si="33"/>
        <v>2022</v>
      </c>
    </row>
    <row r="1075" spans="1:13" x14ac:dyDescent="0.2">
      <c r="A1075" s="1">
        <v>44690</v>
      </c>
      <c r="B1075">
        <v>19</v>
      </c>
      <c r="C1075">
        <v>5</v>
      </c>
      <c r="D1075">
        <v>2</v>
      </c>
      <c r="E1075" t="s">
        <v>45</v>
      </c>
      <c r="F1075">
        <v>0</v>
      </c>
      <c r="G1075">
        <f>INDEX(weekly!$E$2:$E$188,MATCH('Marketing Campaigns 22.11.22'!L1075,weekly!$H$2:$H$188,0))</f>
        <v>6599.4193548387102</v>
      </c>
      <c r="H1075">
        <f>INDEX(weekly!$D$2:$D$188,MATCH('Marketing Campaigns 22.11.22'!L1075,weekly!$H$2:$H$188,0))</f>
        <v>8225</v>
      </c>
      <c r="I1075">
        <f>INDEX(weekly!$F$2:$F$188,MATCH('Marketing Campaigns 22.11.22'!L1075,weekly!$H$2:$H$188,0))</f>
        <v>4411.3548387096771</v>
      </c>
      <c r="J1075">
        <v>0</v>
      </c>
      <c r="K1075">
        <v>0</v>
      </c>
      <c r="L1075" t="str">
        <f t="shared" si="32"/>
        <v>19-5-2022</v>
      </c>
      <c r="M1075">
        <f t="shared" si="33"/>
        <v>2022</v>
      </c>
    </row>
    <row r="1076" spans="1:13" x14ac:dyDescent="0.2">
      <c r="A1076" s="1">
        <v>44690</v>
      </c>
      <c r="B1076">
        <v>19</v>
      </c>
      <c r="C1076">
        <v>5</v>
      </c>
      <c r="D1076">
        <v>2</v>
      </c>
      <c r="E1076" t="s">
        <v>46</v>
      </c>
      <c r="F1076">
        <v>0</v>
      </c>
      <c r="G1076">
        <f>INDEX(weekly!$E$2:$E$188,MATCH('Marketing Campaigns 22.11.22'!L1076,weekly!$H$2:$H$188,0))</f>
        <v>6599.4193548387102</v>
      </c>
      <c r="H1076">
        <f>INDEX(weekly!$D$2:$D$188,MATCH('Marketing Campaigns 22.11.22'!L1076,weekly!$H$2:$H$188,0))</f>
        <v>8225</v>
      </c>
      <c r="I1076">
        <f>INDEX(weekly!$F$2:$F$188,MATCH('Marketing Campaigns 22.11.22'!L1076,weekly!$H$2:$H$188,0))</f>
        <v>4411.3548387096771</v>
      </c>
      <c r="J1076">
        <v>0</v>
      </c>
      <c r="K1076">
        <v>0</v>
      </c>
      <c r="L1076" t="str">
        <f t="shared" si="32"/>
        <v>19-5-2022</v>
      </c>
      <c r="M1076">
        <f t="shared" si="33"/>
        <v>2022</v>
      </c>
    </row>
    <row r="1077" spans="1:13" x14ac:dyDescent="0.2">
      <c r="A1077" s="1">
        <v>44690</v>
      </c>
      <c r="B1077">
        <v>19</v>
      </c>
      <c r="C1077">
        <v>5</v>
      </c>
      <c r="D1077">
        <v>2</v>
      </c>
      <c r="E1077" t="s">
        <v>47</v>
      </c>
      <c r="F1077">
        <v>0</v>
      </c>
      <c r="G1077">
        <f>INDEX(weekly!$E$2:$E$188,MATCH('Marketing Campaigns 22.11.22'!L1077,weekly!$H$2:$H$188,0))</f>
        <v>6599.4193548387102</v>
      </c>
      <c r="H1077">
        <f>INDEX(weekly!$D$2:$D$188,MATCH('Marketing Campaigns 22.11.22'!L1077,weekly!$H$2:$H$188,0))</f>
        <v>8225</v>
      </c>
      <c r="I1077">
        <f>INDEX(weekly!$F$2:$F$188,MATCH('Marketing Campaigns 22.11.22'!L1077,weekly!$H$2:$H$188,0))</f>
        <v>4411.3548387096771</v>
      </c>
      <c r="J1077">
        <v>0</v>
      </c>
      <c r="K1077">
        <v>0</v>
      </c>
      <c r="L1077" t="str">
        <f t="shared" si="32"/>
        <v>19-5-2022</v>
      </c>
      <c r="M1077">
        <f t="shared" si="33"/>
        <v>2022</v>
      </c>
    </row>
    <row r="1078" spans="1:13" x14ac:dyDescent="0.2">
      <c r="A1078" s="1">
        <v>44690</v>
      </c>
      <c r="B1078">
        <v>19</v>
      </c>
      <c r="C1078">
        <v>5</v>
      </c>
      <c r="D1078">
        <v>2</v>
      </c>
      <c r="E1078" t="s">
        <v>48</v>
      </c>
      <c r="F1078">
        <v>0</v>
      </c>
      <c r="G1078">
        <f>INDEX(weekly!$E$2:$E$188,MATCH('Marketing Campaigns 22.11.22'!L1078,weekly!$H$2:$H$188,0))</f>
        <v>6599.4193548387102</v>
      </c>
      <c r="H1078">
        <f>INDEX(weekly!$D$2:$D$188,MATCH('Marketing Campaigns 22.11.22'!L1078,weekly!$H$2:$H$188,0))</f>
        <v>8225</v>
      </c>
      <c r="I1078">
        <f>INDEX(weekly!$F$2:$F$188,MATCH('Marketing Campaigns 22.11.22'!L1078,weekly!$H$2:$H$188,0))</f>
        <v>4411.3548387096771</v>
      </c>
      <c r="J1078">
        <v>0</v>
      </c>
      <c r="K1078">
        <v>0</v>
      </c>
      <c r="L1078" t="str">
        <f t="shared" si="32"/>
        <v>19-5-2022</v>
      </c>
      <c r="M1078">
        <f t="shared" si="33"/>
        <v>2022</v>
      </c>
    </row>
    <row r="1079" spans="1:13" x14ac:dyDescent="0.2">
      <c r="A1079" s="1">
        <v>44690</v>
      </c>
      <c r="B1079">
        <v>19</v>
      </c>
      <c r="C1079">
        <v>5</v>
      </c>
      <c r="D1079">
        <v>2</v>
      </c>
      <c r="E1079" t="s">
        <v>49</v>
      </c>
      <c r="F1079">
        <v>0</v>
      </c>
      <c r="G1079">
        <f>INDEX(weekly!$E$2:$E$188,MATCH('Marketing Campaigns 22.11.22'!L1079,weekly!$H$2:$H$188,0))</f>
        <v>6599.4193548387102</v>
      </c>
      <c r="H1079">
        <f>INDEX(weekly!$D$2:$D$188,MATCH('Marketing Campaigns 22.11.22'!L1079,weekly!$H$2:$H$188,0))</f>
        <v>8225</v>
      </c>
      <c r="I1079">
        <f>INDEX(weekly!$F$2:$F$188,MATCH('Marketing Campaigns 22.11.22'!L1079,weekly!$H$2:$H$188,0))</f>
        <v>4411.3548387096771</v>
      </c>
      <c r="J1079">
        <v>0</v>
      </c>
      <c r="K1079">
        <v>0</v>
      </c>
      <c r="L1079" t="str">
        <f t="shared" si="32"/>
        <v>19-5-2022</v>
      </c>
      <c r="M1079">
        <f t="shared" si="33"/>
        <v>2022</v>
      </c>
    </row>
    <row r="1080" spans="1:13" x14ac:dyDescent="0.2">
      <c r="A1080" s="1">
        <v>44690</v>
      </c>
      <c r="B1080">
        <v>19</v>
      </c>
      <c r="C1080">
        <v>5</v>
      </c>
      <c r="D1080">
        <v>2</v>
      </c>
      <c r="E1080" t="s">
        <v>50</v>
      </c>
      <c r="F1080">
        <v>0</v>
      </c>
      <c r="G1080">
        <f>INDEX(weekly!$E$2:$E$188,MATCH('Marketing Campaigns 22.11.22'!L1080,weekly!$H$2:$H$188,0))</f>
        <v>6599.4193548387102</v>
      </c>
      <c r="H1080">
        <f>INDEX(weekly!$D$2:$D$188,MATCH('Marketing Campaigns 22.11.22'!L1080,weekly!$H$2:$H$188,0))</f>
        <v>8225</v>
      </c>
      <c r="I1080">
        <f>INDEX(weekly!$F$2:$F$188,MATCH('Marketing Campaigns 22.11.22'!L1080,weekly!$H$2:$H$188,0))</f>
        <v>4411.3548387096771</v>
      </c>
      <c r="J1080">
        <v>0</v>
      </c>
      <c r="K1080">
        <v>0</v>
      </c>
      <c r="L1080" t="str">
        <f t="shared" si="32"/>
        <v>19-5-2022</v>
      </c>
      <c r="M1080">
        <f t="shared" si="33"/>
        <v>2022</v>
      </c>
    </row>
    <row r="1081" spans="1:13" x14ac:dyDescent="0.2">
      <c r="A1081" s="1">
        <v>44690</v>
      </c>
      <c r="B1081">
        <v>19</v>
      </c>
      <c r="C1081">
        <v>5</v>
      </c>
      <c r="D1081">
        <v>2</v>
      </c>
      <c r="E1081" t="s">
        <v>51</v>
      </c>
      <c r="F1081">
        <v>0</v>
      </c>
      <c r="G1081">
        <f>INDEX(weekly!$E$2:$E$188,MATCH('Marketing Campaigns 22.11.22'!L1081,weekly!$H$2:$H$188,0))</f>
        <v>6599.4193548387102</v>
      </c>
      <c r="H1081">
        <f>INDEX(weekly!$D$2:$D$188,MATCH('Marketing Campaigns 22.11.22'!L1081,weekly!$H$2:$H$188,0))</f>
        <v>8225</v>
      </c>
      <c r="I1081">
        <f>INDEX(weekly!$F$2:$F$188,MATCH('Marketing Campaigns 22.11.22'!L1081,weekly!$H$2:$H$188,0))</f>
        <v>4411.3548387096771</v>
      </c>
      <c r="J1081">
        <v>0</v>
      </c>
      <c r="K1081">
        <v>0</v>
      </c>
      <c r="L1081" t="str">
        <f t="shared" si="32"/>
        <v>19-5-2022</v>
      </c>
      <c r="M1081">
        <f t="shared" si="33"/>
        <v>2022</v>
      </c>
    </row>
    <row r="1082" spans="1:13" x14ac:dyDescent="0.2">
      <c r="A1082" s="1">
        <v>44690</v>
      </c>
      <c r="B1082">
        <v>19</v>
      </c>
      <c r="C1082">
        <v>5</v>
      </c>
      <c r="D1082">
        <v>2</v>
      </c>
      <c r="E1082" t="s">
        <v>52</v>
      </c>
      <c r="F1082">
        <v>0</v>
      </c>
      <c r="G1082">
        <f>INDEX(weekly!$E$2:$E$188,MATCH('Marketing Campaigns 22.11.22'!L1082,weekly!$H$2:$H$188,0))</f>
        <v>6599.4193548387102</v>
      </c>
      <c r="H1082">
        <f>INDEX(weekly!$D$2:$D$188,MATCH('Marketing Campaigns 22.11.22'!L1082,weekly!$H$2:$H$188,0))</f>
        <v>8225</v>
      </c>
      <c r="I1082">
        <f>INDEX(weekly!$F$2:$F$188,MATCH('Marketing Campaigns 22.11.22'!L1082,weekly!$H$2:$H$188,0))</f>
        <v>4411.3548387096771</v>
      </c>
      <c r="J1082">
        <v>0</v>
      </c>
      <c r="K1082">
        <v>0</v>
      </c>
      <c r="L1082" t="str">
        <f t="shared" si="32"/>
        <v>19-5-2022</v>
      </c>
      <c r="M1082">
        <f t="shared" si="33"/>
        <v>2022</v>
      </c>
    </row>
    <row r="1083" spans="1:13" x14ac:dyDescent="0.2">
      <c r="A1083" s="1">
        <v>44697</v>
      </c>
      <c r="B1083">
        <v>20</v>
      </c>
      <c r="C1083">
        <v>5</v>
      </c>
      <c r="D1083">
        <v>2</v>
      </c>
      <c r="E1083" t="s">
        <v>24</v>
      </c>
      <c r="F1083">
        <v>0</v>
      </c>
      <c r="G1083">
        <f>INDEX(weekly!$E$2:$E$188,MATCH('Marketing Campaigns 22.11.22'!L1083,weekly!$H$2:$H$188,0))</f>
        <v>6599.4193548387102</v>
      </c>
      <c r="H1083">
        <f>INDEX(weekly!$D$2:$D$188,MATCH('Marketing Campaigns 22.11.22'!L1083,weekly!$H$2:$H$188,0))</f>
        <v>8225</v>
      </c>
      <c r="I1083">
        <f>INDEX(weekly!$F$2:$F$188,MATCH('Marketing Campaigns 22.11.22'!L1083,weekly!$H$2:$H$188,0))</f>
        <v>4411.3548387096771</v>
      </c>
      <c r="J1083">
        <v>0</v>
      </c>
      <c r="K1083">
        <v>0</v>
      </c>
      <c r="L1083" t="str">
        <f t="shared" si="32"/>
        <v>20-5-2022</v>
      </c>
      <c r="M1083">
        <f t="shared" si="33"/>
        <v>2022</v>
      </c>
    </row>
    <row r="1084" spans="1:13" x14ac:dyDescent="0.2">
      <c r="A1084" s="1">
        <v>44697</v>
      </c>
      <c r="B1084">
        <v>20</v>
      </c>
      <c r="C1084">
        <v>5</v>
      </c>
      <c r="D1084">
        <v>2</v>
      </c>
      <c r="E1084" t="s">
        <v>39</v>
      </c>
      <c r="F1084">
        <v>0</v>
      </c>
      <c r="G1084">
        <f>INDEX(weekly!$E$2:$E$188,MATCH('Marketing Campaigns 22.11.22'!L1084,weekly!$H$2:$H$188,0))</f>
        <v>6599.4193548387102</v>
      </c>
      <c r="H1084">
        <f>INDEX(weekly!$D$2:$D$188,MATCH('Marketing Campaigns 22.11.22'!L1084,weekly!$H$2:$H$188,0))</f>
        <v>8225</v>
      </c>
      <c r="I1084">
        <f>INDEX(weekly!$F$2:$F$188,MATCH('Marketing Campaigns 22.11.22'!L1084,weekly!$H$2:$H$188,0))</f>
        <v>4411.3548387096771</v>
      </c>
      <c r="J1084">
        <v>0</v>
      </c>
      <c r="K1084">
        <v>0</v>
      </c>
      <c r="L1084" t="str">
        <f t="shared" si="32"/>
        <v>20-5-2022</v>
      </c>
      <c r="M1084">
        <f t="shared" si="33"/>
        <v>2022</v>
      </c>
    </row>
    <row r="1085" spans="1:13" x14ac:dyDescent="0.2">
      <c r="A1085" s="1">
        <v>44697</v>
      </c>
      <c r="B1085">
        <v>20</v>
      </c>
      <c r="C1085">
        <v>5</v>
      </c>
      <c r="D1085">
        <v>2</v>
      </c>
      <c r="E1085" t="s">
        <v>40</v>
      </c>
      <c r="F1085">
        <v>0</v>
      </c>
      <c r="G1085">
        <f>INDEX(weekly!$E$2:$E$188,MATCH('Marketing Campaigns 22.11.22'!L1085,weekly!$H$2:$H$188,0))</f>
        <v>6599.4193548387102</v>
      </c>
      <c r="H1085">
        <f>INDEX(weekly!$D$2:$D$188,MATCH('Marketing Campaigns 22.11.22'!L1085,weekly!$H$2:$H$188,0))</f>
        <v>8225</v>
      </c>
      <c r="I1085">
        <f>INDEX(weekly!$F$2:$F$188,MATCH('Marketing Campaigns 22.11.22'!L1085,weekly!$H$2:$H$188,0))</f>
        <v>4411.3548387096771</v>
      </c>
      <c r="J1085">
        <v>0</v>
      </c>
      <c r="K1085">
        <v>0</v>
      </c>
      <c r="L1085" t="str">
        <f t="shared" si="32"/>
        <v>20-5-2022</v>
      </c>
      <c r="M1085">
        <f t="shared" si="33"/>
        <v>2022</v>
      </c>
    </row>
    <row r="1086" spans="1:13" x14ac:dyDescent="0.2">
      <c r="A1086" s="1">
        <v>44697</v>
      </c>
      <c r="B1086">
        <v>20</v>
      </c>
      <c r="C1086">
        <v>5</v>
      </c>
      <c r="D1086">
        <v>2</v>
      </c>
      <c r="E1086" t="s">
        <v>41</v>
      </c>
      <c r="F1086">
        <v>0</v>
      </c>
      <c r="G1086">
        <f>INDEX(weekly!$E$2:$E$188,MATCH('Marketing Campaigns 22.11.22'!L1086,weekly!$H$2:$H$188,0))</f>
        <v>6599.4193548387102</v>
      </c>
      <c r="H1086">
        <f>INDEX(weekly!$D$2:$D$188,MATCH('Marketing Campaigns 22.11.22'!L1086,weekly!$H$2:$H$188,0))</f>
        <v>8225</v>
      </c>
      <c r="I1086">
        <f>INDEX(weekly!$F$2:$F$188,MATCH('Marketing Campaigns 22.11.22'!L1086,weekly!$H$2:$H$188,0))</f>
        <v>4411.3548387096771</v>
      </c>
      <c r="J1086">
        <v>0</v>
      </c>
      <c r="K1086">
        <v>0</v>
      </c>
      <c r="L1086" t="str">
        <f t="shared" si="32"/>
        <v>20-5-2022</v>
      </c>
      <c r="M1086">
        <f t="shared" si="33"/>
        <v>2022</v>
      </c>
    </row>
    <row r="1087" spans="1:13" x14ac:dyDescent="0.2">
      <c r="A1087" s="1">
        <v>44697</v>
      </c>
      <c r="B1087">
        <v>20</v>
      </c>
      <c r="C1087">
        <v>5</v>
      </c>
      <c r="D1087">
        <v>2</v>
      </c>
      <c r="E1087" t="s">
        <v>42</v>
      </c>
      <c r="F1087">
        <v>0</v>
      </c>
      <c r="G1087">
        <f>INDEX(weekly!$E$2:$E$188,MATCH('Marketing Campaigns 22.11.22'!L1087,weekly!$H$2:$H$188,0))</f>
        <v>6599.4193548387102</v>
      </c>
      <c r="H1087">
        <f>INDEX(weekly!$D$2:$D$188,MATCH('Marketing Campaigns 22.11.22'!L1087,weekly!$H$2:$H$188,0))</f>
        <v>8225</v>
      </c>
      <c r="I1087">
        <f>INDEX(weekly!$F$2:$F$188,MATCH('Marketing Campaigns 22.11.22'!L1087,weekly!$H$2:$H$188,0))</f>
        <v>4411.3548387096771</v>
      </c>
      <c r="J1087">
        <v>0</v>
      </c>
      <c r="K1087">
        <v>0</v>
      </c>
      <c r="L1087" t="str">
        <f t="shared" si="32"/>
        <v>20-5-2022</v>
      </c>
      <c r="M1087">
        <f t="shared" si="33"/>
        <v>2022</v>
      </c>
    </row>
    <row r="1088" spans="1:13" x14ac:dyDescent="0.2">
      <c r="A1088" s="1">
        <v>44697</v>
      </c>
      <c r="B1088">
        <v>20</v>
      </c>
      <c r="C1088">
        <v>5</v>
      </c>
      <c r="D1088">
        <v>2</v>
      </c>
      <c r="E1088" t="s">
        <v>43</v>
      </c>
      <c r="F1088">
        <v>0</v>
      </c>
      <c r="G1088">
        <f>INDEX(weekly!$E$2:$E$188,MATCH('Marketing Campaigns 22.11.22'!L1088,weekly!$H$2:$H$188,0))</f>
        <v>6599.4193548387102</v>
      </c>
      <c r="H1088">
        <f>INDEX(weekly!$D$2:$D$188,MATCH('Marketing Campaigns 22.11.22'!L1088,weekly!$H$2:$H$188,0))</f>
        <v>8225</v>
      </c>
      <c r="I1088">
        <f>INDEX(weekly!$F$2:$F$188,MATCH('Marketing Campaigns 22.11.22'!L1088,weekly!$H$2:$H$188,0))</f>
        <v>4411.3548387096771</v>
      </c>
      <c r="J1088">
        <v>0</v>
      </c>
      <c r="K1088">
        <v>0</v>
      </c>
      <c r="L1088" t="str">
        <f t="shared" si="32"/>
        <v>20-5-2022</v>
      </c>
      <c r="M1088">
        <f t="shared" si="33"/>
        <v>2022</v>
      </c>
    </row>
    <row r="1089" spans="1:13" x14ac:dyDescent="0.2">
      <c r="A1089" s="1">
        <v>44697</v>
      </c>
      <c r="B1089">
        <v>20</v>
      </c>
      <c r="C1089">
        <v>5</v>
      </c>
      <c r="D1089">
        <v>2</v>
      </c>
      <c r="E1089" t="s">
        <v>44</v>
      </c>
      <c r="F1089">
        <v>0</v>
      </c>
      <c r="G1089">
        <f>INDEX(weekly!$E$2:$E$188,MATCH('Marketing Campaigns 22.11.22'!L1089,weekly!$H$2:$H$188,0))</f>
        <v>6599.4193548387102</v>
      </c>
      <c r="H1089">
        <f>INDEX(weekly!$D$2:$D$188,MATCH('Marketing Campaigns 22.11.22'!L1089,weekly!$H$2:$H$188,0))</f>
        <v>8225</v>
      </c>
      <c r="I1089">
        <f>INDEX(weekly!$F$2:$F$188,MATCH('Marketing Campaigns 22.11.22'!L1089,weekly!$H$2:$H$188,0))</f>
        <v>4411.3548387096771</v>
      </c>
      <c r="J1089">
        <v>0</v>
      </c>
      <c r="K1089">
        <v>0</v>
      </c>
      <c r="L1089" t="str">
        <f t="shared" si="32"/>
        <v>20-5-2022</v>
      </c>
      <c r="M1089">
        <f t="shared" si="33"/>
        <v>2022</v>
      </c>
    </row>
    <row r="1090" spans="1:13" x14ac:dyDescent="0.2">
      <c r="A1090" s="1">
        <v>44697</v>
      </c>
      <c r="B1090">
        <v>20</v>
      </c>
      <c r="C1090">
        <v>5</v>
      </c>
      <c r="D1090">
        <v>2</v>
      </c>
      <c r="E1090" t="s">
        <v>45</v>
      </c>
      <c r="F1090">
        <v>0</v>
      </c>
      <c r="G1090">
        <f>INDEX(weekly!$E$2:$E$188,MATCH('Marketing Campaigns 22.11.22'!L1090,weekly!$H$2:$H$188,0))</f>
        <v>6599.4193548387102</v>
      </c>
      <c r="H1090">
        <f>INDEX(weekly!$D$2:$D$188,MATCH('Marketing Campaigns 22.11.22'!L1090,weekly!$H$2:$H$188,0))</f>
        <v>8225</v>
      </c>
      <c r="I1090">
        <f>INDEX(weekly!$F$2:$F$188,MATCH('Marketing Campaigns 22.11.22'!L1090,weekly!$H$2:$H$188,0))</f>
        <v>4411.3548387096771</v>
      </c>
      <c r="J1090">
        <v>0</v>
      </c>
      <c r="K1090">
        <v>0</v>
      </c>
      <c r="L1090" t="str">
        <f t="shared" si="32"/>
        <v>20-5-2022</v>
      </c>
      <c r="M1090">
        <f t="shared" si="33"/>
        <v>2022</v>
      </c>
    </row>
    <row r="1091" spans="1:13" x14ac:dyDescent="0.2">
      <c r="A1091" s="1">
        <v>44697</v>
      </c>
      <c r="B1091">
        <v>20</v>
      </c>
      <c r="C1091">
        <v>5</v>
      </c>
      <c r="D1091">
        <v>2</v>
      </c>
      <c r="E1091" t="s">
        <v>46</v>
      </c>
      <c r="F1091">
        <v>0</v>
      </c>
      <c r="G1091">
        <f>INDEX(weekly!$E$2:$E$188,MATCH('Marketing Campaigns 22.11.22'!L1091,weekly!$H$2:$H$188,0))</f>
        <v>6599.4193548387102</v>
      </c>
      <c r="H1091">
        <f>INDEX(weekly!$D$2:$D$188,MATCH('Marketing Campaigns 22.11.22'!L1091,weekly!$H$2:$H$188,0))</f>
        <v>8225</v>
      </c>
      <c r="I1091">
        <f>INDEX(weekly!$F$2:$F$188,MATCH('Marketing Campaigns 22.11.22'!L1091,weekly!$H$2:$H$188,0))</f>
        <v>4411.3548387096771</v>
      </c>
      <c r="J1091">
        <v>0</v>
      </c>
      <c r="K1091">
        <v>0</v>
      </c>
      <c r="L1091" t="str">
        <f t="shared" si="32"/>
        <v>20-5-2022</v>
      </c>
      <c r="M1091">
        <f t="shared" si="33"/>
        <v>2022</v>
      </c>
    </row>
    <row r="1092" spans="1:13" x14ac:dyDescent="0.2">
      <c r="A1092" s="1">
        <v>44697</v>
      </c>
      <c r="B1092">
        <v>20</v>
      </c>
      <c r="C1092">
        <v>5</v>
      </c>
      <c r="D1092">
        <v>2</v>
      </c>
      <c r="E1092" t="s">
        <v>47</v>
      </c>
      <c r="F1092">
        <v>0</v>
      </c>
      <c r="G1092">
        <f>INDEX(weekly!$E$2:$E$188,MATCH('Marketing Campaigns 22.11.22'!L1092,weekly!$H$2:$H$188,0))</f>
        <v>6599.4193548387102</v>
      </c>
      <c r="H1092">
        <f>INDEX(weekly!$D$2:$D$188,MATCH('Marketing Campaigns 22.11.22'!L1092,weekly!$H$2:$H$188,0))</f>
        <v>8225</v>
      </c>
      <c r="I1092">
        <f>INDEX(weekly!$F$2:$F$188,MATCH('Marketing Campaigns 22.11.22'!L1092,weekly!$H$2:$H$188,0))</f>
        <v>4411.3548387096771</v>
      </c>
      <c r="J1092">
        <v>0</v>
      </c>
      <c r="K1092">
        <v>0</v>
      </c>
      <c r="L1092" t="str">
        <f t="shared" ref="L1092:L1155" si="34">B1092&amp;"-"&amp;C1092&amp;"-"&amp;M1092</f>
        <v>20-5-2022</v>
      </c>
      <c r="M1092">
        <f t="shared" ref="M1092:M1155" si="35">YEAR(A1092)</f>
        <v>2022</v>
      </c>
    </row>
    <row r="1093" spans="1:13" x14ac:dyDescent="0.2">
      <c r="A1093" s="1">
        <v>44697</v>
      </c>
      <c r="B1093">
        <v>20</v>
      </c>
      <c r="C1093">
        <v>5</v>
      </c>
      <c r="D1093">
        <v>2</v>
      </c>
      <c r="E1093" t="s">
        <v>48</v>
      </c>
      <c r="F1093">
        <v>0</v>
      </c>
      <c r="G1093">
        <f>INDEX(weekly!$E$2:$E$188,MATCH('Marketing Campaigns 22.11.22'!L1093,weekly!$H$2:$H$188,0))</f>
        <v>6599.4193548387102</v>
      </c>
      <c r="H1093">
        <f>INDEX(weekly!$D$2:$D$188,MATCH('Marketing Campaigns 22.11.22'!L1093,weekly!$H$2:$H$188,0))</f>
        <v>8225</v>
      </c>
      <c r="I1093">
        <f>INDEX(weekly!$F$2:$F$188,MATCH('Marketing Campaigns 22.11.22'!L1093,weekly!$H$2:$H$188,0))</f>
        <v>4411.3548387096771</v>
      </c>
      <c r="J1093">
        <v>0</v>
      </c>
      <c r="K1093">
        <v>0</v>
      </c>
      <c r="L1093" t="str">
        <f t="shared" si="34"/>
        <v>20-5-2022</v>
      </c>
      <c r="M1093">
        <f t="shared" si="35"/>
        <v>2022</v>
      </c>
    </row>
    <row r="1094" spans="1:13" x14ac:dyDescent="0.2">
      <c r="A1094" s="1">
        <v>44697</v>
      </c>
      <c r="B1094">
        <v>20</v>
      </c>
      <c r="C1094">
        <v>5</v>
      </c>
      <c r="D1094">
        <v>2</v>
      </c>
      <c r="E1094" t="s">
        <v>49</v>
      </c>
      <c r="F1094">
        <v>0</v>
      </c>
      <c r="G1094">
        <f>INDEX(weekly!$E$2:$E$188,MATCH('Marketing Campaigns 22.11.22'!L1094,weekly!$H$2:$H$188,0))</f>
        <v>6599.4193548387102</v>
      </c>
      <c r="H1094">
        <f>INDEX(weekly!$D$2:$D$188,MATCH('Marketing Campaigns 22.11.22'!L1094,weekly!$H$2:$H$188,0))</f>
        <v>8225</v>
      </c>
      <c r="I1094">
        <f>INDEX(weekly!$F$2:$F$188,MATCH('Marketing Campaigns 22.11.22'!L1094,weekly!$H$2:$H$188,0))</f>
        <v>4411.3548387096771</v>
      </c>
      <c r="J1094">
        <v>0</v>
      </c>
      <c r="K1094">
        <v>0</v>
      </c>
      <c r="L1094" t="str">
        <f t="shared" si="34"/>
        <v>20-5-2022</v>
      </c>
      <c r="M1094">
        <f t="shared" si="35"/>
        <v>2022</v>
      </c>
    </row>
    <row r="1095" spans="1:13" x14ac:dyDescent="0.2">
      <c r="A1095" s="1">
        <v>44697</v>
      </c>
      <c r="B1095">
        <v>20</v>
      </c>
      <c r="C1095">
        <v>5</v>
      </c>
      <c r="D1095">
        <v>2</v>
      </c>
      <c r="E1095" t="s">
        <v>50</v>
      </c>
      <c r="F1095">
        <v>0</v>
      </c>
      <c r="G1095">
        <f>INDEX(weekly!$E$2:$E$188,MATCH('Marketing Campaigns 22.11.22'!L1095,weekly!$H$2:$H$188,0))</f>
        <v>6599.4193548387102</v>
      </c>
      <c r="H1095">
        <f>INDEX(weekly!$D$2:$D$188,MATCH('Marketing Campaigns 22.11.22'!L1095,weekly!$H$2:$H$188,0))</f>
        <v>8225</v>
      </c>
      <c r="I1095">
        <f>INDEX(weekly!$F$2:$F$188,MATCH('Marketing Campaigns 22.11.22'!L1095,weekly!$H$2:$H$188,0))</f>
        <v>4411.3548387096771</v>
      </c>
      <c r="J1095">
        <v>0</v>
      </c>
      <c r="K1095">
        <v>0</v>
      </c>
      <c r="L1095" t="str">
        <f t="shared" si="34"/>
        <v>20-5-2022</v>
      </c>
      <c r="M1095">
        <f t="shared" si="35"/>
        <v>2022</v>
      </c>
    </row>
    <row r="1096" spans="1:13" x14ac:dyDescent="0.2">
      <c r="A1096" s="1">
        <v>44697</v>
      </c>
      <c r="B1096">
        <v>20</v>
      </c>
      <c r="C1096">
        <v>5</v>
      </c>
      <c r="D1096">
        <v>2</v>
      </c>
      <c r="E1096" t="s">
        <v>51</v>
      </c>
      <c r="F1096">
        <v>0</v>
      </c>
      <c r="G1096">
        <f>INDEX(weekly!$E$2:$E$188,MATCH('Marketing Campaigns 22.11.22'!L1096,weekly!$H$2:$H$188,0))</f>
        <v>6599.4193548387102</v>
      </c>
      <c r="H1096">
        <f>INDEX(weekly!$D$2:$D$188,MATCH('Marketing Campaigns 22.11.22'!L1096,weekly!$H$2:$H$188,0))</f>
        <v>8225</v>
      </c>
      <c r="I1096">
        <f>INDEX(weekly!$F$2:$F$188,MATCH('Marketing Campaigns 22.11.22'!L1096,weekly!$H$2:$H$188,0))</f>
        <v>4411.3548387096771</v>
      </c>
      <c r="J1096">
        <v>0</v>
      </c>
      <c r="K1096">
        <v>0</v>
      </c>
      <c r="L1096" t="str">
        <f t="shared" si="34"/>
        <v>20-5-2022</v>
      </c>
      <c r="M1096">
        <f t="shared" si="35"/>
        <v>2022</v>
      </c>
    </row>
    <row r="1097" spans="1:13" x14ac:dyDescent="0.2">
      <c r="A1097" s="1">
        <v>44697</v>
      </c>
      <c r="B1097">
        <v>20</v>
      </c>
      <c r="C1097">
        <v>5</v>
      </c>
      <c r="D1097">
        <v>2</v>
      </c>
      <c r="E1097" t="s">
        <v>52</v>
      </c>
      <c r="F1097">
        <v>0</v>
      </c>
      <c r="G1097">
        <f>INDEX(weekly!$E$2:$E$188,MATCH('Marketing Campaigns 22.11.22'!L1097,weekly!$H$2:$H$188,0))</f>
        <v>6599.4193548387102</v>
      </c>
      <c r="H1097">
        <f>INDEX(weekly!$D$2:$D$188,MATCH('Marketing Campaigns 22.11.22'!L1097,weekly!$H$2:$H$188,0))</f>
        <v>8225</v>
      </c>
      <c r="I1097">
        <f>INDEX(weekly!$F$2:$F$188,MATCH('Marketing Campaigns 22.11.22'!L1097,weekly!$H$2:$H$188,0))</f>
        <v>4411.3548387096771</v>
      </c>
      <c r="J1097">
        <v>0</v>
      </c>
      <c r="K1097">
        <v>0</v>
      </c>
      <c r="L1097" t="str">
        <f t="shared" si="34"/>
        <v>20-5-2022</v>
      </c>
      <c r="M1097">
        <f t="shared" si="35"/>
        <v>2022</v>
      </c>
    </row>
    <row r="1098" spans="1:13" x14ac:dyDescent="0.2">
      <c r="A1098" s="1">
        <v>44704</v>
      </c>
      <c r="B1098">
        <v>21</v>
      </c>
      <c r="C1098">
        <v>5</v>
      </c>
      <c r="D1098">
        <v>2</v>
      </c>
      <c r="E1098" t="s">
        <v>24</v>
      </c>
      <c r="F1098">
        <v>0</v>
      </c>
      <c r="G1098">
        <f>INDEX(weekly!$E$2:$E$188,MATCH('Marketing Campaigns 22.11.22'!L1098,weekly!$H$2:$H$188,0))</f>
        <v>6599.4193548387102</v>
      </c>
      <c r="H1098">
        <f>INDEX(weekly!$D$2:$D$188,MATCH('Marketing Campaigns 22.11.22'!L1098,weekly!$H$2:$H$188,0))</f>
        <v>8225</v>
      </c>
      <c r="I1098">
        <f>INDEX(weekly!$F$2:$F$188,MATCH('Marketing Campaigns 22.11.22'!L1098,weekly!$H$2:$H$188,0))</f>
        <v>4411.3548387096771</v>
      </c>
      <c r="J1098">
        <v>0</v>
      </c>
      <c r="K1098">
        <v>0</v>
      </c>
      <c r="L1098" t="str">
        <f t="shared" si="34"/>
        <v>21-5-2022</v>
      </c>
      <c r="M1098">
        <f t="shared" si="35"/>
        <v>2022</v>
      </c>
    </row>
    <row r="1099" spans="1:13" x14ac:dyDescent="0.2">
      <c r="A1099" s="1">
        <v>44704</v>
      </c>
      <c r="B1099">
        <v>21</v>
      </c>
      <c r="C1099">
        <v>5</v>
      </c>
      <c r="D1099">
        <v>2</v>
      </c>
      <c r="E1099" t="s">
        <v>39</v>
      </c>
      <c r="F1099">
        <v>0</v>
      </c>
      <c r="G1099">
        <f>INDEX(weekly!$E$2:$E$188,MATCH('Marketing Campaigns 22.11.22'!L1099,weekly!$H$2:$H$188,0))</f>
        <v>6599.4193548387102</v>
      </c>
      <c r="H1099">
        <f>INDEX(weekly!$D$2:$D$188,MATCH('Marketing Campaigns 22.11.22'!L1099,weekly!$H$2:$H$188,0))</f>
        <v>8225</v>
      </c>
      <c r="I1099">
        <f>INDEX(weekly!$F$2:$F$188,MATCH('Marketing Campaigns 22.11.22'!L1099,weekly!$H$2:$H$188,0))</f>
        <v>4411.3548387096771</v>
      </c>
      <c r="J1099">
        <v>0</v>
      </c>
      <c r="K1099">
        <v>0</v>
      </c>
      <c r="L1099" t="str">
        <f t="shared" si="34"/>
        <v>21-5-2022</v>
      </c>
      <c r="M1099">
        <f t="shared" si="35"/>
        <v>2022</v>
      </c>
    </row>
    <row r="1100" spans="1:13" x14ac:dyDescent="0.2">
      <c r="A1100" s="1">
        <v>44704</v>
      </c>
      <c r="B1100">
        <v>21</v>
      </c>
      <c r="C1100">
        <v>5</v>
      </c>
      <c r="D1100">
        <v>2</v>
      </c>
      <c r="E1100" t="s">
        <v>40</v>
      </c>
      <c r="F1100">
        <v>0</v>
      </c>
      <c r="G1100">
        <f>INDEX(weekly!$E$2:$E$188,MATCH('Marketing Campaigns 22.11.22'!L1100,weekly!$H$2:$H$188,0))</f>
        <v>6599.4193548387102</v>
      </c>
      <c r="H1100">
        <f>INDEX(weekly!$D$2:$D$188,MATCH('Marketing Campaigns 22.11.22'!L1100,weekly!$H$2:$H$188,0))</f>
        <v>8225</v>
      </c>
      <c r="I1100">
        <f>INDEX(weekly!$F$2:$F$188,MATCH('Marketing Campaigns 22.11.22'!L1100,weekly!$H$2:$H$188,0))</f>
        <v>4411.3548387096771</v>
      </c>
      <c r="J1100">
        <v>0</v>
      </c>
      <c r="K1100">
        <v>0</v>
      </c>
      <c r="L1100" t="str">
        <f t="shared" si="34"/>
        <v>21-5-2022</v>
      </c>
      <c r="M1100">
        <f t="shared" si="35"/>
        <v>2022</v>
      </c>
    </row>
    <row r="1101" spans="1:13" x14ac:dyDescent="0.2">
      <c r="A1101" s="1">
        <v>44704</v>
      </c>
      <c r="B1101">
        <v>21</v>
      </c>
      <c r="C1101">
        <v>5</v>
      </c>
      <c r="D1101">
        <v>2</v>
      </c>
      <c r="E1101" t="s">
        <v>41</v>
      </c>
      <c r="F1101">
        <v>0</v>
      </c>
      <c r="G1101">
        <f>INDEX(weekly!$E$2:$E$188,MATCH('Marketing Campaigns 22.11.22'!L1101,weekly!$H$2:$H$188,0))</f>
        <v>6599.4193548387102</v>
      </c>
      <c r="H1101">
        <f>INDEX(weekly!$D$2:$D$188,MATCH('Marketing Campaigns 22.11.22'!L1101,weekly!$H$2:$H$188,0))</f>
        <v>8225</v>
      </c>
      <c r="I1101">
        <f>INDEX(weekly!$F$2:$F$188,MATCH('Marketing Campaigns 22.11.22'!L1101,weekly!$H$2:$H$188,0))</f>
        <v>4411.3548387096771</v>
      </c>
      <c r="J1101">
        <v>0</v>
      </c>
      <c r="K1101">
        <v>0</v>
      </c>
      <c r="L1101" t="str">
        <f t="shared" si="34"/>
        <v>21-5-2022</v>
      </c>
      <c r="M1101">
        <f t="shared" si="35"/>
        <v>2022</v>
      </c>
    </row>
    <row r="1102" spans="1:13" x14ac:dyDescent="0.2">
      <c r="A1102" s="1">
        <v>44704</v>
      </c>
      <c r="B1102">
        <v>21</v>
      </c>
      <c r="C1102">
        <v>5</v>
      </c>
      <c r="D1102">
        <v>2</v>
      </c>
      <c r="E1102" t="s">
        <v>42</v>
      </c>
      <c r="F1102">
        <v>0</v>
      </c>
      <c r="G1102">
        <f>INDEX(weekly!$E$2:$E$188,MATCH('Marketing Campaigns 22.11.22'!L1102,weekly!$H$2:$H$188,0))</f>
        <v>6599.4193548387102</v>
      </c>
      <c r="H1102">
        <f>INDEX(weekly!$D$2:$D$188,MATCH('Marketing Campaigns 22.11.22'!L1102,weekly!$H$2:$H$188,0))</f>
        <v>8225</v>
      </c>
      <c r="I1102">
        <f>INDEX(weekly!$F$2:$F$188,MATCH('Marketing Campaigns 22.11.22'!L1102,weekly!$H$2:$H$188,0))</f>
        <v>4411.3548387096771</v>
      </c>
      <c r="J1102">
        <v>0</v>
      </c>
      <c r="K1102">
        <v>0</v>
      </c>
      <c r="L1102" t="str">
        <f t="shared" si="34"/>
        <v>21-5-2022</v>
      </c>
      <c r="M1102">
        <f t="shared" si="35"/>
        <v>2022</v>
      </c>
    </row>
    <row r="1103" spans="1:13" x14ac:dyDescent="0.2">
      <c r="A1103" s="1">
        <v>44704</v>
      </c>
      <c r="B1103">
        <v>21</v>
      </c>
      <c r="C1103">
        <v>5</v>
      </c>
      <c r="D1103">
        <v>2</v>
      </c>
      <c r="E1103" t="s">
        <v>43</v>
      </c>
      <c r="F1103">
        <v>0</v>
      </c>
      <c r="G1103">
        <f>INDEX(weekly!$E$2:$E$188,MATCH('Marketing Campaigns 22.11.22'!L1103,weekly!$H$2:$H$188,0))</f>
        <v>6599.4193548387102</v>
      </c>
      <c r="H1103">
        <f>INDEX(weekly!$D$2:$D$188,MATCH('Marketing Campaigns 22.11.22'!L1103,weekly!$H$2:$H$188,0))</f>
        <v>8225</v>
      </c>
      <c r="I1103">
        <f>INDEX(weekly!$F$2:$F$188,MATCH('Marketing Campaigns 22.11.22'!L1103,weekly!$H$2:$H$188,0))</f>
        <v>4411.3548387096771</v>
      </c>
      <c r="J1103">
        <v>0</v>
      </c>
      <c r="K1103">
        <v>0</v>
      </c>
      <c r="L1103" t="str">
        <f t="shared" si="34"/>
        <v>21-5-2022</v>
      </c>
      <c r="M1103">
        <f t="shared" si="35"/>
        <v>2022</v>
      </c>
    </row>
    <row r="1104" spans="1:13" x14ac:dyDescent="0.2">
      <c r="A1104" s="1">
        <v>44704</v>
      </c>
      <c r="B1104">
        <v>21</v>
      </c>
      <c r="C1104">
        <v>5</v>
      </c>
      <c r="D1104">
        <v>2</v>
      </c>
      <c r="E1104" t="s">
        <v>44</v>
      </c>
      <c r="F1104">
        <v>0</v>
      </c>
      <c r="G1104">
        <f>INDEX(weekly!$E$2:$E$188,MATCH('Marketing Campaigns 22.11.22'!L1104,weekly!$H$2:$H$188,0))</f>
        <v>6599.4193548387102</v>
      </c>
      <c r="H1104">
        <f>INDEX(weekly!$D$2:$D$188,MATCH('Marketing Campaigns 22.11.22'!L1104,weekly!$H$2:$H$188,0))</f>
        <v>8225</v>
      </c>
      <c r="I1104">
        <f>INDEX(weekly!$F$2:$F$188,MATCH('Marketing Campaigns 22.11.22'!L1104,weekly!$H$2:$H$188,0))</f>
        <v>4411.3548387096771</v>
      </c>
      <c r="J1104">
        <v>0</v>
      </c>
      <c r="K1104">
        <v>0</v>
      </c>
      <c r="L1104" t="str">
        <f t="shared" si="34"/>
        <v>21-5-2022</v>
      </c>
      <c r="M1104">
        <f t="shared" si="35"/>
        <v>2022</v>
      </c>
    </row>
    <row r="1105" spans="1:13" x14ac:dyDescent="0.2">
      <c r="A1105" s="1">
        <v>44704</v>
      </c>
      <c r="B1105">
        <v>21</v>
      </c>
      <c r="C1105">
        <v>5</v>
      </c>
      <c r="D1105">
        <v>2</v>
      </c>
      <c r="E1105" t="s">
        <v>45</v>
      </c>
      <c r="F1105">
        <v>0</v>
      </c>
      <c r="G1105">
        <f>INDEX(weekly!$E$2:$E$188,MATCH('Marketing Campaigns 22.11.22'!L1105,weekly!$H$2:$H$188,0))</f>
        <v>6599.4193548387102</v>
      </c>
      <c r="H1105">
        <f>INDEX(weekly!$D$2:$D$188,MATCH('Marketing Campaigns 22.11.22'!L1105,weekly!$H$2:$H$188,0))</f>
        <v>8225</v>
      </c>
      <c r="I1105">
        <f>INDEX(weekly!$F$2:$F$188,MATCH('Marketing Campaigns 22.11.22'!L1105,weekly!$H$2:$H$188,0))</f>
        <v>4411.3548387096771</v>
      </c>
      <c r="J1105">
        <v>0</v>
      </c>
      <c r="K1105">
        <v>0</v>
      </c>
      <c r="L1105" t="str">
        <f t="shared" si="34"/>
        <v>21-5-2022</v>
      </c>
      <c r="M1105">
        <f t="shared" si="35"/>
        <v>2022</v>
      </c>
    </row>
    <row r="1106" spans="1:13" x14ac:dyDescent="0.2">
      <c r="A1106" s="1">
        <v>44704</v>
      </c>
      <c r="B1106">
        <v>21</v>
      </c>
      <c r="C1106">
        <v>5</v>
      </c>
      <c r="D1106">
        <v>2</v>
      </c>
      <c r="E1106" t="s">
        <v>46</v>
      </c>
      <c r="F1106">
        <v>0</v>
      </c>
      <c r="G1106">
        <f>INDEX(weekly!$E$2:$E$188,MATCH('Marketing Campaigns 22.11.22'!L1106,weekly!$H$2:$H$188,0))</f>
        <v>6599.4193548387102</v>
      </c>
      <c r="H1106">
        <f>INDEX(weekly!$D$2:$D$188,MATCH('Marketing Campaigns 22.11.22'!L1106,weekly!$H$2:$H$188,0))</f>
        <v>8225</v>
      </c>
      <c r="I1106">
        <f>INDEX(weekly!$F$2:$F$188,MATCH('Marketing Campaigns 22.11.22'!L1106,weekly!$H$2:$H$188,0))</f>
        <v>4411.3548387096771</v>
      </c>
      <c r="J1106">
        <v>0</v>
      </c>
      <c r="K1106">
        <v>0</v>
      </c>
      <c r="L1106" t="str">
        <f t="shared" si="34"/>
        <v>21-5-2022</v>
      </c>
      <c r="M1106">
        <f t="shared" si="35"/>
        <v>2022</v>
      </c>
    </row>
    <row r="1107" spans="1:13" x14ac:dyDescent="0.2">
      <c r="A1107" s="1">
        <v>44704</v>
      </c>
      <c r="B1107">
        <v>21</v>
      </c>
      <c r="C1107">
        <v>5</v>
      </c>
      <c r="D1107">
        <v>2</v>
      </c>
      <c r="E1107" t="s">
        <v>47</v>
      </c>
      <c r="F1107">
        <v>0</v>
      </c>
      <c r="G1107">
        <f>INDEX(weekly!$E$2:$E$188,MATCH('Marketing Campaigns 22.11.22'!L1107,weekly!$H$2:$H$188,0))</f>
        <v>6599.4193548387102</v>
      </c>
      <c r="H1107">
        <f>INDEX(weekly!$D$2:$D$188,MATCH('Marketing Campaigns 22.11.22'!L1107,weekly!$H$2:$H$188,0))</f>
        <v>8225</v>
      </c>
      <c r="I1107">
        <f>INDEX(weekly!$F$2:$F$188,MATCH('Marketing Campaigns 22.11.22'!L1107,weekly!$H$2:$H$188,0))</f>
        <v>4411.3548387096771</v>
      </c>
      <c r="J1107">
        <v>0</v>
      </c>
      <c r="K1107">
        <v>0</v>
      </c>
      <c r="L1107" t="str">
        <f t="shared" si="34"/>
        <v>21-5-2022</v>
      </c>
      <c r="M1107">
        <f t="shared" si="35"/>
        <v>2022</v>
      </c>
    </row>
    <row r="1108" spans="1:13" x14ac:dyDescent="0.2">
      <c r="A1108" s="1">
        <v>44704</v>
      </c>
      <c r="B1108">
        <v>21</v>
      </c>
      <c r="C1108">
        <v>5</v>
      </c>
      <c r="D1108">
        <v>2</v>
      </c>
      <c r="E1108" t="s">
        <v>48</v>
      </c>
      <c r="F1108">
        <v>0</v>
      </c>
      <c r="G1108">
        <f>INDEX(weekly!$E$2:$E$188,MATCH('Marketing Campaigns 22.11.22'!L1108,weekly!$H$2:$H$188,0))</f>
        <v>6599.4193548387102</v>
      </c>
      <c r="H1108">
        <f>INDEX(weekly!$D$2:$D$188,MATCH('Marketing Campaigns 22.11.22'!L1108,weekly!$H$2:$H$188,0))</f>
        <v>8225</v>
      </c>
      <c r="I1108">
        <f>INDEX(weekly!$F$2:$F$188,MATCH('Marketing Campaigns 22.11.22'!L1108,weekly!$H$2:$H$188,0))</f>
        <v>4411.3548387096771</v>
      </c>
      <c r="J1108">
        <v>0</v>
      </c>
      <c r="K1108">
        <v>0</v>
      </c>
      <c r="L1108" t="str">
        <f t="shared" si="34"/>
        <v>21-5-2022</v>
      </c>
      <c r="M1108">
        <f t="shared" si="35"/>
        <v>2022</v>
      </c>
    </row>
    <row r="1109" spans="1:13" x14ac:dyDescent="0.2">
      <c r="A1109" s="1">
        <v>44704</v>
      </c>
      <c r="B1109">
        <v>21</v>
      </c>
      <c r="C1109">
        <v>5</v>
      </c>
      <c r="D1109">
        <v>2</v>
      </c>
      <c r="E1109" t="s">
        <v>49</v>
      </c>
      <c r="F1109">
        <v>0</v>
      </c>
      <c r="G1109">
        <f>INDEX(weekly!$E$2:$E$188,MATCH('Marketing Campaigns 22.11.22'!L1109,weekly!$H$2:$H$188,0))</f>
        <v>6599.4193548387102</v>
      </c>
      <c r="H1109">
        <f>INDEX(weekly!$D$2:$D$188,MATCH('Marketing Campaigns 22.11.22'!L1109,weekly!$H$2:$H$188,0))</f>
        <v>8225</v>
      </c>
      <c r="I1109">
        <f>INDEX(weekly!$F$2:$F$188,MATCH('Marketing Campaigns 22.11.22'!L1109,weekly!$H$2:$H$188,0))</f>
        <v>4411.3548387096771</v>
      </c>
      <c r="J1109">
        <v>0</v>
      </c>
      <c r="K1109">
        <v>0</v>
      </c>
      <c r="L1109" t="str">
        <f t="shared" si="34"/>
        <v>21-5-2022</v>
      </c>
      <c r="M1109">
        <f t="shared" si="35"/>
        <v>2022</v>
      </c>
    </row>
    <row r="1110" spans="1:13" x14ac:dyDescent="0.2">
      <c r="A1110" s="1">
        <v>44704</v>
      </c>
      <c r="B1110">
        <v>21</v>
      </c>
      <c r="C1110">
        <v>5</v>
      </c>
      <c r="D1110">
        <v>2</v>
      </c>
      <c r="E1110" t="s">
        <v>50</v>
      </c>
      <c r="F1110">
        <v>0</v>
      </c>
      <c r="G1110">
        <f>INDEX(weekly!$E$2:$E$188,MATCH('Marketing Campaigns 22.11.22'!L1110,weekly!$H$2:$H$188,0))</f>
        <v>6599.4193548387102</v>
      </c>
      <c r="H1110">
        <f>INDEX(weekly!$D$2:$D$188,MATCH('Marketing Campaigns 22.11.22'!L1110,weekly!$H$2:$H$188,0))</f>
        <v>8225</v>
      </c>
      <c r="I1110">
        <f>INDEX(weekly!$F$2:$F$188,MATCH('Marketing Campaigns 22.11.22'!L1110,weekly!$H$2:$H$188,0))</f>
        <v>4411.3548387096771</v>
      </c>
      <c r="J1110">
        <v>0</v>
      </c>
      <c r="K1110">
        <v>0</v>
      </c>
      <c r="L1110" t="str">
        <f t="shared" si="34"/>
        <v>21-5-2022</v>
      </c>
      <c r="M1110">
        <f t="shared" si="35"/>
        <v>2022</v>
      </c>
    </row>
    <row r="1111" spans="1:13" x14ac:dyDescent="0.2">
      <c r="A1111" s="1">
        <v>44704</v>
      </c>
      <c r="B1111">
        <v>21</v>
      </c>
      <c r="C1111">
        <v>5</v>
      </c>
      <c r="D1111">
        <v>2</v>
      </c>
      <c r="E1111" t="s">
        <v>51</v>
      </c>
      <c r="F1111">
        <v>0</v>
      </c>
      <c r="G1111">
        <f>INDEX(weekly!$E$2:$E$188,MATCH('Marketing Campaigns 22.11.22'!L1111,weekly!$H$2:$H$188,0))</f>
        <v>6599.4193548387102</v>
      </c>
      <c r="H1111">
        <f>INDEX(weekly!$D$2:$D$188,MATCH('Marketing Campaigns 22.11.22'!L1111,weekly!$H$2:$H$188,0))</f>
        <v>8225</v>
      </c>
      <c r="I1111">
        <f>INDEX(weekly!$F$2:$F$188,MATCH('Marketing Campaigns 22.11.22'!L1111,weekly!$H$2:$H$188,0))</f>
        <v>4411.3548387096771</v>
      </c>
      <c r="J1111">
        <v>0</v>
      </c>
      <c r="K1111">
        <v>0</v>
      </c>
      <c r="L1111" t="str">
        <f t="shared" si="34"/>
        <v>21-5-2022</v>
      </c>
      <c r="M1111">
        <f t="shared" si="35"/>
        <v>2022</v>
      </c>
    </row>
    <row r="1112" spans="1:13" x14ac:dyDescent="0.2">
      <c r="A1112" s="1">
        <v>44704</v>
      </c>
      <c r="B1112">
        <v>21</v>
      </c>
      <c r="C1112">
        <v>5</v>
      </c>
      <c r="D1112">
        <v>2</v>
      </c>
      <c r="E1112" t="s">
        <v>52</v>
      </c>
      <c r="F1112">
        <v>0</v>
      </c>
      <c r="G1112">
        <f>INDEX(weekly!$E$2:$E$188,MATCH('Marketing Campaigns 22.11.22'!L1112,weekly!$H$2:$H$188,0))</f>
        <v>6599.4193548387102</v>
      </c>
      <c r="H1112">
        <f>INDEX(weekly!$D$2:$D$188,MATCH('Marketing Campaigns 22.11.22'!L1112,weekly!$H$2:$H$188,0))</f>
        <v>8225</v>
      </c>
      <c r="I1112">
        <f>INDEX(weekly!$F$2:$F$188,MATCH('Marketing Campaigns 22.11.22'!L1112,weekly!$H$2:$H$188,0))</f>
        <v>4411.3548387096771</v>
      </c>
      <c r="J1112">
        <v>0</v>
      </c>
      <c r="K1112">
        <v>0</v>
      </c>
      <c r="L1112" t="str">
        <f t="shared" si="34"/>
        <v>21-5-2022</v>
      </c>
      <c r="M1112">
        <f t="shared" si="35"/>
        <v>2022</v>
      </c>
    </row>
    <row r="1113" spans="1:13" x14ac:dyDescent="0.2">
      <c r="A1113" s="1">
        <v>44711</v>
      </c>
      <c r="B1113">
        <v>22</v>
      </c>
      <c r="C1113">
        <v>5</v>
      </c>
      <c r="D1113">
        <v>2</v>
      </c>
      <c r="E1113" t="s">
        <v>24</v>
      </c>
      <c r="F1113">
        <v>0</v>
      </c>
      <c r="G1113">
        <f>INDEX(weekly!$E$2:$E$188,MATCH('Marketing Campaigns 22.11.22'!L1113,weekly!$H$2:$H$188,0))</f>
        <v>1885.5483870967741</v>
      </c>
      <c r="H1113">
        <f>INDEX(weekly!$D$2:$D$188,MATCH('Marketing Campaigns 22.11.22'!L1113,weekly!$H$2:$H$188,0))</f>
        <v>2350</v>
      </c>
      <c r="I1113">
        <f>INDEX(weekly!$F$2:$F$188,MATCH('Marketing Campaigns 22.11.22'!L1113,weekly!$H$2:$H$188,0))</f>
        <v>1260.3870967741937</v>
      </c>
      <c r="J1113">
        <v>0</v>
      </c>
      <c r="K1113">
        <v>0</v>
      </c>
      <c r="L1113" t="str">
        <f t="shared" si="34"/>
        <v>22-5-2022</v>
      </c>
      <c r="M1113">
        <f t="shared" si="35"/>
        <v>2022</v>
      </c>
    </row>
    <row r="1114" spans="1:13" x14ac:dyDescent="0.2">
      <c r="A1114" s="1">
        <v>44711</v>
      </c>
      <c r="B1114">
        <v>22</v>
      </c>
      <c r="C1114">
        <v>5</v>
      </c>
      <c r="D1114">
        <v>2</v>
      </c>
      <c r="E1114" t="s">
        <v>39</v>
      </c>
      <c r="F1114">
        <v>0</v>
      </c>
      <c r="G1114">
        <f>INDEX(weekly!$E$2:$E$188,MATCH('Marketing Campaigns 22.11.22'!L1114,weekly!$H$2:$H$188,0))</f>
        <v>1885.5483870967741</v>
      </c>
      <c r="H1114">
        <f>INDEX(weekly!$D$2:$D$188,MATCH('Marketing Campaigns 22.11.22'!L1114,weekly!$H$2:$H$188,0))</f>
        <v>2350</v>
      </c>
      <c r="I1114">
        <f>INDEX(weekly!$F$2:$F$188,MATCH('Marketing Campaigns 22.11.22'!L1114,weekly!$H$2:$H$188,0))</f>
        <v>1260.3870967741937</v>
      </c>
      <c r="J1114">
        <v>0</v>
      </c>
      <c r="K1114">
        <v>0</v>
      </c>
      <c r="L1114" t="str">
        <f t="shared" si="34"/>
        <v>22-5-2022</v>
      </c>
      <c r="M1114">
        <f t="shared" si="35"/>
        <v>2022</v>
      </c>
    </row>
    <row r="1115" spans="1:13" x14ac:dyDescent="0.2">
      <c r="A1115" s="1">
        <v>44711</v>
      </c>
      <c r="B1115">
        <v>22</v>
      </c>
      <c r="C1115">
        <v>5</v>
      </c>
      <c r="D1115">
        <v>2</v>
      </c>
      <c r="E1115" t="s">
        <v>40</v>
      </c>
      <c r="F1115">
        <v>0</v>
      </c>
      <c r="G1115">
        <f>INDEX(weekly!$E$2:$E$188,MATCH('Marketing Campaigns 22.11.22'!L1115,weekly!$H$2:$H$188,0))</f>
        <v>1885.5483870967741</v>
      </c>
      <c r="H1115">
        <f>INDEX(weekly!$D$2:$D$188,MATCH('Marketing Campaigns 22.11.22'!L1115,weekly!$H$2:$H$188,0))</f>
        <v>2350</v>
      </c>
      <c r="I1115">
        <f>INDEX(weekly!$F$2:$F$188,MATCH('Marketing Campaigns 22.11.22'!L1115,weekly!$H$2:$H$188,0))</f>
        <v>1260.3870967741937</v>
      </c>
      <c r="J1115">
        <v>0</v>
      </c>
      <c r="K1115">
        <v>0</v>
      </c>
      <c r="L1115" t="str">
        <f t="shared" si="34"/>
        <v>22-5-2022</v>
      </c>
      <c r="M1115">
        <f t="shared" si="35"/>
        <v>2022</v>
      </c>
    </row>
    <row r="1116" spans="1:13" x14ac:dyDescent="0.2">
      <c r="A1116" s="1">
        <v>44711</v>
      </c>
      <c r="B1116">
        <v>22</v>
      </c>
      <c r="C1116">
        <v>5</v>
      </c>
      <c r="D1116">
        <v>2</v>
      </c>
      <c r="E1116" t="s">
        <v>41</v>
      </c>
      <c r="F1116">
        <v>0</v>
      </c>
      <c r="G1116">
        <f>INDEX(weekly!$E$2:$E$188,MATCH('Marketing Campaigns 22.11.22'!L1116,weekly!$H$2:$H$188,0))</f>
        <v>1885.5483870967741</v>
      </c>
      <c r="H1116">
        <f>INDEX(weekly!$D$2:$D$188,MATCH('Marketing Campaigns 22.11.22'!L1116,weekly!$H$2:$H$188,0))</f>
        <v>2350</v>
      </c>
      <c r="I1116">
        <f>INDEX(weekly!$F$2:$F$188,MATCH('Marketing Campaigns 22.11.22'!L1116,weekly!$H$2:$H$188,0))</f>
        <v>1260.3870967741937</v>
      </c>
      <c r="J1116">
        <v>0</v>
      </c>
      <c r="K1116">
        <v>0</v>
      </c>
      <c r="L1116" t="str">
        <f t="shared" si="34"/>
        <v>22-5-2022</v>
      </c>
      <c r="M1116">
        <f t="shared" si="35"/>
        <v>2022</v>
      </c>
    </row>
    <row r="1117" spans="1:13" x14ac:dyDescent="0.2">
      <c r="A1117" s="1">
        <v>44711</v>
      </c>
      <c r="B1117">
        <v>22</v>
      </c>
      <c r="C1117">
        <v>5</v>
      </c>
      <c r="D1117">
        <v>2</v>
      </c>
      <c r="E1117" t="s">
        <v>42</v>
      </c>
      <c r="F1117">
        <v>0</v>
      </c>
      <c r="G1117">
        <f>INDEX(weekly!$E$2:$E$188,MATCH('Marketing Campaigns 22.11.22'!L1117,weekly!$H$2:$H$188,0))</f>
        <v>1885.5483870967741</v>
      </c>
      <c r="H1117">
        <f>INDEX(weekly!$D$2:$D$188,MATCH('Marketing Campaigns 22.11.22'!L1117,weekly!$H$2:$H$188,0))</f>
        <v>2350</v>
      </c>
      <c r="I1117">
        <f>INDEX(weekly!$F$2:$F$188,MATCH('Marketing Campaigns 22.11.22'!L1117,weekly!$H$2:$H$188,0))</f>
        <v>1260.3870967741937</v>
      </c>
      <c r="J1117">
        <v>0</v>
      </c>
      <c r="K1117">
        <v>0</v>
      </c>
      <c r="L1117" t="str">
        <f t="shared" si="34"/>
        <v>22-5-2022</v>
      </c>
      <c r="M1117">
        <f t="shared" si="35"/>
        <v>2022</v>
      </c>
    </row>
    <row r="1118" spans="1:13" x14ac:dyDescent="0.2">
      <c r="A1118" s="1">
        <v>44711</v>
      </c>
      <c r="B1118">
        <v>22</v>
      </c>
      <c r="C1118">
        <v>5</v>
      </c>
      <c r="D1118">
        <v>2</v>
      </c>
      <c r="E1118" t="s">
        <v>43</v>
      </c>
      <c r="F1118">
        <v>0</v>
      </c>
      <c r="G1118">
        <f>INDEX(weekly!$E$2:$E$188,MATCH('Marketing Campaigns 22.11.22'!L1118,weekly!$H$2:$H$188,0))</f>
        <v>1885.5483870967741</v>
      </c>
      <c r="H1118">
        <f>INDEX(weekly!$D$2:$D$188,MATCH('Marketing Campaigns 22.11.22'!L1118,weekly!$H$2:$H$188,0))</f>
        <v>2350</v>
      </c>
      <c r="I1118">
        <f>INDEX(weekly!$F$2:$F$188,MATCH('Marketing Campaigns 22.11.22'!L1118,weekly!$H$2:$H$188,0))</f>
        <v>1260.3870967741937</v>
      </c>
      <c r="J1118">
        <v>0</v>
      </c>
      <c r="K1118">
        <v>0</v>
      </c>
      <c r="L1118" t="str">
        <f t="shared" si="34"/>
        <v>22-5-2022</v>
      </c>
      <c r="M1118">
        <f t="shared" si="35"/>
        <v>2022</v>
      </c>
    </row>
    <row r="1119" spans="1:13" x14ac:dyDescent="0.2">
      <c r="A1119" s="1">
        <v>44711</v>
      </c>
      <c r="B1119">
        <v>22</v>
      </c>
      <c r="C1119">
        <v>5</v>
      </c>
      <c r="D1119">
        <v>2</v>
      </c>
      <c r="E1119" t="s">
        <v>44</v>
      </c>
      <c r="F1119">
        <v>0</v>
      </c>
      <c r="G1119">
        <f>INDEX(weekly!$E$2:$E$188,MATCH('Marketing Campaigns 22.11.22'!L1119,weekly!$H$2:$H$188,0))</f>
        <v>1885.5483870967741</v>
      </c>
      <c r="H1119">
        <f>INDEX(weekly!$D$2:$D$188,MATCH('Marketing Campaigns 22.11.22'!L1119,weekly!$H$2:$H$188,0))</f>
        <v>2350</v>
      </c>
      <c r="I1119">
        <f>INDEX(weekly!$F$2:$F$188,MATCH('Marketing Campaigns 22.11.22'!L1119,weekly!$H$2:$H$188,0))</f>
        <v>1260.3870967741937</v>
      </c>
      <c r="J1119">
        <v>0</v>
      </c>
      <c r="K1119">
        <v>0</v>
      </c>
      <c r="L1119" t="str">
        <f t="shared" si="34"/>
        <v>22-5-2022</v>
      </c>
      <c r="M1119">
        <f t="shared" si="35"/>
        <v>2022</v>
      </c>
    </row>
    <row r="1120" spans="1:13" x14ac:dyDescent="0.2">
      <c r="A1120" s="1">
        <v>44711</v>
      </c>
      <c r="B1120">
        <v>22</v>
      </c>
      <c r="C1120">
        <v>5</v>
      </c>
      <c r="D1120">
        <v>2</v>
      </c>
      <c r="E1120" t="s">
        <v>45</v>
      </c>
      <c r="F1120">
        <v>0</v>
      </c>
      <c r="G1120">
        <f>INDEX(weekly!$E$2:$E$188,MATCH('Marketing Campaigns 22.11.22'!L1120,weekly!$H$2:$H$188,0))</f>
        <v>1885.5483870967741</v>
      </c>
      <c r="H1120">
        <f>INDEX(weekly!$D$2:$D$188,MATCH('Marketing Campaigns 22.11.22'!L1120,weekly!$H$2:$H$188,0))</f>
        <v>2350</v>
      </c>
      <c r="I1120">
        <f>INDEX(weekly!$F$2:$F$188,MATCH('Marketing Campaigns 22.11.22'!L1120,weekly!$H$2:$H$188,0))</f>
        <v>1260.3870967741937</v>
      </c>
      <c r="J1120">
        <v>0</v>
      </c>
      <c r="K1120">
        <v>0</v>
      </c>
      <c r="L1120" t="str">
        <f t="shared" si="34"/>
        <v>22-5-2022</v>
      </c>
      <c r="M1120">
        <f t="shared" si="35"/>
        <v>2022</v>
      </c>
    </row>
    <row r="1121" spans="1:13" x14ac:dyDescent="0.2">
      <c r="A1121" s="1">
        <v>44711</v>
      </c>
      <c r="B1121">
        <v>22</v>
      </c>
      <c r="C1121">
        <v>5</v>
      </c>
      <c r="D1121">
        <v>2</v>
      </c>
      <c r="E1121" t="s">
        <v>46</v>
      </c>
      <c r="F1121">
        <v>0</v>
      </c>
      <c r="G1121">
        <f>INDEX(weekly!$E$2:$E$188,MATCH('Marketing Campaigns 22.11.22'!L1121,weekly!$H$2:$H$188,0))</f>
        <v>1885.5483870967741</v>
      </c>
      <c r="H1121">
        <f>INDEX(weekly!$D$2:$D$188,MATCH('Marketing Campaigns 22.11.22'!L1121,weekly!$H$2:$H$188,0))</f>
        <v>2350</v>
      </c>
      <c r="I1121">
        <f>INDEX(weekly!$F$2:$F$188,MATCH('Marketing Campaigns 22.11.22'!L1121,weekly!$H$2:$H$188,0))</f>
        <v>1260.3870967741937</v>
      </c>
      <c r="J1121">
        <v>0</v>
      </c>
      <c r="K1121">
        <v>0</v>
      </c>
      <c r="L1121" t="str">
        <f t="shared" si="34"/>
        <v>22-5-2022</v>
      </c>
      <c r="M1121">
        <f t="shared" si="35"/>
        <v>2022</v>
      </c>
    </row>
    <row r="1122" spans="1:13" x14ac:dyDescent="0.2">
      <c r="A1122" s="1">
        <v>44711</v>
      </c>
      <c r="B1122">
        <v>22</v>
      </c>
      <c r="C1122">
        <v>5</v>
      </c>
      <c r="D1122">
        <v>2</v>
      </c>
      <c r="E1122" t="s">
        <v>47</v>
      </c>
      <c r="F1122">
        <v>0</v>
      </c>
      <c r="G1122">
        <f>INDEX(weekly!$E$2:$E$188,MATCH('Marketing Campaigns 22.11.22'!L1122,weekly!$H$2:$H$188,0))</f>
        <v>1885.5483870967741</v>
      </c>
      <c r="H1122">
        <f>INDEX(weekly!$D$2:$D$188,MATCH('Marketing Campaigns 22.11.22'!L1122,weekly!$H$2:$H$188,0))</f>
        <v>2350</v>
      </c>
      <c r="I1122">
        <f>INDEX(weekly!$F$2:$F$188,MATCH('Marketing Campaigns 22.11.22'!L1122,weekly!$H$2:$H$188,0))</f>
        <v>1260.3870967741937</v>
      </c>
      <c r="J1122">
        <v>0</v>
      </c>
      <c r="K1122">
        <v>0</v>
      </c>
      <c r="L1122" t="str">
        <f t="shared" si="34"/>
        <v>22-5-2022</v>
      </c>
      <c r="M1122">
        <f t="shared" si="35"/>
        <v>2022</v>
      </c>
    </row>
    <row r="1123" spans="1:13" x14ac:dyDescent="0.2">
      <c r="A1123" s="1">
        <v>44711</v>
      </c>
      <c r="B1123">
        <v>22</v>
      </c>
      <c r="C1123">
        <v>5</v>
      </c>
      <c r="D1123">
        <v>2</v>
      </c>
      <c r="E1123" t="s">
        <v>48</v>
      </c>
      <c r="F1123">
        <v>0</v>
      </c>
      <c r="G1123">
        <f>INDEX(weekly!$E$2:$E$188,MATCH('Marketing Campaigns 22.11.22'!L1123,weekly!$H$2:$H$188,0))</f>
        <v>1885.5483870967741</v>
      </c>
      <c r="H1123">
        <f>INDEX(weekly!$D$2:$D$188,MATCH('Marketing Campaigns 22.11.22'!L1123,weekly!$H$2:$H$188,0))</f>
        <v>2350</v>
      </c>
      <c r="I1123">
        <f>INDEX(weekly!$F$2:$F$188,MATCH('Marketing Campaigns 22.11.22'!L1123,weekly!$H$2:$H$188,0))</f>
        <v>1260.3870967741937</v>
      </c>
      <c r="J1123">
        <v>0</v>
      </c>
      <c r="K1123">
        <v>0</v>
      </c>
      <c r="L1123" t="str">
        <f t="shared" si="34"/>
        <v>22-5-2022</v>
      </c>
      <c r="M1123">
        <f t="shared" si="35"/>
        <v>2022</v>
      </c>
    </row>
    <row r="1124" spans="1:13" x14ac:dyDescent="0.2">
      <c r="A1124" s="1">
        <v>44711</v>
      </c>
      <c r="B1124">
        <v>22</v>
      </c>
      <c r="C1124">
        <v>5</v>
      </c>
      <c r="D1124">
        <v>2</v>
      </c>
      <c r="E1124" t="s">
        <v>49</v>
      </c>
      <c r="F1124">
        <v>0</v>
      </c>
      <c r="G1124">
        <f>INDEX(weekly!$E$2:$E$188,MATCH('Marketing Campaigns 22.11.22'!L1124,weekly!$H$2:$H$188,0))</f>
        <v>1885.5483870967741</v>
      </c>
      <c r="H1124">
        <f>INDEX(weekly!$D$2:$D$188,MATCH('Marketing Campaigns 22.11.22'!L1124,weekly!$H$2:$H$188,0))</f>
        <v>2350</v>
      </c>
      <c r="I1124">
        <f>INDEX(weekly!$F$2:$F$188,MATCH('Marketing Campaigns 22.11.22'!L1124,weekly!$H$2:$H$188,0))</f>
        <v>1260.3870967741937</v>
      </c>
      <c r="J1124">
        <v>0</v>
      </c>
      <c r="K1124">
        <v>0</v>
      </c>
      <c r="L1124" t="str">
        <f t="shared" si="34"/>
        <v>22-5-2022</v>
      </c>
      <c r="M1124">
        <f t="shared" si="35"/>
        <v>2022</v>
      </c>
    </row>
    <row r="1125" spans="1:13" x14ac:dyDescent="0.2">
      <c r="A1125" s="1">
        <v>44711</v>
      </c>
      <c r="B1125">
        <v>22</v>
      </c>
      <c r="C1125">
        <v>5</v>
      </c>
      <c r="D1125">
        <v>2</v>
      </c>
      <c r="E1125" t="s">
        <v>50</v>
      </c>
      <c r="F1125">
        <v>0</v>
      </c>
      <c r="G1125">
        <f>INDEX(weekly!$E$2:$E$188,MATCH('Marketing Campaigns 22.11.22'!L1125,weekly!$H$2:$H$188,0))</f>
        <v>1885.5483870967741</v>
      </c>
      <c r="H1125">
        <f>INDEX(weekly!$D$2:$D$188,MATCH('Marketing Campaigns 22.11.22'!L1125,weekly!$H$2:$H$188,0))</f>
        <v>2350</v>
      </c>
      <c r="I1125">
        <f>INDEX(weekly!$F$2:$F$188,MATCH('Marketing Campaigns 22.11.22'!L1125,weekly!$H$2:$H$188,0))</f>
        <v>1260.3870967741937</v>
      </c>
      <c r="J1125">
        <v>0</v>
      </c>
      <c r="K1125">
        <v>0</v>
      </c>
      <c r="L1125" t="str">
        <f t="shared" si="34"/>
        <v>22-5-2022</v>
      </c>
      <c r="M1125">
        <f t="shared" si="35"/>
        <v>2022</v>
      </c>
    </row>
    <row r="1126" spans="1:13" x14ac:dyDescent="0.2">
      <c r="A1126" s="1">
        <v>44711</v>
      </c>
      <c r="B1126">
        <v>22</v>
      </c>
      <c r="C1126">
        <v>5</v>
      </c>
      <c r="D1126">
        <v>2</v>
      </c>
      <c r="E1126" t="s">
        <v>51</v>
      </c>
      <c r="F1126">
        <v>0</v>
      </c>
      <c r="G1126">
        <f>INDEX(weekly!$E$2:$E$188,MATCH('Marketing Campaigns 22.11.22'!L1126,weekly!$H$2:$H$188,0))</f>
        <v>1885.5483870967741</v>
      </c>
      <c r="H1126">
        <f>INDEX(weekly!$D$2:$D$188,MATCH('Marketing Campaigns 22.11.22'!L1126,weekly!$H$2:$H$188,0))</f>
        <v>2350</v>
      </c>
      <c r="I1126">
        <f>INDEX(weekly!$F$2:$F$188,MATCH('Marketing Campaigns 22.11.22'!L1126,weekly!$H$2:$H$188,0))</f>
        <v>1260.3870967741937</v>
      </c>
      <c r="J1126">
        <v>0</v>
      </c>
      <c r="K1126">
        <v>0</v>
      </c>
      <c r="L1126" t="str">
        <f t="shared" si="34"/>
        <v>22-5-2022</v>
      </c>
      <c r="M1126">
        <f t="shared" si="35"/>
        <v>2022</v>
      </c>
    </row>
    <row r="1127" spans="1:13" x14ac:dyDescent="0.2">
      <c r="A1127" s="1">
        <v>44711</v>
      </c>
      <c r="B1127">
        <v>22</v>
      </c>
      <c r="C1127">
        <v>5</v>
      </c>
      <c r="D1127">
        <v>2</v>
      </c>
      <c r="E1127" t="s">
        <v>52</v>
      </c>
      <c r="F1127">
        <v>0</v>
      </c>
      <c r="G1127">
        <f>INDEX(weekly!$E$2:$E$188,MATCH('Marketing Campaigns 22.11.22'!L1127,weekly!$H$2:$H$188,0))</f>
        <v>1885.5483870967741</v>
      </c>
      <c r="H1127">
        <f>INDEX(weekly!$D$2:$D$188,MATCH('Marketing Campaigns 22.11.22'!L1127,weekly!$H$2:$H$188,0))</f>
        <v>2350</v>
      </c>
      <c r="I1127">
        <f>INDEX(weekly!$F$2:$F$188,MATCH('Marketing Campaigns 22.11.22'!L1127,weekly!$H$2:$H$188,0))</f>
        <v>1260.3870967741937</v>
      </c>
      <c r="J1127">
        <v>0</v>
      </c>
      <c r="K1127">
        <v>0</v>
      </c>
      <c r="L1127" t="str">
        <f t="shared" si="34"/>
        <v>22-5-2022</v>
      </c>
      <c r="M1127">
        <f t="shared" si="35"/>
        <v>2022</v>
      </c>
    </row>
    <row r="1128" spans="1:13" x14ac:dyDescent="0.2">
      <c r="A1128" s="1">
        <v>44718</v>
      </c>
      <c r="B1128">
        <v>23</v>
      </c>
      <c r="C1128">
        <v>6</v>
      </c>
      <c r="D1128">
        <v>2</v>
      </c>
      <c r="E1128" t="s">
        <v>24</v>
      </c>
      <c r="F1128">
        <v>0</v>
      </c>
      <c r="G1128">
        <f>INDEX(weekly!$E$2:$E$188,MATCH('Marketing Campaigns 22.11.22'!L1128,weekly!$H$2:$H$188,0))</f>
        <v>4818.8816666666671</v>
      </c>
      <c r="H1128">
        <f>INDEX(weekly!$D$2:$D$188,MATCH('Marketing Campaigns 22.11.22'!L1128,weekly!$H$2:$H$188,0))</f>
        <v>9405.6666666666679</v>
      </c>
      <c r="I1128">
        <f>INDEX(weekly!$F$2:$F$188,MATCH('Marketing Campaigns 22.11.22'!L1128,weekly!$H$2:$H$188,0))</f>
        <v>5241.1146666666655</v>
      </c>
      <c r="J1128">
        <v>0</v>
      </c>
      <c r="K1128">
        <v>0</v>
      </c>
      <c r="L1128" t="str">
        <f t="shared" si="34"/>
        <v>23-6-2022</v>
      </c>
      <c r="M1128">
        <f t="shared" si="35"/>
        <v>2022</v>
      </c>
    </row>
    <row r="1129" spans="1:13" x14ac:dyDescent="0.2">
      <c r="A1129" s="1">
        <v>44718</v>
      </c>
      <c r="B1129">
        <v>23</v>
      </c>
      <c r="C1129">
        <v>6</v>
      </c>
      <c r="D1129">
        <v>2</v>
      </c>
      <c r="E1129" t="s">
        <v>39</v>
      </c>
      <c r="F1129">
        <v>0</v>
      </c>
      <c r="G1129">
        <f>INDEX(weekly!$E$2:$E$188,MATCH('Marketing Campaigns 22.11.22'!L1129,weekly!$H$2:$H$188,0))</f>
        <v>4818.8816666666671</v>
      </c>
      <c r="H1129">
        <f>INDEX(weekly!$D$2:$D$188,MATCH('Marketing Campaigns 22.11.22'!L1129,weekly!$H$2:$H$188,0))</f>
        <v>9405.6666666666679</v>
      </c>
      <c r="I1129">
        <f>INDEX(weekly!$F$2:$F$188,MATCH('Marketing Campaigns 22.11.22'!L1129,weekly!$H$2:$H$188,0))</f>
        <v>5241.1146666666655</v>
      </c>
      <c r="J1129">
        <v>0</v>
      </c>
      <c r="K1129">
        <v>0</v>
      </c>
      <c r="L1129" t="str">
        <f t="shared" si="34"/>
        <v>23-6-2022</v>
      </c>
      <c r="M1129">
        <f t="shared" si="35"/>
        <v>2022</v>
      </c>
    </row>
    <row r="1130" spans="1:13" x14ac:dyDescent="0.2">
      <c r="A1130" s="1">
        <v>44718</v>
      </c>
      <c r="B1130">
        <v>23</v>
      </c>
      <c r="C1130">
        <v>6</v>
      </c>
      <c r="D1130">
        <v>2</v>
      </c>
      <c r="E1130" t="s">
        <v>40</v>
      </c>
      <c r="F1130">
        <v>0</v>
      </c>
      <c r="G1130">
        <f>INDEX(weekly!$E$2:$E$188,MATCH('Marketing Campaigns 22.11.22'!L1130,weekly!$H$2:$H$188,0))</f>
        <v>4818.8816666666671</v>
      </c>
      <c r="H1130">
        <f>INDEX(weekly!$D$2:$D$188,MATCH('Marketing Campaigns 22.11.22'!L1130,weekly!$H$2:$H$188,0))</f>
        <v>9405.6666666666679</v>
      </c>
      <c r="I1130">
        <f>INDEX(weekly!$F$2:$F$188,MATCH('Marketing Campaigns 22.11.22'!L1130,weekly!$H$2:$H$188,0))</f>
        <v>5241.1146666666655</v>
      </c>
      <c r="J1130">
        <v>0</v>
      </c>
      <c r="K1130">
        <v>0</v>
      </c>
      <c r="L1130" t="str">
        <f t="shared" si="34"/>
        <v>23-6-2022</v>
      </c>
      <c r="M1130">
        <f t="shared" si="35"/>
        <v>2022</v>
      </c>
    </row>
    <row r="1131" spans="1:13" x14ac:dyDescent="0.2">
      <c r="A1131" s="1">
        <v>44718</v>
      </c>
      <c r="B1131">
        <v>23</v>
      </c>
      <c r="C1131">
        <v>6</v>
      </c>
      <c r="D1131">
        <v>2</v>
      </c>
      <c r="E1131" t="s">
        <v>41</v>
      </c>
      <c r="F1131">
        <v>0</v>
      </c>
      <c r="G1131">
        <f>INDEX(weekly!$E$2:$E$188,MATCH('Marketing Campaigns 22.11.22'!L1131,weekly!$H$2:$H$188,0))</f>
        <v>4818.8816666666671</v>
      </c>
      <c r="H1131">
        <f>INDEX(weekly!$D$2:$D$188,MATCH('Marketing Campaigns 22.11.22'!L1131,weekly!$H$2:$H$188,0))</f>
        <v>9405.6666666666679</v>
      </c>
      <c r="I1131">
        <f>INDEX(weekly!$F$2:$F$188,MATCH('Marketing Campaigns 22.11.22'!L1131,weekly!$H$2:$H$188,0))</f>
        <v>5241.1146666666655</v>
      </c>
      <c r="J1131">
        <v>0</v>
      </c>
      <c r="K1131">
        <v>0</v>
      </c>
      <c r="L1131" t="str">
        <f t="shared" si="34"/>
        <v>23-6-2022</v>
      </c>
      <c r="M1131">
        <f t="shared" si="35"/>
        <v>2022</v>
      </c>
    </row>
    <row r="1132" spans="1:13" x14ac:dyDescent="0.2">
      <c r="A1132" s="1">
        <v>44718</v>
      </c>
      <c r="B1132">
        <v>23</v>
      </c>
      <c r="C1132">
        <v>6</v>
      </c>
      <c r="D1132">
        <v>2</v>
      </c>
      <c r="E1132" t="s">
        <v>42</v>
      </c>
      <c r="F1132">
        <v>0</v>
      </c>
      <c r="G1132">
        <f>INDEX(weekly!$E$2:$E$188,MATCH('Marketing Campaigns 22.11.22'!L1132,weekly!$H$2:$H$188,0))</f>
        <v>4818.8816666666671</v>
      </c>
      <c r="H1132">
        <f>INDEX(weekly!$D$2:$D$188,MATCH('Marketing Campaigns 22.11.22'!L1132,weekly!$H$2:$H$188,0))</f>
        <v>9405.6666666666679</v>
      </c>
      <c r="I1132">
        <f>INDEX(weekly!$F$2:$F$188,MATCH('Marketing Campaigns 22.11.22'!L1132,weekly!$H$2:$H$188,0))</f>
        <v>5241.1146666666655</v>
      </c>
      <c r="J1132">
        <v>0</v>
      </c>
      <c r="K1132">
        <v>0</v>
      </c>
      <c r="L1132" t="str">
        <f t="shared" si="34"/>
        <v>23-6-2022</v>
      </c>
      <c r="M1132">
        <f t="shared" si="35"/>
        <v>2022</v>
      </c>
    </row>
    <row r="1133" spans="1:13" x14ac:dyDescent="0.2">
      <c r="A1133" s="1">
        <v>44718</v>
      </c>
      <c r="B1133">
        <v>23</v>
      </c>
      <c r="C1133">
        <v>6</v>
      </c>
      <c r="D1133">
        <v>2</v>
      </c>
      <c r="E1133" t="s">
        <v>43</v>
      </c>
      <c r="F1133">
        <v>0</v>
      </c>
      <c r="G1133">
        <f>INDEX(weekly!$E$2:$E$188,MATCH('Marketing Campaigns 22.11.22'!L1133,weekly!$H$2:$H$188,0))</f>
        <v>4818.8816666666671</v>
      </c>
      <c r="H1133">
        <f>INDEX(weekly!$D$2:$D$188,MATCH('Marketing Campaigns 22.11.22'!L1133,weekly!$H$2:$H$188,0))</f>
        <v>9405.6666666666679</v>
      </c>
      <c r="I1133">
        <f>INDEX(weekly!$F$2:$F$188,MATCH('Marketing Campaigns 22.11.22'!L1133,weekly!$H$2:$H$188,0))</f>
        <v>5241.1146666666655</v>
      </c>
      <c r="J1133">
        <v>0</v>
      </c>
      <c r="K1133">
        <v>0</v>
      </c>
      <c r="L1133" t="str">
        <f t="shared" si="34"/>
        <v>23-6-2022</v>
      </c>
      <c r="M1133">
        <f t="shared" si="35"/>
        <v>2022</v>
      </c>
    </row>
    <row r="1134" spans="1:13" x14ac:dyDescent="0.2">
      <c r="A1134" s="1">
        <v>44718</v>
      </c>
      <c r="B1134">
        <v>23</v>
      </c>
      <c r="C1134">
        <v>6</v>
      </c>
      <c r="D1134">
        <v>2</v>
      </c>
      <c r="E1134" t="s">
        <v>44</v>
      </c>
      <c r="F1134">
        <v>0</v>
      </c>
      <c r="G1134">
        <f>INDEX(weekly!$E$2:$E$188,MATCH('Marketing Campaigns 22.11.22'!L1134,weekly!$H$2:$H$188,0))</f>
        <v>4818.8816666666671</v>
      </c>
      <c r="H1134">
        <f>INDEX(weekly!$D$2:$D$188,MATCH('Marketing Campaigns 22.11.22'!L1134,weekly!$H$2:$H$188,0))</f>
        <v>9405.6666666666679</v>
      </c>
      <c r="I1134">
        <f>INDEX(weekly!$F$2:$F$188,MATCH('Marketing Campaigns 22.11.22'!L1134,weekly!$H$2:$H$188,0))</f>
        <v>5241.1146666666655</v>
      </c>
      <c r="J1134">
        <v>0</v>
      </c>
      <c r="K1134">
        <v>0</v>
      </c>
      <c r="L1134" t="str">
        <f t="shared" si="34"/>
        <v>23-6-2022</v>
      </c>
      <c r="M1134">
        <f t="shared" si="35"/>
        <v>2022</v>
      </c>
    </row>
    <row r="1135" spans="1:13" x14ac:dyDescent="0.2">
      <c r="A1135" s="1">
        <v>44718</v>
      </c>
      <c r="B1135">
        <v>23</v>
      </c>
      <c r="C1135">
        <v>6</v>
      </c>
      <c r="D1135">
        <v>2</v>
      </c>
      <c r="E1135" t="s">
        <v>45</v>
      </c>
      <c r="F1135">
        <v>0</v>
      </c>
      <c r="G1135">
        <f>INDEX(weekly!$E$2:$E$188,MATCH('Marketing Campaigns 22.11.22'!L1135,weekly!$H$2:$H$188,0))</f>
        <v>4818.8816666666671</v>
      </c>
      <c r="H1135">
        <f>INDEX(weekly!$D$2:$D$188,MATCH('Marketing Campaigns 22.11.22'!L1135,weekly!$H$2:$H$188,0))</f>
        <v>9405.6666666666679</v>
      </c>
      <c r="I1135">
        <f>INDEX(weekly!$F$2:$F$188,MATCH('Marketing Campaigns 22.11.22'!L1135,weekly!$H$2:$H$188,0))</f>
        <v>5241.1146666666655</v>
      </c>
      <c r="J1135">
        <v>0</v>
      </c>
      <c r="K1135">
        <v>0</v>
      </c>
      <c r="L1135" t="str">
        <f t="shared" si="34"/>
        <v>23-6-2022</v>
      </c>
      <c r="M1135">
        <f t="shared" si="35"/>
        <v>2022</v>
      </c>
    </row>
    <row r="1136" spans="1:13" x14ac:dyDescent="0.2">
      <c r="A1136" s="1">
        <v>44718</v>
      </c>
      <c r="B1136">
        <v>23</v>
      </c>
      <c r="C1136">
        <v>6</v>
      </c>
      <c r="D1136">
        <v>2</v>
      </c>
      <c r="E1136" t="s">
        <v>46</v>
      </c>
      <c r="F1136">
        <v>0</v>
      </c>
      <c r="G1136">
        <f>INDEX(weekly!$E$2:$E$188,MATCH('Marketing Campaigns 22.11.22'!L1136,weekly!$H$2:$H$188,0))</f>
        <v>4818.8816666666671</v>
      </c>
      <c r="H1136">
        <f>INDEX(weekly!$D$2:$D$188,MATCH('Marketing Campaigns 22.11.22'!L1136,weekly!$H$2:$H$188,0))</f>
        <v>9405.6666666666679</v>
      </c>
      <c r="I1136">
        <f>INDEX(weekly!$F$2:$F$188,MATCH('Marketing Campaigns 22.11.22'!L1136,weekly!$H$2:$H$188,0))</f>
        <v>5241.1146666666655</v>
      </c>
      <c r="J1136">
        <v>0</v>
      </c>
      <c r="K1136">
        <v>0</v>
      </c>
      <c r="L1136" t="str">
        <f t="shared" si="34"/>
        <v>23-6-2022</v>
      </c>
      <c r="M1136">
        <f t="shared" si="35"/>
        <v>2022</v>
      </c>
    </row>
    <row r="1137" spans="1:13" x14ac:dyDescent="0.2">
      <c r="A1137" s="1">
        <v>44718</v>
      </c>
      <c r="B1137">
        <v>23</v>
      </c>
      <c r="C1137">
        <v>6</v>
      </c>
      <c r="D1137">
        <v>2</v>
      </c>
      <c r="E1137" t="s">
        <v>47</v>
      </c>
      <c r="F1137">
        <v>0</v>
      </c>
      <c r="G1137">
        <f>INDEX(weekly!$E$2:$E$188,MATCH('Marketing Campaigns 22.11.22'!L1137,weekly!$H$2:$H$188,0))</f>
        <v>4818.8816666666671</v>
      </c>
      <c r="H1137">
        <f>INDEX(weekly!$D$2:$D$188,MATCH('Marketing Campaigns 22.11.22'!L1137,weekly!$H$2:$H$188,0))</f>
        <v>9405.6666666666679</v>
      </c>
      <c r="I1137">
        <f>INDEX(weekly!$F$2:$F$188,MATCH('Marketing Campaigns 22.11.22'!L1137,weekly!$H$2:$H$188,0))</f>
        <v>5241.1146666666655</v>
      </c>
      <c r="J1137">
        <v>0</v>
      </c>
      <c r="K1137">
        <v>0</v>
      </c>
      <c r="L1137" t="str">
        <f t="shared" si="34"/>
        <v>23-6-2022</v>
      </c>
      <c r="M1137">
        <f t="shared" si="35"/>
        <v>2022</v>
      </c>
    </row>
    <row r="1138" spans="1:13" x14ac:dyDescent="0.2">
      <c r="A1138" s="1">
        <v>44718</v>
      </c>
      <c r="B1138">
        <v>23</v>
      </c>
      <c r="C1138">
        <v>6</v>
      </c>
      <c r="D1138">
        <v>2</v>
      </c>
      <c r="E1138" t="s">
        <v>48</v>
      </c>
      <c r="F1138">
        <v>0</v>
      </c>
      <c r="G1138">
        <f>INDEX(weekly!$E$2:$E$188,MATCH('Marketing Campaigns 22.11.22'!L1138,weekly!$H$2:$H$188,0))</f>
        <v>4818.8816666666671</v>
      </c>
      <c r="H1138">
        <f>INDEX(weekly!$D$2:$D$188,MATCH('Marketing Campaigns 22.11.22'!L1138,weekly!$H$2:$H$188,0))</f>
        <v>9405.6666666666679</v>
      </c>
      <c r="I1138">
        <f>INDEX(weekly!$F$2:$F$188,MATCH('Marketing Campaigns 22.11.22'!L1138,weekly!$H$2:$H$188,0))</f>
        <v>5241.1146666666655</v>
      </c>
      <c r="J1138">
        <v>0</v>
      </c>
      <c r="K1138">
        <v>0</v>
      </c>
      <c r="L1138" t="str">
        <f t="shared" si="34"/>
        <v>23-6-2022</v>
      </c>
      <c r="M1138">
        <f t="shared" si="35"/>
        <v>2022</v>
      </c>
    </row>
    <row r="1139" spans="1:13" x14ac:dyDescent="0.2">
      <c r="A1139" s="1">
        <v>44718</v>
      </c>
      <c r="B1139">
        <v>23</v>
      </c>
      <c r="C1139">
        <v>6</v>
      </c>
      <c r="D1139">
        <v>2</v>
      </c>
      <c r="E1139" t="s">
        <v>49</v>
      </c>
      <c r="F1139">
        <v>0</v>
      </c>
      <c r="G1139">
        <f>INDEX(weekly!$E$2:$E$188,MATCH('Marketing Campaigns 22.11.22'!L1139,weekly!$H$2:$H$188,0))</f>
        <v>4818.8816666666671</v>
      </c>
      <c r="H1139">
        <f>INDEX(weekly!$D$2:$D$188,MATCH('Marketing Campaigns 22.11.22'!L1139,weekly!$H$2:$H$188,0))</f>
        <v>9405.6666666666679</v>
      </c>
      <c r="I1139">
        <f>INDEX(weekly!$F$2:$F$188,MATCH('Marketing Campaigns 22.11.22'!L1139,weekly!$H$2:$H$188,0))</f>
        <v>5241.1146666666655</v>
      </c>
      <c r="J1139">
        <v>0</v>
      </c>
      <c r="K1139">
        <v>0</v>
      </c>
      <c r="L1139" t="str">
        <f t="shared" si="34"/>
        <v>23-6-2022</v>
      </c>
      <c r="M1139">
        <f t="shared" si="35"/>
        <v>2022</v>
      </c>
    </row>
    <row r="1140" spans="1:13" x14ac:dyDescent="0.2">
      <c r="A1140" s="1">
        <v>44718</v>
      </c>
      <c r="B1140">
        <v>23</v>
      </c>
      <c r="C1140">
        <v>6</v>
      </c>
      <c r="D1140">
        <v>2</v>
      </c>
      <c r="E1140" t="s">
        <v>50</v>
      </c>
      <c r="F1140">
        <v>0</v>
      </c>
      <c r="G1140">
        <f>INDEX(weekly!$E$2:$E$188,MATCH('Marketing Campaigns 22.11.22'!L1140,weekly!$H$2:$H$188,0))</f>
        <v>4818.8816666666671</v>
      </c>
      <c r="H1140">
        <f>INDEX(weekly!$D$2:$D$188,MATCH('Marketing Campaigns 22.11.22'!L1140,weekly!$H$2:$H$188,0))</f>
        <v>9405.6666666666679</v>
      </c>
      <c r="I1140">
        <f>INDEX(weekly!$F$2:$F$188,MATCH('Marketing Campaigns 22.11.22'!L1140,weekly!$H$2:$H$188,0))</f>
        <v>5241.1146666666655</v>
      </c>
      <c r="J1140">
        <v>0</v>
      </c>
      <c r="K1140">
        <v>0</v>
      </c>
      <c r="L1140" t="str">
        <f t="shared" si="34"/>
        <v>23-6-2022</v>
      </c>
      <c r="M1140">
        <f t="shared" si="35"/>
        <v>2022</v>
      </c>
    </row>
    <row r="1141" spans="1:13" x14ac:dyDescent="0.2">
      <c r="A1141" s="1">
        <v>44718</v>
      </c>
      <c r="B1141">
        <v>23</v>
      </c>
      <c r="C1141">
        <v>6</v>
      </c>
      <c r="D1141">
        <v>2</v>
      </c>
      <c r="E1141" t="s">
        <v>51</v>
      </c>
      <c r="F1141">
        <v>0</v>
      </c>
      <c r="G1141">
        <f>INDEX(weekly!$E$2:$E$188,MATCH('Marketing Campaigns 22.11.22'!L1141,weekly!$H$2:$H$188,0))</f>
        <v>4818.8816666666671</v>
      </c>
      <c r="H1141">
        <f>INDEX(weekly!$D$2:$D$188,MATCH('Marketing Campaigns 22.11.22'!L1141,weekly!$H$2:$H$188,0))</f>
        <v>9405.6666666666679</v>
      </c>
      <c r="I1141">
        <f>INDEX(weekly!$F$2:$F$188,MATCH('Marketing Campaigns 22.11.22'!L1141,weekly!$H$2:$H$188,0))</f>
        <v>5241.1146666666655</v>
      </c>
      <c r="J1141">
        <v>0</v>
      </c>
      <c r="K1141">
        <v>0</v>
      </c>
      <c r="L1141" t="str">
        <f t="shared" si="34"/>
        <v>23-6-2022</v>
      </c>
      <c r="M1141">
        <f t="shared" si="35"/>
        <v>2022</v>
      </c>
    </row>
    <row r="1142" spans="1:13" x14ac:dyDescent="0.2">
      <c r="A1142" s="1">
        <v>44718</v>
      </c>
      <c r="B1142">
        <v>23</v>
      </c>
      <c r="C1142">
        <v>6</v>
      </c>
      <c r="D1142">
        <v>2</v>
      </c>
      <c r="E1142" t="s">
        <v>52</v>
      </c>
      <c r="F1142">
        <v>0</v>
      </c>
      <c r="G1142">
        <f>INDEX(weekly!$E$2:$E$188,MATCH('Marketing Campaigns 22.11.22'!L1142,weekly!$H$2:$H$188,0))</f>
        <v>4818.8816666666671</v>
      </c>
      <c r="H1142">
        <f>INDEX(weekly!$D$2:$D$188,MATCH('Marketing Campaigns 22.11.22'!L1142,weekly!$H$2:$H$188,0))</f>
        <v>9405.6666666666679</v>
      </c>
      <c r="I1142">
        <f>INDEX(weekly!$F$2:$F$188,MATCH('Marketing Campaigns 22.11.22'!L1142,weekly!$H$2:$H$188,0))</f>
        <v>5241.1146666666655</v>
      </c>
      <c r="J1142">
        <v>0</v>
      </c>
      <c r="K1142">
        <v>0</v>
      </c>
      <c r="L1142" t="str">
        <f t="shared" si="34"/>
        <v>23-6-2022</v>
      </c>
      <c r="M1142">
        <f t="shared" si="35"/>
        <v>2022</v>
      </c>
    </row>
    <row r="1143" spans="1:13" x14ac:dyDescent="0.2">
      <c r="A1143" s="1">
        <v>44725</v>
      </c>
      <c r="B1143">
        <v>24</v>
      </c>
      <c r="C1143">
        <v>6</v>
      </c>
      <c r="D1143">
        <v>2</v>
      </c>
      <c r="E1143" t="s">
        <v>24</v>
      </c>
      <c r="F1143">
        <v>0</v>
      </c>
      <c r="G1143">
        <f>INDEX(weekly!$E$2:$E$188,MATCH('Marketing Campaigns 22.11.22'!L1143,weekly!$H$2:$H$188,0))</f>
        <v>4818.8816666666671</v>
      </c>
      <c r="H1143">
        <f>INDEX(weekly!$D$2:$D$188,MATCH('Marketing Campaigns 22.11.22'!L1143,weekly!$H$2:$H$188,0))</f>
        <v>9405.6666666666679</v>
      </c>
      <c r="I1143">
        <f>INDEX(weekly!$F$2:$F$188,MATCH('Marketing Campaigns 22.11.22'!L1143,weekly!$H$2:$H$188,0))</f>
        <v>5241.1146666666655</v>
      </c>
      <c r="J1143">
        <v>0</v>
      </c>
      <c r="K1143">
        <v>0</v>
      </c>
      <c r="L1143" t="str">
        <f t="shared" si="34"/>
        <v>24-6-2022</v>
      </c>
      <c r="M1143">
        <f t="shared" si="35"/>
        <v>2022</v>
      </c>
    </row>
    <row r="1144" spans="1:13" x14ac:dyDescent="0.2">
      <c r="A1144" s="1">
        <v>44725</v>
      </c>
      <c r="B1144">
        <v>24</v>
      </c>
      <c r="C1144">
        <v>6</v>
      </c>
      <c r="D1144">
        <v>2</v>
      </c>
      <c r="E1144" t="s">
        <v>39</v>
      </c>
      <c r="F1144">
        <v>0</v>
      </c>
      <c r="G1144">
        <f>INDEX(weekly!$E$2:$E$188,MATCH('Marketing Campaigns 22.11.22'!L1144,weekly!$H$2:$H$188,0))</f>
        <v>4818.8816666666671</v>
      </c>
      <c r="H1144">
        <f>INDEX(weekly!$D$2:$D$188,MATCH('Marketing Campaigns 22.11.22'!L1144,weekly!$H$2:$H$188,0))</f>
        <v>9405.6666666666679</v>
      </c>
      <c r="I1144">
        <f>INDEX(weekly!$F$2:$F$188,MATCH('Marketing Campaigns 22.11.22'!L1144,weekly!$H$2:$H$188,0))</f>
        <v>5241.1146666666655</v>
      </c>
      <c r="J1144">
        <v>0</v>
      </c>
      <c r="K1144">
        <v>0</v>
      </c>
      <c r="L1144" t="str">
        <f t="shared" si="34"/>
        <v>24-6-2022</v>
      </c>
      <c r="M1144">
        <f t="shared" si="35"/>
        <v>2022</v>
      </c>
    </row>
    <row r="1145" spans="1:13" x14ac:dyDescent="0.2">
      <c r="A1145" s="1">
        <v>44725</v>
      </c>
      <c r="B1145">
        <v>24</v>
      </c>
      <c r="C1145">
        <v>6</v>
      </c>
      <c r="D1145">
        <v>2</v>
      </c>
      <c r="E1145" t="s">
        <v>40</v>
      </c>
      <c r="F1145">
        <v>0</v>
      </c>
      <c r="G1145">
        <f>INDEX(weekly!$E$2:$E$188,MATCH('Marketing Campaigns 22.11.22'!L1145,weekly!$H$2:$H$188,0))</f>
        <v>4818.8816666666671</v>
      </c>
      <c r="H1145">
        <f>INDEX(weekly!$D$2:$D$188,MATCH('Marketing Campaigns 22.11.22'!L1145,weekly!$H$2:$H$188,0))</f>
        <v>9405.6666666666679</v>
      </c>
      <c r="I1145">
        <f>INDEX(weekly!$F$2:$F$188,MATCH('Marketing Campaigns 22.11.22'!L1145,weekly!$H$2:$H$188,0))</f>
        <v>5241.1146666666655</v>
      </c>
      <c r="J1145">
        <v>0</v>
      </c>
      <c r="K1145">
        <v>0</v>
      </c>
      <c r="L1145" t="str">
        <f t="shared" si="34"/>
        <v>24-6-2022</v>
      </c>
      <c r="M1145">
        <f t="shared" si="35"/>
        <v>2022</v>
      </c>
    </row>
    <row r="1146" spans="1:13" x14ac:dyDescent="0.2">
      <c r="A1146" s="1">
        <v>44725</v>
      </c>
      <c r="B1146">
        <v>24</v>
      </c>
      <c r="C1146">
        <v>6</v>
      </c>
      <c r="D1146">
        <v>2</v>
      </c>
      <c r="E1146" t="s">
        <v>41</v>
      </c>
      <c r="F1146">
        <v>0</v>
      </c>
      <c r="G1146">
        <f>INDEX(weekly!$E$2:$E$188,MATCH('Marketing Campaigns 22.11.22'!L1146,weekly!$H$2:$H$188,0))</f>
        <v>4818.8816666666671</v>
      </c>
      <c r="H1146">
        <f>INDEX(weekly!$D$2:$D$188,MATCH('Marketing Campaigns 22.11.22'!L1146,weekly!$H$2:$H$188,0))</f>
        <v>9405.6666666666679</v>
      </c>
      <c r="I1146">
        <f>INDEX(weekly!$F$2:$F$188,MATCH('Marketing Campaigns 22.11.22'!L1146,weekly!$H$2:$H$188,0))</f>
        <v>5241.1146666666655</v>
      </c>
      <c r="J1146">
        <v>0</v>
      </c>
      <c r="K1146">
        <v>0</v>
      </c>
      <c r="L1146" t="str">
        <f t="shared" si="34"/>
        <v>24-6-2022</v>
      </c>
      <c r="M1146">
        <f t="shared" si="35"/>
        <v>2022</v>
      </c>
    </row>
    <row r="1147" spans="1:13" x14ac:dyDescent="0.2">
      <c r="A1147" s="1">
        <v>44725</v>
      </c>
      <c r="B1147">
        <v>24</v>
      </c>
      <c r="C1147">
        <v>6</v>
      </c>
      <c r="D1147">
        <v>2</v>
      </c>
      <c r="E1147" t="s">
        <v>42</v>
      </c>
      <c r="F1147">
        <v>0</v>
      </c>
      <c r="G1147">
        <f>INDEX(weekly!$E$2:$E$188,MATCH('Marketing Campaigns 22.11.22'!L1147,weekly!$H$2:$H$188,0))</f>
        <v>4818.8816666666671</v>
      </c>
      <c r="H1147">
        <f>INDEX(weekly!$D$2:$D$188,MATCH('Marketing Campaigns 22.11.22'!L1147,weekly!$H$2:$H$188,0))</f>
        <v>9405.6666666666679</v>
      </c>
      <c r="I1147">
        <f>INDEX(weekly!$F$2:$F$188,MATCH('Marketing Campaigns 22.11.22'!L1147,weekly!$H$2:$H$188,0))</f>
        <v>5241.1146666666655</v>
      </c>
      <c r="J1147">
        <v>0</v>
      </c>
      <c r="K1147">
        <v>0</v>
      </c>
      <c r="L1147" t="str">
        <f t="shared" si="34"/>
        <v>24-6-2022</v>
      </c>
      <c r="M1147">
        <f t="shared" si="35"/>
        <v>2022</v>
      </c>
    </row>
    <row r="1148" spans="1:13" x14ac:dyDescent="0.2">
      <c r="A1148" s="1">
        <v>44725</v>
      </c>
      <c r="B1148">
        <v>24</v>
      </c>
      <c r="C1148">
        <v>6</v>
      </c>
      <c r="D1148">
        <v>2</v>
      </c>
      <c r="E1148" t="s">
        <v>43</v>
      </c>
      <c r="F1148">
        <v>0</v>
      </c>
      <c r="G1148">
        <f>INDEX(weekly!$E$2:$E$188,MATCH('Marketing Campaigns 22.11.22'!L1148,weekly!$H$2:$H$188,0))</f>
        <v>4818.8816666666671</v>
      </c>
      <c r="H1148">
        <f>INDEX(weekly!$D$2:$D$188,MATCH('Marketing Campaigns 22.11.22'!L1148,weekly!$H$2:$H$188,0))</f>
        <v>9405.6666666666679</v>
      </c>
      <c r="I1148">
        <f>INDEX(weekly!$F$2:$F$188,MATCH('Marketing Campaigns 22.11.22'!L1148,weekly!$H$2:$H$188,0))</f>
        <v>5241.1146666666655</v>
      </c>
      <c r="J1148">
        <v>0</v>
      </c>
      <c r="K1148">
        <v>0</v>
      </c>
      <c r="L1148" t="str">
        <f t="shared" si="34"/>
        <v>24-6-2022</v>
      </c>
      <c r="M1148">
        <f t="shared" si="35"/>
        <v>2022</v>
      </c>
    </row>
    <row r="1149" spans="1:13" x14ac:dyDescent="0.2">
      <c r="A1149" s="1">
        <v>44725</v>
      </c>
      <c r="B1149">
        <v>24</v>
      </c>
      <c r="C1149">
        <v>6</v>
      </c>
      <c r="D1149">
        <v>2</v>
      </c>
      <c r="E1149" t="s">
        <v>44</v>
      </c>
      <c r="F1149">
        <v>0</v>
      </c>
      <c r="G1149">
        <f>INDEX(weekly!$E$2:$E$188,MATCH('Marketing Campaigns 22.11.22'!L1149,weekly!$H$2:$H$188,0))</f>
        <v>4818.8816666666671</v>
      </c>
      <c r="H1149">
        <f>INDEX(weekly!$D$2:$D$188,MATCH('Marketing Campaigns 22.11.22'!L1149,weekly!$H$2:$H$188,0))</f>
        <v>9405.6666666666679</v>
      </c>
      <c r="I1149">
        <f>INDEX(weekly!$F$2:$F$188,MATCH('Marketing Campaigns 22.11.22'!L1149,weekly!$H$2:$H$188,0))</f>
        <v>5241.1146666666655</v>
      </c>
      <c r="J1149">
        <v>0</v>
      </c>
      <c r="K1149">
        <v>0</v>
      </c>
      <c r="L1149" t="str">
        <f t="shared" si="34"/>
        <v>24-6-2022</v>
      </c>
      <c r="M1149">
        <f t="shared" si="35"/>
        <v>2022</v>
      </c>
    </row>
    <row r="1150" spans="1:13" x14ac:dyDescent="0.2">
      <c r="A1150" s="1">
        <v>44725</v>
      </c>
      <c r="B1150">
        <v>24</v>
      </c>
      <c r="C1150">
        <v>6</v>
      </c>
      <c r="D1150">
        <v>2</v>
      </c>
      <c r="E1150" t="s">
        <v>45</v>
      </c>
      <c r="F1150">
        <v>0</v>
      </c>
      <c r="G1150">
        <f>INDEX(weekly!$E$2:$E$188,MATCH('Marketing Campaigns 22.11.22'!L1150,weekly!$H$2:$H$188,0))</f>
        <v>4818.8816666666671</v>
      </c>
      <c r="H1150">
        <f>INDEX(weekly!$D$2:$D$188,MATCH('Marketing Campaigns 22.11.22'!L1150,weekly!$H$2:$H$188,0))</f>
        <v>9405.6666666666679</v>
      </c>
      <c r="I1150">
        <f>INDEX(weekly!$F$2:$F$188,MATCH('Marketing Campaigns 22.11.22'!L1150,weekly!$H$2:$H$188,0))</f>
        <v>5241.1146666666655</v>
      </c>
      <c r="J1150">
        <v>0</v>
      </c>
      <c r="K1150">
        <v>0</v>
      </c>
      <c r="L1150" t="str">
        <f t="shared" si="34"/>
        <v>24-6-2022</v>
      </c>
      <c r="M1150">
        <f t="shared" si="35"/>
        <v>2022</v>
      </c>
    </row>
    <row r="1151" spans="1:13" x14ac:dyDescent="0.2">
      <c r="A1151" s="1">
        <v>44725</v>
      </c>
      <c r="B1151">
        <v>24</v>
      </c>
      <c r="C1151">
        <v>6</v>
      </c>
      <c r="D1151">
        <v>2</v>
      </c>
      <c r="E1151" t="s">
        <v>46</v>
      </c>
      <c r="F1151">
        <v>0</v>
      </c>
      <c r="G1151">
        <f>INDEX(weekly!$E$2:$E$188,MATCH('Marketing Campaigns 22.11.22'!L1151,weekly!$H$2:$H$188,0))</f>
        <v>4818.8816666666671</v>
      </c>
      <c r="H1151">
        <f>INDEX(weekly!$D$2:$D$188,MATCH('Marketing Campaigns 22.11.22'!L1151,weekly!$H$2:$H$188,0))</f>
        <v>9405.6666666666679</v>
      </c>
      <c r="I1151">
        <f>INDEX(weekly!$F$2:$F$188,MATCH('Marketing Campaigns 22.11.22'!L1151,weekly!$H$2:$H$188,0))</f>
        <v>5241.1146666666655</v>
      </c>
      <c r="J1151">
        <v>0</v>
      </c>
      <c r="K1151">
        <v>0</v>
      </c>
      <c r="L1151" t="str">
        <f t="shared" si="34"/>
        <v>24-6-2022</v>
      </c>
      <c r="M1151">
        <f t="shared" si="35"/>
        <v>2022</v>
      </c>
    </row>
    <row r="1152" spans="1:13" x14ac:dyDescent="0.2">
      <c r="A1152" s="1">
        <v>44725</v>
      </c>
      <c r="B1152">
        <v>24</v>
      </c>
      <c r="C1152">
        <v>6</v>
      </c>
      <c r="D1152">
        <v>2</v>
      </c>
      <c r="E1152" t="s">
        <v>47</v>
      </c>
      <c r="F1152">
        <v>0</v>
      </c>
      <c r="G1152">
        <f>INDEX(weekly!$E$2:$E$188,MATCH('Marketing Campaigns 22.11.22'!L1152,weekly!$H$2:$H$188,0))</f>
        <v>4818.8816666666671</v>
      </c>
      <c r="H1152">
        <f>INDEX(weekly!$D$2:$D$188,MATCH('Marketing Campaigns 22.11.22'!L1152,weekly!$H$2:$H$188,0))</f>
        <v>9405.6666666666679</v>
      </c>
      <c r="I1152">
        <f>INDEX(weekly!$F$2:$F$188,MATCH('Marketing Campaigns 22.11.22'!L1152,weekly!$H$2:$H$188,0))</f>
        <v>5241.1146666666655</v>
      </c>
      <c r="J1152">
        <v>0</v>
      </c>
      <c r="K1152">
        <v>0</v>
      </c>
      <c r="L1152" t="str">
        <f t="shared" si="34"/>
        <v>24-6-2022</v>
      </c>
      <c r="M1152">
        <f t="shared" si="35"/>
        <v>2022</v>
      </c>
    </row>
    <row r="1153" spans="1:13" x14ac:dyDescent="0.2">
      <c r="A1153" s="1">
        <v>44725</v>
      </c>
      <c r="B1153">
        <v>24</v>
      </c>
      <c r="C1153">
        <v>6</v>
      </c>
      <c r="D1153">
        <v>2</v>
      </c>
      <c r="E1153" t="s">
        <v>48</v>
      </c>
      <c r="F1153">
        <v>0</v>
      </c>
      <c r="G1153">
        <f>INDEX(weekly!$E$2:$E$188,MATCH('Marketing Campaigns 22.11.22'!L1153,weekly!$H$2:$H$188,0))</f>
        <v>4818.8816666666671</v>
      </c>
      <c r="H1153">
        <f>INDEX(weekly!$D$2:$D$188,MATCH('Marketing Campaigns 22.11.22'!L1153,weekly!$H$2:$H$188,0))</f>
        <v>9405.6666666666679</v>
      </c>
      <c r="I1153">
        <f>INDEX(weekly!$F$2:$F$188,MATCH('Marketing Campaigns 22.11.22'!L1153,weekly!$H$2:$H$188,0))</f>
        <v>5241.1146666666655</v>
      </c>
      <c r="J1153">
        <v>0</v>
      </c>
      <c r="K1153">
        <v>0</v>
      </c>
      <c r="L1153" t="str">
        <f t="shared" si="34"/>
        <v>24-6-2022</v>
      </c>
      <c r="M1153">
        <f t="shared" si="35"/>
        <v>2022</v>
      </c>
    </row>
    <row r="1154" spans="1:13" x14ac:dyDescent="0.2">
      <c r="A1154" s="1">
        <v>44725</v>
      </c>
      <c r="B1154">
        <v>24</v>
      </c>
      <c r="C1154">
        <v>6</v>
      </c>
      <c r="D1154">
        <v>2</v>
      </c>
      <c r="E1154" t="s">
        <v>49</v>
      </c>
      <c r="F1154">
        <v>0</v>
      </c>
      <c r="G1154">
        <f>INDEX(weekly!$E$2:$E$188,MATCH('Marketing Campaigns 22.11.22'!L1154,weekly!$H$2:$H$188,0))</f>
        <v>4818.8816666666671</v>
      </c>
      <c r="H1154">
        <f>INDEX(weekly!$D$2:$D$188,MATCH('Marketing Campaigns 22.11.22'!L1154,weekly!$H$2:$H$188,0))</f>
        <v>9405.6666666666679</v>
      </c>
      <c r="I1154">
        <f>INDEX(weekly!$F$2:$F$188,MATCH('Marketing Campaigns 22.11.22'!L1154,weekly!$H$2:$H$188,0))</f>
        <v>5241.1146666666655</v>
      </c>
      <c r="J1154">
        <v>0</v>
      </c>
      <c r="K1154">
        <v>0</v>
      </c>
      <c r="L1154" t="str">
        <f t="shared" si="34"/>
        <v>24-6-2022</v>
      </c>
      <c r="M1154">
        <f t="shared" si="35"/>
        <v>2022</v>
      </c>
    </row>
    <row r="1155" spans="1:13" x14ac:dyDescent="0.2">
      <c r="A1155" s="1">
        <v>44725</v>
      </c>
      <c r="B1155">
        <v>24</v>
      </c>
      <c r="C1155">
        <v>6</v>
      </c>
      <c r="D1155">
        <v>2</v>
      </c>
      <c r="E1155" t="s">
        <v>50</v>
      </c>
      <c r="F1155">
        <v>0</v>
      </c>
      <c r="G1155">
        <f>INDEX(weekly!$E$2:$E$188,MATCH('Marketing Campaigns 22.11.22'!L1155,weekly!$H$2:$H$188,0))</f>
        <v>4818.8816666666671</v>
      </c>
      <c r="H1155">
        <f>INDEX(weekly!$D$2:$D$188,MATCH('Marketing Campaigns 22.11.22'!L1155,weekly!$H$2:$H$188,0))</f>
        <v>9405.6666666666679</v>
      </c>
      <c r="I1155">
        <f>INDEX(weekly!$F$2:$F$188,MATCH('Marketing Campaigns 22.11.22'!L1155,weekly!$H$2:$H$188,0))</f>
        <v>5241.1146666666655</v>
      </c>
      <c r="J1155">
        <v>0</v>
      </c>
      <c r="K1155">
        <v>0</v>
      </c>
      <c r="L1155" t="str">
        <f t="shared" si="34"/>
        <v>24-6-2022</v>
      </c>
      <c r="M1155">
        <f t="shared" si="35"/>
        <v>2022</v>
      </c>
    </row>
    <row r="1156" spans="1:13" x14ac:dyDescent="0.2">
      <c r="A1156" s="1">
        <v>44725</v>
      </c>
      <c r="B1156">
        <v>24</v>
      </c>
      <c r="C1156">
        <v>6</v>
      </c>
      <c r="D1156">
        <v>2</v>
      </c>
      <c r="E1156" t="s">
        <v>51</v>
      </c>
      <c r="F1156">
        <v>0</v>
      </c>
      <c r="G1156">
        <f>INDEX(weekly!$E$2:$E$188,MATCH('Marketing Campaigns 22.11.22'!L1156,weekly!$H$2:$H$188,0))</f>
        <v>4818.8816666666671</v>
      </c>
      <c r="H1156">
        <f>INDEX(weekly!$D$2:$D$188,MATCH('Marketing Campaigns 22.11.22'!L1156,weekly!$H$2:$H$188,0))</f>
        <v>9405.6666666666679</v>
      </c>
      <c r="I1156">
        <f>INDEX(weekly!$F$2:$F$188,MATCH('Marketing Campaigns 22.11.22'!L1156,weekly!$H$2:$H$188,0))</f>
        <v>5241.1146666666655</v>
      </c>
      <c r="J1156">
        <v>0</v>
      </c>
      <c r="K1156">
        <v>0</v>
      </c>
      <c r="L1156" t="str">
        <f t="shared" ref="L1156:L1219" si="36">B1156&amp;"-"&amp;C1156&amp;"-"&amp;M1156</f>
        <v>24-6-2022</v>
      </c>
      <c r="M1156">
        <f t="shared" ref="M1156:M1219" si="37">YEAR(A1156)</f>
        <v>2022</v>
      </c>
    </row>
    <row r="1157" spans="1:13" x14ac:dyDescent="0.2">
      <c r="A1157" s="1">
        <v>44725</v>
      </c>
      <c r="B1157">
        <v>24</v>
      </c>
      <c r="C1157">
        <v>6</v>
      </c>
      <c r="D1157">
        <v>2</v>
      </c>
      <c r="E1157" t="s">
        <v>52</v>
      </c>
      <c r="F1157">
        <v>0</v>
      </c>
      <c r="G1157">
        <f>INDEX(weekly!$E$2:$E$188,MATCH('Marketing Campaigns 22.11.22'!L1157,weekly!$H$2:$H$188,0))</f>
        <v>4818.8816666666671</v>
      </c>
      <c r="H1157">
        <f>INDEX(weekly!$D$2:$D$188,MATCH('Marketing Campaigns 22.11.22'!L1157,weekly!$H$2:$H$188,0))</f>
        <v>9405.6666666666679</v>
      </c>
      <c r="I1157">
        <f>INDEX(weekly!$F$2:$F$188,MATCH('Marketing Campaigns 22.11.22'!L1157,weekly!$H$2:$H$188,0))</f>
        <v>5241.1146666666655</v>
      </c>
      <c r="J1157">
        <v>0</v>
      </c>
      <c r="K1157">
        <v>0</v>
      </c>
      <c r="L1157" t="str">
        <f t="shared" si="36"/>
        <v>24-6-2022</v>
      </c>
      <c r="M1157">
        <f t="shared" si="37"/>
        <v>2022</v>
      </c>
    </row>
    <row r="1158" spans="1:13" x14ac:dyDescent="0.2">
      <c r="A1158" s="1">
        <v>44732</v>
      </c>
      <c r="B1158">
        <v>25</v>
      </c>
      <c r="C1158">
        <v>6</v>
      </c>
      <c r="D1158">
        <v>2</v>
      </c>
      <c r="E1158" t="s">
        <v>24</v>
      </c>
      <c r="F1158">
        <v>0</v>
      </c>
      <c r="G1158">
        <f>INDEX(weekly!$E$2:$E$188,MATCH('Marketing Campaigns 22.11.22'!L1158,weekly!$H$2:$H$188,0))</f>
        <v>4818.8816666666671</v>
      </c>
      <c r="H1158">
        <f>INDEX(weekly!$D$2:$D$188,MATCH('Marketing Campaigns 22.11.22'!L1158,weekly!$H$2:$H$188,0))</f>
        <v>9405.6666666666679</v>
      </c>
      <c r="I1158">
        <f>INDEX(weekly!$F$2:$F$188,MATCH('Marketing Campaigns 22.11.22'!L1158,weekly!$H$2:$H$188,0))</f>
        <v>5241.1146666666655</v>
      </c>
      <c r="J1158">
        <v>0</v>
      </c>
      <c r="K1158">
        <v>0</v>
      </c>
      <c r="L1158" t="str">
        <f t="shared" si="36"/>
        <v>25-6-2022</v>
      </c>
      <c r="M1158">
        <f t="shared" si="37"/>
        <v>2022</v>
      </c>
    </row>
    <row r="1159" spans="1:13" x14ac:dyDescent="0.2">
      <c r="A1159" s="1">
        <v>44732</v>
      </c>
      <c r="B1159">
        <v>25</v>
      </c>
      <c r="C1159">
        <v>6</v>
      </c>
      <c r="D1159">
        <v>2</v>
      </c>
      <c r="E1159" t="s">
        <v>39</v>
      </c>
      <c r="F1159">
        <v>0</v>
      </c>
      <c r="G1159">
        <f>INDEX(weekly!$E$2:$E$188,MATCH('Marketing Campaigns 22.11.22'!L1159,weekly!$H$2:$H$188,0))</f>
        <v>4818.8816666666671</v>
      </c>
      <c r="H1159">
        <f>INDEX(weekly!$D$2:$D$188,MATCH('Marketing Campaigns 22.11.22'!L1159,weekly!$H$2:$H$188,0))</f>
        <v>9405.6666666666679</v>
      </c>
      <c r="I1159">
        <f>INDEX(weekly!$F$2:$F$188,MATCH('Marketing Campaigns 22.11.22'!L1159,weekly!$H$2:$H$188,0))</f>
        <v>5241.1146666666655</v>
      </c>
      <c r="J1159">
        <v>0</v>
      </c>
      <c r="K1159">
        <v>0</v>
      </c>
      <c r="L1159" t="str">
        <f t="shared" si="36"/>
        <v>25-6-2022</v>
      </c>
      <c r="M1159">
        <f t="shared" si="37"/>
        <v>2022</v>
      </c>
    </row>
    <row r="1160" spans="1:13" x14ac:dyDescent="0.2">
      <c r="A1160" s="1">
        <v>44732</v>
      </c>
      <c r="B1160">
        <v>25</v>
      </c>
      <c r="C1160">
        <v>6</v>
      </c>
      <c r="D1160">
        <v>2</v>
      </c>
      <c r="E1160" t="s">
        <v>40</v>
      </c>
      <c r="F1160">
        <v>0</v>
      </c>
      <c r="G1160">
        <f>INDEX(weekly!$E$2:$E$188,MATCH('Marketing Campaigns 22.11.22'!L1160,weekly!$H$2:$H$188,0))</f>
        <v>4818.8816666666671</v>
      </c>
      <c r="H1160">
        <f>INDEX(weekly!$D$2:$D$188,MATCH('Marketing Campaigns 22.11.22'!L1160,weekly!$H$2:$H$188,0))</f>
        <v>9405.6666666666679</v>
      </c>
      <c r="I1160">
        <f>INDEX(weekly!$F$2:$F$188,MATCH('Marketing Campaigns 22.11.22'!L1160,weekly!$H$2:$H$188,0))</f>
        <v>5241.1146666666655</v>
      </c>
      <c r="J1160">
        <v>0</v>
      </c>
      <c r="K1160">
        <v>0</v>
      </c>
      <c r="L1160" t="str">
        <f t="shared" si="36"/>
        <v>25-6-2022</v>
      </c>
      <c r="M1160">
        <f t="shared" si="37"/>
        <v>2022</v>
      </c>
    </row>
    <row r="1161" spans="1:13" x14ac:dyDescent="0.2">
      <c r="A1161" s="1">
        <v>44732</v>
      </c>
      <c r="B1161">
        <v>25</v>
      </c>
      <c r="C1161">
        <v>6</v>
      </c>
      <c r="D1161">
        <v>2</v>
      </c>
      <c r="E1161" t="s">
        <v>41</v>
      </c>
      <c r="F1161">
        <v>0</v>
      </c>
      <c r="G1161">
        <f>INDEX(weekly!$E$2:$E$188,MATCH('Marketing Campaigns 22.11.22'!L1161,weekly!$H$2:$H$188,0))</f>
        <v>4818.8816666666671</v>
      </c>
      <c r="H1161">
        <f>INDEX(weekly!$D$2:$D$188,MATCH('Marketing Campaigns 22.11.22'!L1161,weekly!$H$2:$H$188,0))</f>
        <v>9405.6666666666679</v>
      </c>
      <c r="I1161">
        <f>INDEX(weekly!$F$2:$F$188,MATCH('Marketing Campaigns 22.11.22'!L1161,weekly!$H$2:$H$188,0))</f>
        <v>5241.1146666666655</v>
      </c>
      <c r="J1161">
        <v>0</v>
      </c>
      <c r="K1161">
        <v>0</v>
      </c>
      <c r="L1161" t="str">
        <f t="shared" si="36"/>
        <v>25-6-2022</v>
      </c>
      <c r="M1161">
        <f t="shared" si="37"/>
        <v>2022</v>
      </c>
    </row>
    <row r="1162" spans="1:13" x14ac:dyDescent="0.2">
      <c r="A1162" s="1">
        <v>44732</v>
      </c>
      <c r="B1162">
        <v>25</v>
      </c>
      <c r="C1162">
        <v>6</v>
      </c>
      <c r="D1162">
        <v>2</v>
      </c>
      <c r="E1162" t="s">
        <v>42</v>
      </c>
      <c r="F1162">
        <v>0</v>
      </c>
      <c r="G1162">
        <f>INDEX(weekly!$E$2:$E$188,MATCH('Marketing Campaigns 22.11.22'!L1162,weekly!$H$2:$H$188,0))</f>
        <v>4818.8816666666671</v>
      </c>
      <c r="H1162">
        <f>INDEX(weekly!$D$2:$D$188,MATCH('Marketing Campaigns 22.11.22'!L1162,weekly!$H$2:$H$188,0))</f>
        <v>9405.6666666666679</v>
      </c>
      <c r="I1162">
        <f>INDEX(weekly!$F$2:$F$188,MATCH('Marketing Campaigns 22.11.22'!L1162,weekly!$H$2:$H$188,0))</f>
        <v>5241.1146666666655</v>
      </c>
      <c r="J1162">
        <v>0</v>
      </c>
      <c r="K1162">
        <v>0</v>
      </c>
      <c r="L1162" t="str">
        <f t="shared" si="36"/>
        <v>25-6-2022</v>
      </c>
      <c r="M1162">
        <f t="shared" si="37"/>
        <v>2022</v>
      </c>
    </row>
    <row r="1163" spans="1:13" x14ac:dyDescent="0.2">
      <c r="A1163" s="1">
        <v>44732</v>
      </c>
      <c r="B1163">
        <v>25</v>
      </c>
      <c r="C1163">
        <v>6</v>
      </c>
      <c r="D1163">
        <v>2</v>
      </c>
      <c r="E1163" t="s">
        <v>43</v>
      </c>
      <c r="F1163">
        <v>0</v>
      </c>
      <c r="G1163">
        <f>INDEX(weekly!$E$2:$E$188,MATCH('Marketing Campaigns 22.11.22'!L1163,weekly!$H$2:$H$188,0))</f>
        <v>4818.8816666666671</v>
      </c>
      <c r="H1163">
        <f>INDEX(weekly!$D$2:$D$188,MATCH('Marketing Campaigns 22.11.22'!L1163,weekly!$H$2:$H$188,0))</f>
        <v>9405.6666666666679</v>
      </c>
      <c r="I1163">
        <f>INDEX(weekly!$F$2:$F$188,MATCH('Marketing Campaigns 22.11.22'!L1163,weekly!$H$2:$H$188,0))</f>
        <v>5241.1146666666655</v>
      </c>
      <c r="J1163">
        <v>0</v>
      </c>
      <c r="K1163">
        <v>0</v>
      </c>
      <c r="L1163" t="str">
        <f t="shared" si="36"/>
        <v>25-6-2022</v>
      </c>
      <c r="M1163">
        <f t="shared" si="37"/>
        <v>2022</v>
      </c>
    </row>
    <row r="1164" spans="1:13" x14ac:dyDescent="0.2">
      <c r="A1164" s="1">
        <v>44732</v>
      </c>
      <c r="B1164">
        <v>25</v>
      </c>
      <c r="C1164">
        <v>6</v>
      </c>
      <c r="D1164">
        <v>2</v>
      </c>
      <c r="E1164" t="s">
        <v>44</v>
      </c>
      <c r="F1164">
        <v>0</v>
      </c>
      <c r="G1164">
        <f>INDEX(weekly!$E$2:$E$188,MATCH('Marketing Campaigns 22.11.22'!L1164,weekly!$H$2:$H$188,0))</f>
        <v>4818.8816666666671</v>
      </c>
      <c r="H1164">
        <f>INDEX(weekly!$D$2:$D$188,MATCH('Marketing Campaigns 22.11.22'!L1164,weekly!$H$2:$H$188,0))</f>
        <v>9405.6666666666679</v>
      </c>
      <c r="I1164">
        <f>INDEX(weekly!$F$2:$F$188,MATCH('Marketing Campaigns 22.11.22'!L1164,weekly!$H$2:$H$188,0))</f>
        <v>5241.1146666666655</v>
      </c>
      <c r="J1164">
        <v>0</v>
      </c>
      <c r="K1164">
        <v>0</v>
      </c>
      <c r="L1164" t="str">
        <f t="shared" si="36"/>
        <v>25-6-2022</v>
      </c>
      <c r="M1164">
        <f t="shared" si="37"/>
        <v>2022</v>
      </c>
    </row>
    <row r="1165" spans="1:13" x14ac:dyDescent="0.2">
      <c r="A1165" s="1">
        <v>44732</v>
      </c>
      <c r="B1165">
        <v>25</v>
      </c>
      <c r="C1165">
        <v>6</v>
      </c>
      <c r="D1165">
        <v>2</v>
      </c>
      <c r="E1165" t="s">
        <v>45</v>
      </c>
      <c r="F1165">
        <v>0</v>
      </c>
      <c r="G1165">
        <f>INDEX(weekly!$E$2:$E$188,MATCH('Marketing Campaigns 22.11.22'!L1165,weekly!$H$2:$H$188,0))</f>
        <v>4818.8816666666671</v>
      </c>
      <c r="H1165">
        <f>INDEX(weekly!$D$2:$D$188,MATCH('Marketing Campaigns 22.11.22'!L1165,weekly!$H$2:$H$188,0))</f>
        <v>9405.6666666666679</v>
      </c>
      <c r="I1165">
        <f>INDEX(weekly!$F$2:$F$188,MATCH('Marketing Campaigns 22.11.22'!L1165,weekly!$H$2:$H$188,0))</f>
        <v>5241.1146666666655</v>
      </c>
      <c r="J1165">
        <v>0</v>
      </c>
      <c r="K1165">
        <v>0</v>
      </c>
      <c r="L1165" t="str">
        <f t="shared" si="36"/>
        <v>25-6-2022</v>
      </c>
      <c r="M1165">
        <f t="shared" si="37"/>
        <v>2022</v>
      </c>
    </row>
    <row r="1166" spans="1:13" x14ac:dyDescent="0.2">
      <c r="A1166" s="1">
        <v>44732</v>
      </c>
      <c r="B1166">
        <v>25</v>
      </c>
      <c r="C1166">
        <v>6</v>
      </c>
      <c r="D1166">
        <v>2</v>
      </c>
      <c r="E1166" t="s">
        <v>46</v>
      </c>
      <c r="F1166">
        <v>0</v>
      </c>
      <c r="G1166">
        <f>INDEX(weekly!$E$2:$E$188,MATCH('Marketing Campaigns 22.11.22'!L1166,weekly!$H$2:$H$188,0))</f>
        <v>4818.8816666666671</v>
      </c>
      <c r="H1166">
        <f>INDEX(weekly!$D$2:$D$188,MATCH('Marketing Campaigns 22.11.22'!L1166,weekly!$H$2:$H$188,0))</f>
        <v>9405.6666666666679</v>
      </c>
      <c r="I1166">
        <f>INDEX(weekly!$F$2:$F$188,MATCH('Marketing Campaigns 22.11.22'!L1166,weekly!$H$2:$H$188,0))</f>
        <v>5241.1146666666655</v>
      </c>
      <c r="J1166">
        <v>0</v>
      </c>
      <c r="K1166">
        <v>0</v>
      </c>
      <c r="L1166" t="str">
        <f t="shared" si="36"/>
        <v>25-6-2022</v>
      </c>
      <c r="M1166">
        <f t="shared" si="37"/>
        <v>2022</v>
      </c>
    </row>
    <row r="1167" spans="1:13" x14ac:dyDescent="0.2">
      <c r="A1167" s="1">
        <v>44732</v>
      </c>
      <c r="B1167">
        <v>25</v>
      </c>
      <c r="C1167">
        <v>6</v>
      </c>
      <c r="D1167">
        <v>2</v>
      </c>
      <c r="E1167" t="s">
        <v>47</v>
      </c>
      <c r="F1167">
        <v>0</v>
      </c>
      <c r="G1167">
        <f>INDEX(weekly!$E$2:$E$188,MATCH('Marketing Campaigns 22.11.22'!L1167,weekly!$H$2:$H$188,0))</f>
        <v>4818.8816666666671</v>
      </c>
      <c r="H1167">
        <f>INDEX(weekly!$D$2:$D$188,MATCH('Marketing Campaigns 22.11.22'!L1167,weekly!$H$2:$H$188,0))</f>
        <v>9405.6666666666679</v>
      </c>
      <c r="I1167">
        <f>INDEX(weekly!$F$2:$F$188,MATCH('Marketing Campaigns 22.11.22'!L1167,weekly!$H$2:$H$188,0))</f>
        <v>5241.1146666666655</v>
      </c>
      <c r="J1167">
        <v>0</v>
      </c>
      <c r="K1167">
        <v>0</v>
      </c>
      <c r="L1167" t="str">
        <f t="shared" si="36"/>
        <v>25-6-2022</v>
      </c>
      <c r="M1167">
        <f t="shared" si="37"/>
        <v>2022</v>
      </c>
    </row>
    <row r="1168" spans="1:13" x14ac:dyDescent="0.2">
      <c r="A1168" s="1">
        <v>44732</v>
      </c>
      <c r="B1168">
        <v>25</v>
      </c>
      <c r="C1168">
        <v>6</v>
      </c>
      <c r="D1168">
        <v>2</v>
      </c>
      <c r="E1168" t="s">
        <v>48</v>
      </c>
      <c r="F1168">
        <v>0</v>
      </c>
      <c r="G1168">
        <f>INDEX(weekly!$E$2:$E$188,MATCH('Marketing Campaigns 22.11.22'!L1168,weekly!$H$2:$H$188,0))</f>
        <v>4818.8816666666671</v>
      </c>
      <c r="H1168">
        <f>INDEX(weekly!$D$2:$D$188,MATCH('Marketing Campaigns 22.11.22'!L1168,weekly!$H$2:$H$188,0))</f>
        <v>9405.6666666666679</v>
      </c>
      <c r="I1168">
        <f>INDEX(weekly!$F$2:$F$188,MATCH('Marketing Campaigns 22.11.22'!L1168,weekly!$H$2:$H$188,0))</f>
        <v>5241.1146666666655</v>
      </c>
      <c r="J1168">
        <v>0</v>
      </c>
      <c r="K1168">
        <v>0</v>
      </c>
      <c r="L1168" t="str">
        <f t="shared" si="36"/>
        <v>25-6-2022</v>
      </c>
      <c r="M1168">
        <f t="shared" si="37"/>
        <v>2022</v>
      </c>
    </row>
    <row r="1169" spans="1:13" x14ac:dyDescent="0.2">
      <c r="A1169" s="1">
        <v>44732</v>
      </c>
      <c r="B1169">
        <v>25</v>
      </c>
      <c r="C1169">
        <v>6</v>
      </c>
      <c r="D1169">
        <v>2</v>
      </c>
      <c r="E1169" t="s">
        <v>49</v>
      </c>
      <c r="F1169">
        <v>0</v>
      </c>
      <c r="G1169">
        <f>INDEX(weekly!$E$2:$E$188,MATCH('Marketing Campaigns 22.11.22'!L1169,weekly!$H$2:$H$188,0))</f>
        <v>4818.8816666666671</v>
      </c>
      <c r="H1169">
        <f>INDEX(weekly!$D$2:$D$188,MATCH('Marketing Campaigns 22.11.22'!L1169,weekly!$H$2:$H$188,0))</f>
        <v>9405.6666666666679</v>
      </c>
      <c r="I1169">
        <f>INDEX(weekly!$F$2:$F$188,MATCH('Marketing Campaigns 22.11.22'!L1169,weekly!$H$2:$H$188,0))</f>
        <v>5241.1146666666655</v>
      </c>
      <c r="J1169">
        <v>0</v>
      </c>
      <c r="K1169">
        <v>0</v>
      </c>
      <c r="L1169" t="str">
        <f t="shared" si="36"/>
        <v>25-6-2022</v>
      </c>
      <c r="M1169">
        <f t="shared" si="37"/>
        <v>2022</v>
      </c>
    </row>
    <row r="1170" spans="1:13" x14ac:dyDescent="0.2">
      <c r="A1170" s="1">
        <v>44732</v>
      </c>
      <c r="B1170">
        <v>25</v>
      </c>
      <c r="C1170">
        <v>6</v>
      </c>
      <c r="D1170">
        <v>2</v>
      </c>
      <c r="E1170" t="s">
        <v>50</v>
      </c>
      <c r="F1170">
        <v>0</v>
      </c>
      <c r="G1170">
        <f>INDEX(weekly!$E$2:$E$188,MATCH('Marketing Campaigns 22.11.22'!L1170,weekly!$H$2:$H$188,0))</f>
        <v>4818.8816666666671</v>
      </c>
      <c r="H1170">
        <f>INDEX(weekly!$D$2:$D$188,MATCH('Marketing Campaigns 22.11.22'!L1170,weekly!$H$2:$H$188,0))</f>
        <v>9405.6666666666679</v>
      </c>
      <c r="I1170">
        <f>INDEX(weekly!$F$2:$F$188,MATCH('Marketing Campaigns 22.11.22'!L1170,weekly!$H$2:$H$188,0))</f>
        <v>5241.1146666666655</v>
      </c>
      <c r="J1170">
        <v>0</v>
      </c>
      <c r="K1170">
        <v>0</v>
      </c>
      <c r="L1170" t="str">
        <f t="shared" si="36"/>
        <v>25-6-2022</v>
      </c>
      <c r="M1170">
        <f t="shared" si="37"/>
        <v>2022</v>
      </c>
    </row>
    <row r="1171" spans="1:13" x14ac:dyDescent="0.2">
      <c r="A1171" s="1">
        <v>44732</v>
      </c>
      <c r="B1171">
        <v>25</v>
      </c>
      <c r="C1171">
        <v>6</v>
      </c>
      <c r="D1171">
        <v>2</v>
      </c>
      <c r="E1171" t="s">
        <v>51</v>
      </c>
      <c r="F1171">
        <v>0</v>
      </c>
      <c r="G1171">
        <f>INDEX(weekly!$E$2:$E$188,MATCH('Marketing Campaigns 22.11.22'!L1171,weekly!$H$2:$H$188,0))</f>
        <v>4818.8816666666671</v>
      </c>
      <c r="H1171">
        <f>INDEX(weekly!$D$2:$D$188,MATCH('Marketing Campaigns 22.11.22'!L1171,weekly!$H$2:$H$188,0))</f>
        <v>9405.6666666666679</v>
      </c>
      <c r="I1171">
        <f>INDEX(weekly!$F$2:$F$188,MATCH('Marketing Campaigns 22.11.22'!L1171,weekly!$H$2:$H$188,0))</f>
        <v>5241.1146666666655</v>
      </c>
      <c r="J1171">
        <v>0</v>
      </c>
      <c r="K1171">
        <v>0</v>
      </c>
      <c r="L1171" t="str">
        <f t="shared" si="36"/>
        <v>25-6-2022</v>
      </c>
      <c r="M1171">
        <f t="shared" si="37"/>
        <v>2022</v>
      </c>
    </row>
    <row r="1172" spans="1:13" x14ac:dyDescent="0.2">
      <c r="A1172" s="1">
        <v>44732</v>
      </c>
      <c r="B1172">
        <v>25</v>
      </c>
      <c r="C1172">
        <v>6</v>
      </c>
      <c r="D1172">
        <v>2</v>
      </c>
      <c r="E1172" t="s">
        <v>52</v>
      </c>
      <c r="F1172">
        <v>0</v>
      </c>
      <c r="G1172">
        <f>INDEX(weekly!$E$2:$E$188,MATCH('Marketing Campaigns 22.11.22'!L1172,weekly!$H$2:$H$188,0))</f>
        <v>4818.8816666666671</v>
      </c>
      <c r="H1172">
        <f>INDEX(weekly!$D$2:$D$188,MATCH('Marketing Campaigns 22.11.22'!L1172,weekly!$H$2:$H$188,0))</f>
        <v>9405.6666666666679</v>
      </c>
      <c r="I1172">
        <f>INDEX(weekly!$F$2:$F$188,MATCH('Marketing Campaigns 22.11.22'!L1172,weekly!$H$2:$H$188,0))</f>
        <v>5241.1146666666655</v>
      </c>
      <c r="J1172">
        <v>0</v>
      </c>
      <c r="K1172">
        <v>0</v>
      </c>
      <c r="L1172" t="str">
        <f t="shared" si="36"/>
        <v>25-6-2022</v>
      </c>
      <c r="M1172">
        <f t="shared" si="37"/>
        <v>2022</v>
      </c>
    </row>
    <row r="1173" spans="1:13" x14ac:dyDescent="0.2">
      <c r="A1173" s="1">
        <v>44739</v>
      </c>
      <c r="B1173">
        <v>26</v>
      </c>
      <c r="C1173">
        <v>6</v>
      </c>
      <c r="D1173">
        <v>2</v>
      </c>
      <c r="E1173" t="s">
        <v>24</v>
      </c>
      <c r="F1173">
        <v>0</v>
      </c>
      <c r="G1173">
        <f>INDEX(weekly!$E$2:$E$188,MATCH('Marketing Campaigns 22.11.22'!L1173,weekly!$H$2:$H$188,0))</f>
        <v>2753.6466666666665</v>
      </c>
      <c r="H1173">
        <f>INDEX(weekly!$D$2:$D$188,MATCH('Marketing Campaigns 22.11.22'!L1173,weekly!$H$2:$H$188,0))</f>
        <v>5374.666666666667</v>
      </c>
      <c r="I1173">
        <f>INDEX(weekly!$F$2:$F$188,MATCH('Marketing Campaigns 22.11.22'!L1173,weekly!$H$2:$H$188,0))</f>
        <v>2994.9226666666664</v>
      </c>
      <c r="J1173">
        <v>0</v>
      </c>
      <c r="K1173">
        <v>0</v>
      </c>
      <c r="L1173" t="str">
        <f t="shared" si="36"/>
        <v>26-6-2022</v>
      </c>
      <c r="M1173">
        <f t="shared" si="37"/>
        <v>2022</v>
      </c>
    </row>
    <row r="1174" spans="1:13" x14ac:dyDescent="0.2">
      <c r="A1174" s="1">
        <v>44739</v>
      </c>
      <c r="B1174">
        <v>26</v>
      </c>
      <c r="C1174">
        <v>6</v>
      </c>
      <c r="D1174">
        <v>2</v>
      </c>
      <c r="E1174" t="s">
        <v>39</v>
      </c>
      <c r="F1174">
        <v>0</v>
      </c>
      <c r="G1174">
        <f>INDEX(weekly!$E$2:$E$188,MATCH('Marketing Campaigns 22.11.22'!L1174,weekly!$H$2:$H$188,0))</f>
        <v>2753.6466666666665</v>
      </c>
      <c r="H1174">
        <f>INDEX(weekly!$D$2:$D$188,MATCH('Marketing Campaigns 22.11.22'!L1174,weekly!$H$2:$H$188,0))</f>
        <v>5374.666666666667</v>
      </c>
      <c r="I1174">
        <f>INDEX(weekly!$F$2:$F$188,MATCH('Marketing Campaigns 22.11.22'!L1174,weekly!$H$2:$H$188,0))</f>
        <v>2994.9226666666664</v>
      </c>
      <c r="J1174">
        <v>0</v>
      </c>
      <c r="K1174">
        <v>0</v>
      </c>
      <c r="L1174" t="str">
        <f t="shared" si="36"/>
        <v>26-6-2022</v>
      </c>
      <c r="M1174">
        <f t="shared" si="37"/>
        <v>2022</v>
      </c>
    </row>
    <row r="1175" spans="1:13" x14ac:dyDescent="0.2">
      <c r="A1175" s="1">
        <v>44739</v>
      </c>
      <c r="B1175">
        <v>26</v>
      </c>
      <c r="C1175">
        <v>6</v>
      </c>
      <c r="D1175">
        <v>2</v>
      </c>
      <c r="E1175" t="s">
        <v>40</v>
      </c>
      <c r="F1175">
        <v>0</v>
      </c>
      <c r="G1175">
        <f>INDEX(weekly!$E$2:$E$188,MATCH('Marketing Campaigns 22.11.22'!L1175,weekly!$H$2:$H$188,0))</f>
        <v>2753.6466666666665</v>
      </c>
      <c r="H1175">
        <f>INDEX(weekly!$D$2:$D$188,MATCH('Marketing Campaigns 22.11.22'!L1175,weekly!$H$2:$H$188,0))</f>
        <v>5374.666666666667</v>
      </c>
      <c r="I1175">
        <f>INDEX(weekly!$F$2:$F$188,MATCH('Marketing Campaigns 22.11.22'!L1175,weekly!$H$2:$H$188,0))</f>
        <v>2994.9226666666664</v>
      </c>
      <c r="J1175">
        <v>0</v>
      </c>
      <c r="K1175">
        <v>0</v>
      </c>
      <c r="L1175" t="str">
        <f t="shared" si="36"/>
        <v>26-6-2022</v>
      </c>
      <c r="M1175">
        <f t="shared" si="37"/>
        <v>2022</v>
      </c>
    </row>
    <row r="1176" spans="1:13" x14ac:dyDescent="0.2">
      <c r="A1176" s="1">
        <v>44739</v>
      </c>
      <c r="B1176">
        <v>26</v>
      </c>
      <c r="C1176">
        <v>6</v>
      </c>
      <c r="D1176">
        <v>2</v>
      </c>
      <c r="E1176" t="s">
        <v>41</v>
      </c>
      <c r="F1176">
        <v>0</v>
      </c>
      <c r="G1176">
        <f>INDEX(weekly!$E$2:$E$188,MATCH('Marketing Campaigns 22.11.22'!L1176,weekly!$H$2:$H$188,0))</f>
        <v>2753.6466666666665</v>
      </c>
      <c r="H1176">
        <f>INDEX(weekly!$D$2:$D$188,MATCH('Marketing Campaigns 22.11.22'!L1176,weekly!$H$2:$H$188,0))</f>
        <v>5374.666666666667</v>
      </c>
      <c r="I1176">
        <f>INDEX(weekly!$F$2:$F$188,MATCH('Marketing Campaigns 22.11.22'!L1176,weekly!$H$2:$H$188,0))</f>
        <v>2994.9226666666664</v>
      </c>
      <c r="J1176">
        <v>0</v>
      </c>
      <c r="K1176">
        <v>0</v>
      </c>
      <c r="L1176" t="str">
        <f t="shared" si="36"/>
        <v>26-6-2022</v>
      </c>
      <c r="M1176">
        <f t="shared" si="37"/>
        <v>2022</v>
      </c>
    </row>
    <row r="1177" spans="1:13" x14ac:dyDescent="0.2">
      <c r="A1177" s="1">
        <v>44739</v>
      </c>
      <c r="B1177">
        <v>26</v>
      </c>
      <c r="C1177">
        <v>6</v>
      </c>
      <c r="D1177">
        <v>2</v>
      </c>
      <c r="E1177" t="s">
        <v>42</v>
      </c>
      <c r="F1177">
        <v>0</v>
      </c>
      <c r="G1177">
        <f>INDEX(weekly!$E$2:$E$188,MATCH('Marketing Campaigns 22.11.22'!L1177,weekly!$H$2:$H$188,0))</f>
        <v>2753.6466666666665</v>
      </c>
      <c r="H1177">
        <f>INDEX(weekly!$D$2:$D$188,MATCH('Marketing Campaigns 22.11.22'!L1177,weekly!$H$2:$H$188,0))</f>
        <v>5374.666666666667</v>
      </c>
      <c r="I1177">
        <f>INDEX(weekly!$F$2:$F$188,MATCH('Marketing Campaigns 22.11.22'!L1177,weekly!$H$2:$H$188,0))</f>
        <v>2994.9226666666664</v>
      </c>
      <c r="J1177">
        <v>0</v>
      </c>
      <c r="K1177">
        <v>0</v>
      </c>
      <c r="L1177" t="str">
        <f t="shared" si="36"/>
        <v>26-6-2022</v>
      </c>
      <c r="M1177">
        <f t="shared" si="37"/>
        <v>2022</v>
      </c>
    </row>
    <row r="1178" spans="1:13" x14ac:dyDescent="0.2">
      <c r="A1178" s="1">
        <v>44739</v>
      </c>
      <c r="B1178">
        <v>26</v>
      </c>
      <c r="C1178">
        <v>6</v>
      </c>
      <c r="D1178">
        <v>2</v>
      </c>
      <c r="E1178" t="s">
        <v>43</v>
      </c>
      <c r="F1178">
        <v>0</v>
      </c>
      <c r="G1178">
        <f>INDEX(weekly!$E$2:$E$188,MATCH('Marketing Campaigns 22.11.22'!L1178,weekly!$H$2:$H$188,0))</f>
        <v>2753.6466666666665</v>
      </c>
      <c r="H1178">
        <f>INDEX(weekly!$D$2:$D$188,MATCH('Marketing Campaigns 22.11.22'!L1178,weekly!$H$2:$H$188,0))</f>
        <v>5374.666666666667</v>
      </c>
      <c r="I1178">
        <f>INDEX(weekly!$F$2:$F$188,MATCH('Marketing Campaigns 22.11.22'!L1178,weekly!$H$2:$H$188,0))</f>
        <v>2994.9226666666664</v>
      </c>
      <c r="J1178">
        <v>0</v>
      </c>
      <c r="K1178">
        <v>0</v>
      </c>
      <c r="L1178" t="str">
        <f t="shared" si="36"/>
        <v>26-6-2022</v>
      </c>
      <c r="M1178">
        <f t="shared" si="37"/>
        <v>2022</v>
      </c>
    </row>
    <row r="1179" spans="1:13" x14ac:dyDescent="0.2">
      <c r="A1179" s="1">
        <v>44739</v>
      </c>
      <c r="B1179">
        <v>26</v>
      </c>
      <c r="C1179">
        <v>6</v>
      </c>
      <c r="D1179">
        <v>2</v>
      </c>
      <c r="E1179" t="s">
        <v>44</v>
      </c>
      <c r="F1179">
        <v>0</v>
      </c>
      <c r="G1179">
        <f>INDEX(weekly!$E$2:$E$188,MATCH('Marketing Campaigns 22.11.22'!L1179,weekly!$H$2:$H$188,0))</f>
        <v>2753.6466666666665</v>
      </c>
      <c r="H1179">
        <f>INDEX(weekly!$D$2:$D$188,MATCH('Marketing Campaigns 22.11.22'!L1179,weekly!$H$2:$H$188,0))</f>
        <v>5374.666666666667</v>
      </c>
      <c r="I1179">
        <f>INDEX(weekly!$F$2:$F$188,MATCH('Marketing Campaigns 22.11.22'!L1179,weekly!$H$2:$H$188,0))</f>
        <v>2994.9226666666664</v>
      </c>
      <c r="J1179">
        <v>0</v>
      </c>
      <c r="K1179">
        <v>0</v>
      </c>
      <c r="L1179" t="str">
        <f t="shared" si="36"/>
        <v>26-6-2022</v>
      </c>
      <c r="M1179">
        <f t="shared" si="37"/>
        <v>2022</v>
      </c>
    </row>
    <row r="1180" spans="1:13" x14ac:dyDescent="0.2">
      <c r="A1180" s="1">
        <v>44739</v>
      </c>
      <c r="B1180">
        <v>26</v>
      </c>
      <c r="C1180">
        <v>6</v>
      </c>
      <c r="D1180">
        <v>2</v>
      </c>
      <c r="E1180" t="s">
        <v>45</v>
      </c>
      <c r="F1180">
        <v>0</v>
      </c>
      <c r="G1180">
        <f>INDEX(weekly!$E$2:$E$188,MATCH('Marketing Campaigns 22.11.22'!L1180,weekly!$H$2:$H$188,0))</f>
        <v>2753.6466666666665</v>
      </c>
      <c r="H1180">
        <f>INDEX(weekly!$D$2:$D$188,MATCH('Marketing Campaigns 22.11.22'!L1180,weekly!$H$2:$H$188,0))</f>
        <v>5374.666666666667</v>
      </c>
      <c r="I1180">
        <f>INDEX(weekly!$F$2:$F$188,MATCH('Marketing Campaigns 22.11.22'!L1180,weekly!$H$2:$H$188,0))</f>
        <v>2994.9226666666664</v>
      </c>
      <c r="J1180">
        <v>0</v>
      </c>
      <c r="K1180">
        <v>0</v>
      </c>
      <c r="L1180" t="str">
        <f t="shared" si="36"/>
        <v>26-6-2022</v>
      </c>
      <c r="M1180">
        <f t="shared" si="37"/>
        <v>2022</v>
      </c>
    </row>
    <row r="1181" spans="1:13" x14ac:dyDescent="0.2">
      <c r="A1181" s="1">
        <v>44739</v>
      </c>
      <c r="B1181">
        <v>26</v>
      </c>
      <c r="C1181">
        <v>6</v>
      </c>
      <c r="D1181">
        <v>2</v>
      </c>
      <c r="E1181" t="s">
        <v>46</v>
      </c>
      <c r="F1181">
        <v>0</v>
      </c>
      <c r="G1181">
        <f>INDEX(weekly!$E$2:$E$188,MATCH('Marketing Campaigns 22.11.22'!L1181,weekly!$H$2:$H$188,0))</f>
        <v>2753.6466666666665</v>
      </c>
      <c r="H1181">
        <f>INDEX(weekly!$D$2:$D$188,MATCH('Marketing Campaigns 22.11.22'!L1181,weekly!$H$2:$H$188,0))</f>
        <v>5374.666666666667</v>
      </c>
      <c r="I1181">
        <f>INDEX(weekly!$F$2:$F$188,MATCH('Marketing Campaigns 22.11.22'!L1181,weekly!$H$2:$H$188,0))</f>
        <v>2994.9226666666664</v>
      </c>
      <c r="J1181">
        <v>0</v>
      </c>
      <c r="K1181">
        <v>0</v>
      </c>
      <c r="L1181" t="str">
        <f t="shared" si="36"/>
        <v>26-6-2022</v>
      </c>
      <c r="M1181">
        <f t="shared" si="37"/>
        <v>2022</v>
      </c>
    </row>
    <row r="1182" spans="1:13" x14ac:dyDescent="0.2">
      <c r="A1182" s="1">
        <v>44739</v>
      </c>
      <c r="B1182">
        <v>26</v>
      </c>
      <c r="C1182">
        <v>6</v>
      </c>
      <c r="D1182">
        <v>2</v>
      </c>
      <c r="E1182" t="s">
        <v>47</v>
      </c>
      <c r="F1182">
        <v>0</v>
      </c>
      <c r="G1182">
        <f>INDEX(weekly!$E$2:$E$188,MATCH('Marketing Campaigns 22.11.22'!L1182,weekly!$H$2:$H$188,0))</f>
        <v>2753.6466666666665</v>
      </c>
      <c r="H1182">
        <f>INDEX(weekly!$D$2:$D$188,MATCH('Marketing Campaigns 22.11.22'!L1182,weekly!$H$2:$H$188,0))</f>
        <v>5374.666666666667</v>
      </c>
      <c r="I1182">
        <f>INDEX(weekly!$F$2:$F$188,MATCH('Marketing Campaigns 22.11.22'!L1182,weekly!$H$2:$H$188,0))</f>
        <v>2994.9226666666664</v>
      </c>
      <c r="J1182">
        <v>0</v>
      </c>
      <c r="K1182">
        <v>0</v>
      </c>
      <c r="L1182" t="str">
        <f t="shared" si="36"/>
        <v>26-6-2022</v>
      </c>
      <c r="M1182">
        <f t="shared" si="37"/>
        <v>2022</v>
      </c>
    </row>
    <row r="1183" spans="1:13" x14ac:dyDescent="0.2">
      <c r="A1183" s="1">
        <v>44739</v>
      </c>
      <c r="B1183">
        <v>26</v>
      </c>
      <c r="C1183">
        <v>6</v>
      </c>
      <c r="D1183">
        <v>2</v>
      </c>
      <c r="E1183" t="s">
        <v>48</v>
      </c>
      <c r="F1183">
        <v>0</v>
      </c>
      <c r="G1183">
        <f>INDEX(weekly!$E$2:$E$188,MATCH('Marketing Campaigns 22.11.22'!L1183,weekly!$H$2:$H$188,0))</f>
        <v>2753.6466666666665</v>
      </c>
      <c r="H1183">
        <f>INDEX(weekly!$D$2:$D$188,MATCH('Marketing Campaigns 22.11.22'!L1183,weekly!$H$2:$H$188,0))</f>
        <v>5374.666666666667</v>
      </c>
      <c r="I1183">
        <f>INDEX(weekly!$F$2:$F$188,MATCH('Marketing Campaigns 22.11.22'!L1183,weekly!$H$2:$H$188,0))</f>
        <v>2994.9226666666664</v>
      </c>
      <c r="J1183">
        <v>0</v>
      </c>
      <c r="K1183">
        <v>0</v>
      </c>
      <c r="L1183" t="str">
        <f t="shared" si="36"/>
        <v>26-6-2022</v>
      </c>
      <c r="M1183">
        <f t="shared" si="37"/>
        <v>2022</v>
      </c>
    </row>
    <row r="1184" spans="1:13" x14ac:dyDescent="0.2">
      <c r="A1184" s="1">
        <v>44739</v>
      </c>
      <c r="B1184">
        <v>26</v>
      </c>
      <c r="C1184">
        <v>6</v>
      </c>
      <c r="D1184">
        <v>2</v>
      </c>
      <c r="E1184" t="s">
        <v>49</v>
      </c>
      <c r="F1184">
        <v>0</v>
      </c>
      <c r="G1184">
        <f>INDEX(weekly!$E$2:$E$188,MATCH('Marketing Campaigns 22.11.22'!L1184,weekly!$H$2:$H$188,0))</f>
        <v>2753.6466666666665</v>
      </c>
      <c r="H1184">
        <f>INDEX(weekly!$D$2:$D$188,MATCH('Marketing Campaigns 22.11.22'!L1184,weekly!$H$2:$H$188,0))</f>
        <v>5374.666666666667</v>
      </c>
      <c r="I1184">
        <f>INDEX(weekly!$F$2:$F$188,MATCH('Marketing Campaigns 22.11.22'!L1184,weekly!$H$2:$H$188,0))</f>
        <v>2994.9226666666664</v>
      </c>
      <c r="J1184">
        <v>0</v>
      </c>
      <c r="K1184">
        <v>0</v>
      </c>
      <c r="L1184" t="str">
        <f t="shared" si="36"/>
        <v>26-6-2022</v>
      </c>
      <c r="M1184">
        <f t="shared" si="37"/>
        <v>2022</v>
      </c>
    </row>
    <row r="1185" spans="1:13" x14ac:dyDescent="0.2">
      <c r="A1185" s="1">
        <v>44739</v>
      </c>
      <c r="B1185">
        <v>26</v>
      </c>
      <c r="C1185">
        <v>6</v>
      </c>
      <c r="D1185">
        <v>2</v>
      </c>
      <c r="E1185" t="s">
        <v>50</v>
      </c>
      <c r="F1185">
        <v>0</v>
      </c>
      <c r="G1185">
        <f>INDEX(weekly!$E$2:$E$188,MATCH('Marketing Campaigns 22.11.22'!L1185,weekly!$H$2:$H$188,0))</f>
        <v>2753.6466666666665</v>
      </c>
      <c r="H1185">
        <f>INDEX(weekly!$D$2:$D$188,MATCH('Marketing Campaigns 22.11.22'!L1185,weekly!$H$2:$H$188,0))</f>
        <v>5374.666666666667</v>
      </c>
      <c r="I1185">
        <f>INDEX(weekly!$F$2:$F$188,MATCH('Marketing Campaigns 22.11.22'!L1185,weekly!$H$2:$H$188,0))</f>
        <v>2994.9226666666664</v>
      </c>
      <c r="J1185">
        <v>0</v>
      </c>
      <c r="K1185">
        <v>0</v>
      </c>
      <c r="L1185" t="str">
        <f t="shared" si="36"/>
        <v>26-6-2022</v>
      </c>
      <c r="M1185">
        <f t="shared" si="37"/>
        <v>2022</v>
      </c>
    </row>
    <row r="1186" spans="1:13" x14ac:dyDescent="0.2">
      <c r="A1186" s="1">
        <v>44739</v>
      </c>
      <c r="B1186">
        <v>26</v>
      </c>
      <c r="C1186">
        <v>6</v>
      </c>
      <c r="D1186">
        <v>2</v>
      </c>
      <c r="E1186" t="s">
        <v>51</v>
      </c>
      <c r="F1186">
        <v>0</v>
      </c>
      <c r="G1186">
        <f>INDEX(weekly!$E$2:$E$188,MATCH('Marketing Campaigns 22.11.22'!L1186,weekly!$H$2:$H$188,0))</f>
        <v>2753.6466666666665</v>
      </c>
      <c r="H1186">
        <f>INDEX(weekly!$D$2:$D$188,MATCH('Marketing Campaigns 22.11.22'!L1186,weekly!$H$2:$H$188,0))</f>
        <v>5374.666666666667</v>
      </c>
      <c r="I1186">
        <f>INDEX(weekly!$F$2:$F$188,MATCH('Marketing Campaigns 22.11.22'!L1186,weekly!$H$2:$H$188,0))</f>
        <v>2994.9226666666664</v>
      </c>
      <c r="J1186">
        <v>0</v>
      </c>
      <c r="K1186">
        <v>0</v>
      </c>
      <c r="L1186" t="str">
        <f t="shared" si="36"/>
        <v>26-6-2022</v>
      </c>
      <c r="M1186">
        <f t="shared" si="37"/>
        <v>2022</v>
      </c>
    </row>
    <row r="1187" spans="1:13" x14ac:dyDescent="0.2">
      <c r="A1187" s="1">
        <v>44739</v>
      </c>
      <c r="B1187">
        <v>26</v>
      </c>
      <c r="C1187">
        <v>6</v>
      </c>
      <c r="D1187">
        <v>2</v>
      </c>
      <c r="E1187" t="s">
        <v>52</v>
      </c>
      <c r="F1187">
        <v>0</v>
      </c>
      <c r="G1187">
        <f>INDEX(weekly!$E$2:$E$188,MATCH('Marketing Campaigns 22.11.22'!L1187,weekly!$H$2:$H$188,0))</f>
        <v>2753.6466666666665</v>
      </c>
      <c r="H1187">
        <f>INDEX(weekly!$D$2:$D$188,MATCH('Marketing Campaigns 22.11.22'!L1187,weekly!$H$2:$H$188,0))</f>
        <v>5374.666666666667</v>
      </c>
      <c r="I1187">
        <f>INDEX(weekly!$F$2:$F$188,MATCH('Marketing Campaigns 22.11.22'!L1187,weekly!$H$2:$H$188,0))</f>
        <v>2994.9226666666664</v>
      </c>
      <c r="J1187">
        <v>0</v>
      </c>
      <c r="K1187">
        <v>0</v>
      </c>
      <c r="L1187" t="str">
        <f t="shared" si="36"/>
        <v>26-6-2022</v>
      </c>
      <c r="M1187">
        <f t="shared" si="37"/>
        <v>2022</v>
      </c>
    </row>
    <row r="1188" spans="1:13" x14ac:dyDescent="0.2">
      <c r="A1188" s="1">
        <v>44746</v>
      </c>
      <c r="B1188">
        <v>27</v>
      </c>
      <c r="C1188">
        <v>7</v>
      </c>
      <c r="D1188">
        <v>2</v>
      </c>
      <c r="E1188" t="s">
        <v>24</v>
      </c>
      <c r="F1188">
        <v>0</v>
      </c>
      <c r="G1188">
        <f>INDEX(weekly!$E$2:$E$188,MATCH('Marketing Campaigns 22.11.22'!L1188,weekly!$H$2:$H$188,0))</f>
        <v>5442.4412903225802</v>
      </c>
      <c r="H1188">
        <f>INDEX(weekly!$D$2:$D$188,MATCH('Marketing Campaigns 22.11.22'!L1188,weekly!$H$2:$H$188,0))</f>
        <v>10589.193548387097</v>
      </c>
      <c r="I1188">
        <f>INDEX(weekly!$F$2:$F$188,MATCH('Marketing Campaigns 22.11.22'!L1188,weekly!$H$2:$H$188,0))</f>
        <v>4000.8138709677423</v>
      </c>
      <c r="J1188">
        <v>0</v>
      </c>
      <c r="K1188">
        <v>0</v>
      </c>
      <c r="L1188" t="str">
        <f t="shared" si="36"/>
        <v>27-7-2022</v>
      </c>
      <c r="M1188">
        <f t="shared" si="37"/>
        <v>2022</v>
      </c>
    </row>
    <row r="1189" spans="1:13" x14ac:dyDescent="0.2">
      <c r="A1189" s="1">
        <v>44746</v>
      </c>
      <c r="B1189">
        <v>27</v>
      </c>
      <c r="C1189">
        <v>7</v>
      </c>
      <c r="D1189">
        <v>2</v>
      </c>
      <c r="E1189" t="s">
        <v>39</v>
      </c>
      <c r="F1189">
        <v>0</v>
      </c>
      <c r="G1189">
        <f>INDEX(weekly!$E$2:$E$188,MATCH('Marketing Campaigns 22.11.22'!L1189,weekly!$H$2:$H$188,0))</f>
        <v>5442.4412903225802</v>
      </c>
      <c r="H1189">
        <f>INDEX(weekly!$D$2:$D$188,MATCH('Marketing Campaigns 22.11.22'!L1189,weekly!$H$2:$H$188,0))</f>
        <v>10589.193548387097</v>
      </c>
      <c r="I1189">
        <f>INDEX(weekly!$F$2:$F$188,MATCH('Marketing Campaigns 22.11.22'!L1189,weekly!$H$2:$H$188,0))</f>
        <v>4000.8138709677423</v>
      </c>
      <c r="J1189">
        <v>0</v>
      </c>
      <c r="K1189">
        <v>0</v>
      </c>
      <c r="L1189" t="str">
        <f t="shared" si="36"/>
        <v>27-7-2022</v>
      </c>
      <c r="M1189">
        <f t="shared" si="37"/>
        <v>2022</v>
      </c>
    </row>
    <row r="1190" spans="1:13" x14ac:dyDescent="0.2">
      <c r="A1190" s="1">
        <v>44746</v>
      </c>
      <c r="B1190">
        <v>27</v>
      </c>
      <c r="C1190">
        <v>7</v>
      </c>
      <c r="D1190">
        <v>2</v>
      </c>
      <c r="E1190" t="s">
        <v>40</v>
      </c>
      <c r="F1190">
        <v>0</v>
      </c>
      <c r="G1190">
        <f>INDEX(weekly!$E$2:$E$188,MATCH('Marketing Campaigns 22.11.22'!L1190,weekly!$H$2:$H$188,0))</f>
        <v>5442.4412903225802</v>
      </c>
      <c r="H1190">
        <f>INDEX(weekly!$D$2:$D$188,MATCH('Marketing Campaigns 22.11.22'!L1190,weekly!$H$2:$H$188,0))</f>
        <v>10589.193548387097</v>
      </c>
      <c r="I1190">
        <f>INDEX(weekly!$F$2:$F$188,MATCH('Marketing Campaigns 22.11.22'!L1190,weekly!$H$2:$H$188,0))</f>
        <v>4000.8138709677423</v>
      </c>
      <c r="J1190">
        <v>0</v>
      </c>
      <c r="K1190">
        <v>0</v>
      </c>
      <c r="L1190" t="str">
        <f t="shared" si="36"/>
        <v>27-7-2022</v>
      </c>
      <c r="M1190">
        <f t="shared" si="37"/>
        <v>2022</v>
      </c>
    </row>
    <row r="1191" spans="1:13" x14ac:dyDescent="0.2">
      <c r="A1191" s="1">
        <v>44746</v>
      </c>
      <c r="B1191">
        <v>27</v>
      </c>
      <c r="C1191">
        <v>7</v>
      </c>
      <c r="D1191">
        <v>2</v>
      </c>
      <c r="E1191" t="s">
        <v>41</v>
      </c>
      <c r="F1191">
        <v>0</v>
      </c>
      <c r="G1191">
        <f>INDEX(weekly!$E$2:$E$188,MATCH('Marketing Campaigns 22.11.22'!L1191,weekly!$H$2:$H$188,0))</f>
        <v>5442.4412903225802</v>
      </c>
      <c r="H1191">
        <f>INDEX(weekly!$D$2:$D$188,MATCH('Marketing Campaigns 22.11.22'!L1191,weekly!$H$2:$H$188,0))</f>
        <v>10589.193548387097</v>
      </c>
      <c r="I1191">
        <f>INDEX(weekly!$F$2:$F$188,MATCH('Marketing Campaigns 22.11.22'!L1191,weekly!$H$2:$H$188,0))</f>
        <v>4000.8138709677423</v>
      </c>
      <c r="J1191">
        <v>0</v>
      </c>
      <c r="K1191">
        <v>0</v>
      </c>
      <c r="L1191" t="str">
        <f t="shared" si="36"/>
        <v>27-7-2022</v>
      </c>
      <c r="M1191">
        <f t="shared" si="37"/>
        <v>2022</v>
      </c>
    </row>
    <row r="1192" spans="1:13" x14ac:dyDescent="0.2">
      <c r="A1192" s="1">
        <v>44746</v>
      </c>
      <c r="B1192">
        <v>27</v>
      </c>
      <c r="C1192">
        <v>7</v>
      </c>
      <c r="D1192">
        <v>2</v>
      </c>
      <c r="E1192" t="s">
        <v>42</v>
      </c>
      <c r="F1192">
        <v>0</v>
      </c>
      <c r="G1192">
        <f>INDEX(weekly!$E$2:$E$188,MATCH('Marketing Campaigns 22.11.22'!L1192,weekly!$H$2:$H$188,0))</f>
        <v>5442.4412903225802</v>
      </c>
      <c r="H1192">
        <f>INDEX(weekly!$D$2:$D$188,MATCH('Marketing Campaigns 22.11.22'!L1192,weekly!$H$2:$H$188,0))</f>
        <v>10589.193548387097</v>
      </c>
      <c r="I1192">
        <f>INDEX(weekly!$F$2:$F$188,MATCH('Marketing Campaigns 22.11.22'!L1192,weekly!$H$2:$H$188,0))</f>
        <v>4000.8138709677423</v>
      </c>
      <c r="J1192">
        <v>0</v>
      </c>
      <c r="K1192">
        <v>0</v>
      </c>
      <c r="L1192" t="str">
        <f t="shared" si="36"/>
        <v>27-7-2022</v>
      </c>
      <c r="M1192">
        <f t="shared" si="37"/>
        <v>2022</v>
      </c>
    </row>
    <row r="1193" spans="1:13" x14ac:dyDescent="0.2">
      <c r="A1193" s="1">
        <v>44746</v>
      </c>
      <c r="B1193">
        <v>27</v>
      </c>
      <c r="C1193">
        <v>7</v>
      </c>
      <c r="D1193">
        <v>2</v>
      </c>
      <c r="E1193" t="s">
        <v>43</v>
      </c>
      <c r="F1193">
        <v>0</v>
      </c>
      <c r="G1193">
        <f>INDEX(weekly!$E$2:$E$188,MATCH('Marketing Campaigns 22.11.22'!L1193,weekly!$H$2:$H$188,0))</f>
        <v>5442.4412903225802</v>
      </c>
      <c r="H1193">
        <f>INDEX(weekly!$D$2:$D$188,MATCH('Marketing Campaigns 22.11.22'!L1193,weekly!$H$2:$H$188,0))</f>
        <v>10589.193548387097</v>
      </c>
      <c r="I1193">
        <f>INDEX(weekly!$F$2:$F$188,MATCH('Marketing Campaigns 22.11.22'!L1193,weekly!$H$2:$H$188,0))</f>
        <v>4000.8138709677423</v>
      </c>
      <c r="J1193">
        <v>0</v>
      </c>
      <c r="K1193">
        <v>0</v>
      </c>
      <c r="L1193" t="str">
        <f t="shared" si="36"/>
        <v>27-7-2022</v>
      </c>
      <c r="M1193">
        <f t="shared" si="37"/>
        <v>2022</v>
      </c>
    </row>
    <row r="1194" spans="1:13" x14ac:dyDescent="0.2">
      <c r="A1194" s="1">
        <v>44746</v>
      </c>
      <c r="B1194">
        <v>27</v>
      </c>
      <c r="C1194">
        <v>7</v>
      </c>
      <c r="D1194">
        <v>2</v>
      </c>
      <c r="E1194" t="s">
        <v>44</v>
      </c>
      <c r="F1194">
        <v>0</v>
      </c>
      <c r="G1194">
        <f>INDEX(weekly!$E$2:$E$188,MATCH('Marketing Campaigns 22.11.22'!L1194,weekly!$H$2:$H$188,0))</f>
        <v>5442.4412903225802</v>
      </c>
      <c r="H1194">
        <f>INDEX(weekly!$D$2:$D$188,MATCH('Marketing Campaigns 22.11.22'!L1194,weekly!$H$2:$H$188,0))</f>
        <v>10589.193548387097</v>
      </c>
      <c r="I1194">
        <f>INDEX(weekly!$F$2:$F$188,MATCH('Marketing Campaigns 22.11.22'!L1194,weekly!$H$2:$H$188,0))</f>
        <v>4000.8138709677423</v>
      </c>
      <c r="J1194">
        <v>0</v>
      </c>
      <c r="K1194">
        <v>0</v>
      </c>
      <c r="L1194" t="str">
        <f t="shared" si="36"/>
        <v>27-7-2022</v>
      </c>
      <c r="M1194">
        <f t="shared" si="37"/>
        <v>2022</v>
      </c>
    </row>
    <row r="1195" spans="1:13" x14ac:dyDescent="0.2">
      <c r="A1195" s="1">
        <v>44746</v>
      </c>
      <c r="B1195">
        <v>27</v>
      </c>
      <c r="C1195">
        <v>7</v>
      </c>
      <c r="D1195">
        <v>2</v>
      </c>
      <c r="E1195" t="s">
        <v>45</v>
      </c>
      <c r="F1195">
        <v>0</v>
      </c>
      <c r="G1195">
        <f>INDEX(weekly!$E$2:$E$188,MATCH('Marketing Campaigns 22.11.22'!L1195,weekly!$H$2:$H$188,0))</f>
        <v>5442.4412903225802</v>
      </c>
      <c r="H1195">
        <f>INDEX(weekly!$D$2:$D$188,MATCH('Marketing Campaigns 22.11.22'!L1195,weekly!$H$2:$H$188,0))</f>
        <v>10589.193548387097</v>
      </c>
      <c r="I1195">
        <f>INDEX(weekly!$F$2:$F$188,MATCH('Marketing Campaigns 22.11.22'!L1195,weekly!$H$2:$H$188,0))</f>
        <v>4000.8138709677423</v>
      </c>
      <c r="J1195">
        <v>0</v>
      </c>
      <c r="K1195">
        <v>0</v>
      </c>
      <c r="L1195" t="str">
        <f t="shared" si="36"/>
        <v>27-7-2022</v>
      </c>
      <c r="M1195">
        <f t="shared" si="37"/>
        <v>2022</v>
      </c>
    </row>
    <row r="1196" spans="1:13" x14ac:dyDescent="0.2">
      <c r="A1196" s="1">
        <v>44746</v>
      </c>
      <c r="B1196">
        <v>27</v>
      </c>
      <c r="C1196">
        <v>7</v>
      </c>
      <c r="D1196">
        <v>2</v>
      </c>
      <c r="E1196" t="s">
        <v>46</v>
      </c>
      <c r="F1196">
        <v>0</v>
      </c>
      <c r="G1196">
        <f>INDEX(weekly!$E$2:$E$188,MATCH('Marketing Campaigns 22.11.22'!L1196,weekly!$H$2:$H$188,0))</f>
        <v>5442.4412903225802</v>
      </c>
      <c r="H1196">
        <f>INDEX(weekly!$D$2:$D$188,MATCH('Marketing Campaigns 22.11.22'!L1196,weekly!$H$2:$H$188,0))</f>
        <v>10589.193548387097</v>
      </c>
      <c r="I1196">
        <f>INDEX(weekly!$F$2:$F$188,MATCH('Marketing Campaigns 22.11.22'!L1196,weekly!$H$2:$H$188,0))</f>
        <v>4000.8138709677423</v>
      </c>
      <c r="J1196">
        <v>0</v>
      </c>
      <c r="K1196">
        <v>0</v>
      </c>
      <c r="L1196" t="str">
        <f t="shared" si="36"/>
        <v>27-7-2022</v>
      </c>
      <c r="M1196">
        <f t="shared" si="37"/>
        <v>2022</v>
      </c>
    </row>
    <row r="1197" spans="1:13" x14ac:dyDescent="0.2">
      <c r="A1197" s="1">
        <v>44746</v>
      </c>
      <c r="B1197">
        <v>27</v>
      </c>
      <c r="C1197">
        <v>7</v>
      </c>
      <c r="D1197">
        <v>2</v>
      </c>
      <c r="E1197" t="s">
        <v>47</v>
      </c>
      <c r="F1197">
        <v>0</v>
      </c>
      <c r="G1197">
        <f>INDEX(weekly!$E$2:$E$188,MATCH('Marketing Campaigns 22.11.22'!L1197,weekly!$H$2:$H$188,0))</f>
        <v>5442.4412903225802</v>
      </c>
      <c r="H1197">
        <f>INDEX(weekly!$D$2:$D$188,MATCH('Marketing Campaigns 22.11.22'!L1197,weekly!$H$2:$H$188,0))</f>
        <v>10589.193548387097</v>
      </c>
      <c r="I1197">
        <f>INDEX(weekly!$F$2:$F$188,MATCH('Marketing Campaigns 22.11.22'!L1197,weekly!$H$2:$H$188,0))</f>
        <v>4000.8138709677423</v>
      </c>
      <c r="J1197">
        <v>0</v>
      </c>
      <c r="K1197">
        <v>0</v>
      </c>
      <c r="L1197" t="str">
        <f t="shared" si="36"/>
        <v>27-7-2022</v>
      </c>
      <c r="M1197">
        <f t="shared" si="37"/>
        <v>2022</v>
      </c>
    </row>
    <row r="1198" spans="1:13" x14ac:dyDescent="0.2">
      <c r="A1198" s="1">
        <v>44746</v>
      </c>
      <c r="B1198">
        <v>27</v>
      </c>
      <c r="C1198">
        <v>7</v>
      </c>
      <c r="D1198">
        <v>2</v>
      </c>
      <c r="E1198" t="s">
        <v>48</v>
      </c>
      <c r="F1198">
        <v>0</v>
      </c>
      <c r="G1198">
        <f>INDEX(weekly!$E$2:$E$188,MATCH('Marketing Campaigns 22.11.22'!L1198,weekly!$H$2:$H$188,0))</f>
        <v>5442.4412903225802</v>
      </c>
      <c r="H1198">
        <f>INDEX(weekly!$D$2:$D$188,MATCH('Marketing Campaigns 22.11.22'!L1198,weekly!$H$2:$H$188,0))</f>
        <v>10589.193548387097</v>
      </c>
      <c r="I1198">
        <f>INDEX(weekly!$F$2:$F$188,MATCH('Marketing Campaigns 22.11.22'!L1198,weekly!$H$2:$H$188,0))</f>
        <v>4000.8138709677423</v>
      </c>
      <c r="J1198">
        <v>0</v>
      </c>
      <c r="K1198">
        <v>0</v>
      </c>
      <c r="L1198" t="str">
        <f t="shared" si="36"/>
        <v>27-7-2022</v>
      </c>
      <c r="M1198">
        <f t="shared" si="37"/>
        <v>2022</v>
      </c>
    </row>
    <row r="1199" spans="1:13" x14ac:dyDescent="0.2">
      <c r="A1199" s="1">
        <v>44746</v>
      </c>
      <c r="B1199">
        <v>27</v>
      </c>
      <c r="C1199">
        <v>7</v>
      </c>
      <c r="D1199">
        <v>2</v>
      </c>
      <c r="E1199" t="s">
        <v>49</v>
      </c>
      <c r="F1199">
        <v>0</v>
      </c>
      <c r="G1199">
        <f>INDEX(weekly!$E$2:$E$188,MATCH('Marketing Campaigns 22.11.22'!L1199,weekly!$H$2:$H$188,0))</f>
        <v>5442.4412903225802</v>
      </c>
      <c r="H1199">
        <f>INDEX(weekly!$D$2:$D$188,MATCH('Marketing Campaigns 22.11.22'!L1199,weekly!$H$2:$H$188,0))</f>
        <v>10589.193548387097</v>
      </c>
      <c r="I1199">
        <f>INDEX(weekly!$F$2:$F$188,MATCH('Marketing Campaigns 22.11.22'!L1199,weekly!$H$2:$H$188,0))</f>
        <v>4000.8138709677423</v>
      </c>
      <c r="J1199">
        <v>0</v>
      </c>
      <c r="K1199">
        <v>0</v>
      </c>
      <c r="L1199" t="str">
        <f t="shared" si="36"/>
        <v>27-7-2022</v>
      </c>
      <c r="M1199">
        <f t="shared" si="37"/>
        <v>2022</v>
      </c>
    </row>
    <row r="1200" spans="1:13" x14ac:dyDescent="0.2">
      <c r="A1200" s="1">
        <v>44746</v>
      </c>
      <c r="B1200">
        <v>27</v>
      </c>
      <c r="C1200">
        <v>7</v>
      </c>
      <c r="D1200">
        <v>2</v>
      </c>
      <c r="E1200" t="s">
        <v>50</v>
      </c>
      <c r="F1200">
        <v>0</v>
      </c>
      <c r="G1200">
        <f>INDEX(weekly!$E$2:$E$188,MATCH('Marketing Campaigns 22.11.22'!L1200,weekly!$H$2:$H$188,0))</f>
        <v>5442.4412903225802</v>
      </c>
      <c r="H1200">
        <f>INDEX(weekly!$D$2:$D$188,MATCH('Marketing Campaigns 22.11.22'!L1200,weekly!$H$2:$H$188,0))</f>
        <v>10589.193548387097</v>
      </c>
      <c r="I1200">
        <f>INDEX(weekly!$F$2:$F$188,MATCH('Marketing Campaigns 22.11.22'!L1200,weekly!$H$2:$H$188,0))</f>
        <v>4000.8138709677423</v>
      </c>
      <c r="J1200">
        <v>0</v>
      </c>
      <c r="K1200">
        <v>0</v>
      </c>
      <c r="L1200" t="str">
        <f t="shared" si="36"/>
        <v>27-7-2022</v>
      </c>
      <c r="M1200">
        <f t="shared" si="37"/>
        <v>2022</v>
      </c>
    </row>
    <row r="1201" spans="1:13" x14ac:dyDescent="0.2">
      <c r="A1201" s="1">
        <v>44746</v>
      </c>
      <c r="B1201">
        <v>27</v>
      </c>
      <c r="C1201">
        <v>7</v>
      </c>
      <c r="D1201">
        <v>2</v>
      </c>
      <c r="E1201" t="s">
        <v>51</v>
      </c>
      <c r="F1201">
        <v>0</v>
      </c>
      <c r="G1201">
        <f>INDEX(weekly!$E$2:$E$188,MATCH('Marketing Campaigns 22.11.22'!L1201,weekly!$H$2:$H$188,0))</f>
        <v>5442.4412903225802</v>
      </c>
      <c r="H1201">
        <f>INDEX(weekly!$D$2:$D$188,MATCH('Marketing Campaigns 22.11.22'!L1201,weekly!$H$2:$H$188,0))</f>
        <v>10589.193548387097</v>
      </c>
      <c r="I1201">
        <f>INDEX(weekly!$F$2:$F$188,MATCH('Marketing Campaigns 22.11.22'!L1201,weekly!$H$2:$H$188,0))</f>
        <v>4000.8138709677423</v>
      </c>
      <c r="J1201">
        <v>0</v>
      </c>
      <c r="K1201">
        <v>0</v>
      </c>
      <c r="L1201" t="str">
        <f t="shared" si="36"/>
        <v>27-7-2022</v>
      </c>
      <c r="M1201">
        <f t="shared" si="37"/>
        <v>2022</v>
      </c>
    </row>
    <row r="1202" spans="1:13" x14ac:dyDescent="0.2">
      <c r="A1202" s="1">
        <v>44746</v>
      </c>
      <c r="B1202">
        <v>27</v>
      </c>
      <c r="C1202">
        <v>7</v>
      </c>
      <c r="D1202">
        <v>2</v>
      </c>
      <c r="E1202" t="s">
        <v>52</v>
      </c>
      <c r="F1202">
        <v>0</v>
      </c>
      <c r="G1202">
        <f>INDEX(weekly!$E$2:$E$188,MATCH('Marketing Campaigns 22.11.22'!L1202,weekly!$H$2:$H$188,0))</f>
        <v>5442.4412903225802</v>
      </c>
      <c r="H1202">
        <f>INDEX(weekly!$D$2:$D$188,MATCH('Marketing Campaigns 22.11.22'!L1202,weekly!$H$2:$H$188,0))</f>
        <v>10589.193548387097</v>
      </c>
      <c r="I1202">
        <f>INDEX(weekly!$F$2:$F$188,MATCH('Marketing Campaigns 22.11.22'!L1202,weekly!$H$2:$H$188,0))</f>
        <v>4000.8138709677423</v>
      </c>
      <c r="J1202">
        <v>0</v>
      </c>
      <c r="K1202">
        <v>0</v>
      </c>
      <c r="L1202" t="str">
        <f t="shared" si="36"/>
        <v>27-7-2022</v>
      </c>
      <c r="M1202">
        <f t="shared" si="37"/>
        <v>2022</v>
      </c>
    </row>
    <row r="1203" spans="1:13" x14ac:dyDescent="0.2">
      <c r="A1203" s="1">
        <v>44753</v>
      </c>
      <c r="B1203">
        <v>28</v>
      </c>
      <c r="C1203">
        <v>7</v>
      </c>
      <c r="D1203">
        <v>3</v>
      </c>
      <c r="E1203" t="s">
        <v>24</v>
      </c>
      <c r="F1203">
        <v>0</v>
      </c>
      <c r="G1203">
        <f>INDEX(weekly!$E$2:$E$188,MATCH('Marketing Campaigns 22.11.22'!L1203,weekly!$H$2:$H$188,0))</f>
        <v>5442.4412903225802</v>
      </c>
      <c r="H1203">
        <f>INDEX(weekly!$D$2:$D$188,MATCH('Marketing Campaigns 22.11.22'!L1203,weekly!$H$2:$H$188,0))</f>
        <v>10589.193548387097</v>
      </c>
      <c r="I1203">
        <f>INDEX(weekly!$F$2:$F$188,MATCH('Marketing Campaigns 22.11.22'!L1203,weekly!$H$2:$H$188,0))</f>
        <v>4000.8138709677423</v>
      </c>
      <c r="J1203">
        <v>0</v>
      </c>
      <c r="K1203">
        <v>0</v>
      </c>
      <c r="L1203" t="str">
        <f t="shared" si="36"/>
        <v>28-7-2022</v>
      </c>
      <c r="M1203">
        <f t="shared" si="37"/>
        <v>2022</v>
      </c>
    </row>
    <row r="1204" spans="1:13" x14ac:dyDescent="0.2">
      <c r="A1204" s="1">
        <v>44753</v>
      </c>
      <c r="B1204">
        <v>28</v>
      </c>
      <c r="C1204">
        <v>7</v>
      </c>
      <c r="D1204">
        <v>3</v>
      </c>
      <c r="E1204" t="s">
        <v>39</v>
      </c>
      <c r="F1204">
        <v>0</v>
      </c>
      <c r="G1204">
        <f>INDEX(weekly!$E$2:$E$188,MATCH('Marketing Campaigns 22.11.22'!L1204,weekly!$H$2:$H$188,0))</f>
        <v>5442.4412903225802</v>
      </c>
      <c r="H1204">
        <f>INDEX(weekly!$D$2:$D$188,MATCH('Marketing Campaigns 22.11.22'!L1204,weekly!$H$2:$H$188,0))</f>
        <v>10589.193548387097</v>
      </c>
      <c r="I1204">
        <f>INDEX(weekly!$F$2:$F$188,MATCH('Marketing Campaigns 22.11.22'!L1204,weekly!$H$2:$H$188,0))</f>
        <v>4000.8138709677423</v>
      </c>
      <c r="J1204">
        <v>0</v>
      </c>
      <c r="K1204">
        <v>0</v>
      </c>
      <c r="L1204" t="str">
        <f t="shared" si="36"/>
        <v>28-7-2022</v>
      </c>
      <c r="M1204">
        <f t="shared" si="37"/>
        <v>2022</v>
      </c>
    </row>
    <row r="1205" spans="1:13" x14ac:dyDescent="0.2">
      <c r="A1205" s="1">
        <v>44753</v>
      </c>
      <c r="B1205">
        <v>28</v>
      </c>
      <c r="C1205">
        <v>7</v>
      </c>
      <c r="D1205">
        <v>3</v>
      </c>
      <c r="E1205" t="s">
        <v>40</v>
      </c>
      <c r="F1205">
        <v>0</v>
      </c>
      <c r="G1205">
        <f>INDEX(weekly!$E$2:$E$188,MATCH('Marketing Campaigns 22.11.22'!L1205,weekly!$H$2:$H$188,0))</f>
        <v>5442.4412903225802</v>
      </c>
      <c r="H1205">
        <f>INDEX(weekly!$D$2:$D$188,MATCH('Marketing Campaigns 22.11.22'!L1205,weekly!$H$2:$H$188,0))</f>
        <v>10589.193548387097</v>
      </c>
      <c r="I1205">
        <f>INDEX(weekly!$F$2:$F$188,MATCH('Marketing Campaigns 22.11.22'!L1205,weekly!$H$2:$H$188,0))</f>
        <v>4000.8138709677423</v>
      </c>
      <c r="J1205">
        <v>0</v>
      </c>
      <c r="K1205">
        <v>0</v>
      </c>
      <c r="L1205" t="str">
        <f t="shared" si="36"/>
        <v>28-7-2022</v>
      </c>
      <c r="M1205">
        <f t="shared" si="37"/>
        <v>2022</v>
      </c>
    </row>
    <row r="1206" spans="1:13" x14ac:dyDescent="0.2">
      <c r="A1206" s="1">
        <v>44753</v>
      </c>
      <c r="B1206">
        <v>28</v>
      </c>
      <c r="C1206">
        <v>7</v>
      </c>
      <c r="D1206">
        <v>3</v>
      </c>
      <c r="E1206" t="s">
        <v>41</v>
      </c>
      <c r="F1206">
        <v>0</v>
      </c>
      <c r="G1206">
        <f>INDEX(weekly!$E$2:$E$188,MATCH('Marketing Campaigns 22.11.22'!L1206,weekly!$H$2:$H$188,0))</f>
        <v>5442.4412903225802</v>
      </c>
      <c r="H1206">
        <f>INDEX(weekly!$D$2:$D$188,MATCH('Marketing Campaigns 22.11.22'!L1206,weekly!$H$2:$H$188,0))</f>
        <v>10589.193548387097</v>
      </c>
      <c r="I1206">
        <f>INDEX(weekly!$F$2:$F$188,MATCH('Marketing Campaigns 22.11.22'!L1206,weekly!$H$2:$H$188,0))</f>
        <v>4000.8138709677423</v>
      </c>
      <c r="J1206">
        <v>0</v>
      </c>
      <c r="K1206">
        <v>0</v>
      </c>
      <c r="L1206" t="str">
        <f t="shared" si="36"/>
        <v>28-7-2022</v>
      </c>
      <c r="M1206">
        <f t="shared" si="37"/>
        <v>2022</v>
      </c>
    </row>
    <row r="1207" spans="1:13" x14ac:dyDescent="0.2">
      <c r="A1207" s="1">
        <v>44753</v>
      </c>
      <c r="B1207">
        <v>28</v>
      </c>
      <c r="C1207">
        <v>7</v>
      </c>
      <c r="D1207">
        <v>3</v>
      </c>
      <c r="E1207" t="s">
        <v>42</v>
      </c>
      <c r="F1207">
        <v>0</v>
      </c>
      <c r="G1207">
        <f>INDEX(weekly!$E$2:$E$188,MATCH('Marketing Campaigns 22.11.22'!L1207,weekly!$H$2:$H$188,0))</f>
        <v>5442.4412903225802</v>
      </c>
      <c r="H1207">
        <f>INDEX(weekly!$D$2:$D$188,MATCH('Marketing Campaigns 22.11.22'!L1207,weekly!$H$2:$H$188,0))</f>
        <v>10589.193548387097</v>
      </c>
      <c r="I1207">
        <f>INDEX(weekly!$F$2:$F$188,MATCH('Marketing Campaigns 22.11.22'!L1207,weekly!$H$2:$H$188,0))</f>
        <v>4000.8138709677423</v>
      </c>
      <c r="J1207">
        <v>0</v>
      </c>
      <c r="K1207">
        <v>0</v>
      </c>
      <c r="L1207" t="str">
        <f t="shared" si="36"/>
        <v>28-7-2022</v>
      </c>
      <c r="M1207">
        <f t="shared" si="37"/>
        <v>2022</v>
      </c>
    </row>
    <row r="1208" spans="1:13" x14ac:dyDescent="0.2">
      <c r="A1208" s="1">
        <v>44753</v>
      </c>
      <c r="B1208">
        <v>28</v>
      </c>
      <c r="C1208">
        <v>7</v>
      </c>
      <c r="D1208">
        <v>3</v>
      </c>
      <c r="E1208" t="s">
        <v>43</v>
      </c>
      <c r="F1208">
        <v>0</v>
      </c>
      <c r="G1208">
        <f>INDEX(weekly!$E$2:$E$188,MATCH('Marketing Campaigns 22.11.22'!L1208,weekly!$H$2:$H$188,0))</f>
        <v>5442.4412903225802</v>
      </c>
      <c r="H1208">
        <f>INDEX(weekly!$D$2:$D$188,MATCH('Marketing Campaigns 22.11.22'!L1208,weekly!$H$2:$H$188,0))</f>
        <v>10589.193548387097</v>
      </c>
      <c r="I1208">
        <f>INDEX(weekly!$F$2:$F$188,MATCH('Marketing Campaigns 22.11.22'!L1208,weekly!$H$2:$H$188,0))</f>
        <v>4000.8138709677423</v>
      </c>
      <c r="J1208">
        <v>0</v>
      </c>
      <c r="K1208">
        <v>0</v>
      </c>
      <c r="L1208" t="str">
        <f t="shared" si="36"/>
        <v>28-7-2022</v>
      </c>
      <c r="M1208">
        <f t="shared" si="37"/>
        <v>2022</v>
      </c>
    </row>
    <row r="1209" spans="1:13" x14ac:dyDescent="0.2">
      <c r="A1209" s="1">
        <v>44753</v>
      </c>
      <c r="B1209">
        <v>28</v>
      </c>
      <c r="C1209">
        <v>7</v>
      </c>
      <c r="D1209">
        <v>3</v>
      </c>
      <c r="E1209" t="s">
        <v>44</v>
      </c>
      <c r="F1209">
        <v>0</v>
      </c>
      <c r="G1209">
        <f>INDEX(weekly!$E$2:$E$188,MATCH('Marketing Campaigns 22.11.22'!L1209,weekly!$H$2:$H$188,0))</f>
        <v>5442.4412903225802</v>
      </c>
      <c r="H1209">
        <f>INDEX(weekly!$D$2:$D$188,MATCH('Marketing Campaigns 22.11.22'!L1209,weekly!$H$2:$H$188,0))</f>
        <v>10589.193548387097</v>
      </c>
      <c r="I1209">
        <f>INDEX(weekly!$F$2:$F$188,MATCH('Marketing Campaigns 22.11.22'!L1209,weekly!$H$2:$H$188,0))</f>
        <v>4000.8138709677423</v>
      </c>
      <c r="J1209">
        <v>0</v>
      </c>
      <c r="K1209">
        <v>0</v>
      </c>
      <c r="L1209" t="str">
        <f t="shared" si="36"/>
        <v>28-7-2022</v>
      </c>
      <c r="M1209">
        <f t="shared" si="37"/>
        <v>2022</v>
      </c>
    </row>
    <row r="1210" spans="1:13" x14ac:dyDescent="0.2">
      <c r="A1210" s="1">
        <v>44753</v>
      </c>
      <c r="B1210">
        <v>28</v>
      </c>
      <c r="C1210">
        <v>7</v>
      </c>
      <c r="D1210">
        <v>3</v>
      </c>
      <c r="E1210" t="s">
        <v>45</v>
      </c>
      <c r="F1210">
        <v>0</v>
      </c>
      <c r="G1210">
        <f>INDEX(weekly!$E$2:$E$188,MATCH('Marketing Campaigns 22.11.22'!L1210,weekly!$H$2:$H$188,0))</f>
        <v>5442.4412903225802</v>
      </c>
      <c r="H1210">
        <f>INDEX(weekly!$D$2:$D$188,MATCH('Marketing Campaigns 22.11.22'!L1210,weekly!$H$2:$H$188,0))</f>
        <v>10589.193548387097</v>
      </c>
      <c r="I1210">
        <f>INDEX(weekly!$F$2:$F$188,MATCH('Marketing Campaigns 22.11.22'!L1210,weekly!$H$2:$H$188,0))</f>
        <v>4000.8138709677423</v>
      </c>
      <c r="J1210">
        <v>0</v>
      </c>
      <c r="K1210">
        <v>0</v>
      </c>
      <c r="L1210" t="str">
        <f t="shared" si="36"/>
        <v>28-7-2022</v>
      </c>
      <c r="M1210">
        <f t="shared" si="37"/>
        <v>2022</v>
      </c>
    </row>
    <row r="1211" spans="1:13" x14ac:dyDescent="0.2">
      <c r="A1211" s="1">
        <v>44753</v>
      </c>
      <c r="B1211">
        <v>28</v>
      </c>
      <c r="C1211">
        <v>7</v>
      </c>
      <c r="D1211">
        <v>3</v>
      </c>
      <c r="E1211" t="s">
        <v>46</v>
      </c>
      <c r="F1211">
        <v>0</v>
      </c>
      <c r="G1211">
        <f>INDEX(weekly!$E$2:$E$188,MATCH('Marketing Campaigns 22.11.22'!L1211,weekly!$H$2:$H$188,0))</f>
        <v>5442.4412903225802</v>
      </c>
      <c r="H1211">
        <f>INDEX(weekly!$D$2:$D$188,MATCH('Marketing Campaigns 22.11.22'!L1211,weekly!$H$2:$H$188,0))</f>
        <v>10589.193548387097</v>
      </c>
      <c r="I1211">
        <f>INDEX(weekly!$F$2:$F$188,MATCH('Marketing Campaigns 22.11.22'!L1211,weekly!$H$2:$H$188,0))</f>
        <v>4000.8138709677423</v>
      </c>
      <c r="J1211">
        <v>0</v>
      </c>
      <c r="K1211">
        <v>0</v>
      </c>
      <c r="L1211" t="str">
        <f t="shared" si="36"/>
        <v>28-7-2022</v>
      </c>
      <c r="M1211">
        <f t="shared" si="37"/>
        <v>2022</v>
      </c>
    </row>
    <row r="1212" spans="1:13" x14ac:dyDescent="0.2">
      <c r="A1212" s="1">
        <v>44753</v>
      </c>
      <c r="B1212">
        <v>28</v>
      </c>
      <c r="C1212">
        <v>7</v>
      </c>
      <c r="D1212">
        <v>3</v>
      </c>
      <c r="E1212" t="s">
        <v>47</v>
      </c>
      <c r="F1212">
        <v>0</v>
      </c>
      <c r="G1212">
        <f>INDEX(weekly!$E$2:$E$188,MATCH('Marketing Campaigns 22.11.22'!L1212,weekly!$H$2:$H$188,0))</f>
        <v>5442.4412903225802</v>
      </c>
      <c r="H1212">
        <f>INDEX(weekly!$D$2:$D$188,MATCH('Marketing Campaigns 22.11.22'!L1212,weekly!$H$2:$H$188,0))</f>
        <v>10589.193548387097</v>
      </c>
      <c r="I1212">
        <f>INDEX(weekly!$F$2:$F$188,MATCH('Marketing Campaigns 22.11.22'!L1212,weekly!$H$2:$H$188,0))</f>
        <v>4000.8138709677423</v>
      </c>
      <c r="J1212">
        <v>0</v>
      </c>
      <c r="K1212">
        <v>0</v>
      </c>
      <c r="L1212" t="str">
        <f t="shared" si="36"/>
        <v>28-7-2022</v>
      </c>
      <c r="M1212">
        <f t="shared" si="37"/>
        <v>2022</v>
      </c>
    </row>
    <row r="1213" spans="1:13" x14ac:dyDescent="0.2">
      <c r="A1213" s="1">
        <v>44753</v>
      </c>
      <c r="B1213">
        <v>28</v>
      </c>
      <c r="C1213">
        <v>7</v>
      </c>
      <c r="D1213">
        <v>3</v>
      </c>
      <c r="E1213" t="s">
        <v>48</v>
      </c>
      <c r="F1213">
        <v>0</v>
      </c>
      <c r="G1213">
        <f>INDEX(weekly!$E$2:$E$188,MATCH('Marketing Campaigns 22.11.22'!L1213,weekly!$H$2:$H$188,0))</f>
        <v>5442.4412903225802</v>
      </c>
      <c r="H1213">
        <f>INDEX(weekly!$D$2:$D$188,MATCH('Marketing Campaigns 22.11.22'!L1213,weekly!$H$2:$H$188,0))</f>
        <v>10589.193548387097</v>
      </c>
      <c r="I1213">
        <f>INDEX(weekly!$F$2:$F$188,MATCH('Marketing Campaigns 22.11.22'!L1213,weekly!$H$2:$H$188,0))</f>
        <v>4000.8138709677423</v>
      </c>
      <c r="J1213">
        <v>0</v>
      </c>
      <c r="K1213">
        <v>0</v>
      </c>
      <c r="L1213" t="str">
        <f t="shared" si="36"/>
        <v>28-7-2022</v>
      </c>
      <c r="M1213">
        <f t="shared" si="37"/>
        <v>2022</v>
      </c>
    </row>
    <row r="1214" spans="1:13" x14ac:dyDescent="0.2">
      <c r="A1214" s="1">
        <v>44753</v>
      </c>
      <c r="B1214">
        <v>28</v>
      </c>
      <c r="C1214">
        <v>7</v>
      </c>
      <c r="D1214">
        <v>3</v>
      </c>
      <c r="E1214" t="s">
        <v>49</v>
      </c>
      <c r="F1214">
        <v>0</v>
      </c>
      <c r="G1214">
        <f>INDEX(weekly!$E$2:$E$188,MATCH('Marketing Campaigns 22.11.22'!L1214,weekly!$H$2:$H$188,0))</f>
        <v>5442.4412903225802</v>
      </c>
      <c r="H1214">
        <f>INDEX(weekly!$D$2:$D$188,MATCH('Marketing Campaigns 22.11.22'!L1214,weekly!$H$2:$H$188,0))</f>
        <v>10589.193548387097</v>
      </c>
      <c r="I1214">
        <f>INDEX(weekly!$F$2:$F$188,MATCH('Marketing Campaigns 22.11.22'!L1214,weekly!$H$2:$H$188,0))</f>
        <v>4000.8138709677423</v>
      </c>
      <c r="J1214">
        <v>0</v>
      </c>
      <c r="K1214">
        <v>0</v>
      </c>
      <c r="L1214" t="str">
        <f t="shared" si="36"/>
        <v>28-7-2022</v>
      </c>
      <c r="M1214">
        <f t="shared" si="37"/>
        <v>2022</v>
      </c>
    </row>
    <row r="1215" spans="1:13" x14ac:dyDescent="0.2">
      <c r="A1215" s="1">
        <v>44753</v>
      </c>
      <c r="B1215">
        <v>28</v>
      </c>
      <c r="C1215">
        <v>7</v>
      </c>
      <c r="D1215">
        <v>3</v>
      </c>
      <c r="E1215" t="s">
        <v>50</v>
      </c>
      <c r="F1215">
        <v>0</v>
      </c>
      <c r="G1215">
        <f>INDEX(weekly!$E$2:$E$188,MATCH('Marketing Campaigns 22.11.22'!L1215,weekly!$H$2:$H$188,0))</f>
        <v>5442.4412903225802</v>
      </c>
      <c r="H1215">
        <f>INDEX(weekly!$D$2:$D$188,MATCH('Marketing Campaigns 22.11.22'!L1215,weekly!$H$2:$H$188,0))</f>
        <v>10589.193548387097</v>
      </c>
      <c r="I1215">
        <f>INDEX(weekly!$F$2:$F$188,MATCH('Marketing Campaigns 22.11.22'!L1215,weekly!$H$2:$H$188,0))</f>
        <v>4000.8138709677423</v>
      </c>
      <c r="J1215">
        <v>0</v>
      </c>
      <c r="K1215">
        <v>0</v>
      </c>
      <c r="L1215" t="str">
        <f t="shared" si="36"/>
        <v>28-7-2022</v>
      </c>
      <c r="M1215">
        <f t="shared" si="37"/>
        <v>2022</v>
      </c>
    </row>
    <row r="1216" spans="1:13" x14ac:dyDescent="0.2">
      <c r="A1216" s="1">
        <v>44753</v>
      </c>
      <c r="B1216">
        <v>28</v>
      </c>
      <c r="C1216">
        <v>7</v>
      </c>
      <c r="D1216">
        <v>3</v>
      </c>
      <c r="E1216" t="s">
        <v>51</v>
      </c>
      <c r="F1216">
        <v>0</v>
      </c>
      <c r="G1216">
        <f>INDEX(weekly!$E$2:$E$188,MATCH('Marketing Campaigns 22.11.22'!L1216,weekly!$H$2:$H$188,0))</f>
        <v>5442.4412903225802</v>
      </c>
      <c r="H1216">
        <f>INDEX(weekly!$D$2:$D$188,MATCH('Marketing Campaigns 22.11.22'!L1216,weekly!$H$2:$H$188,0))</f>
        <v>10589.193548387097</v>
      </c>
      <c r="I1216">
        <f>INDEX(weekly!$F$2:$F$188,MATCH('Marketing Campaigns 22.11.22'!L1216,weekly!$H$2:$H$188,0))</f>
        <v>4000.8138709677423</v>
      </c>
      <c r="J1216">
        <v>0</v>
      </c>
      <c r="K1216">
        <v>0</v>
      </c>
      <c r="L1216" t="str">
        <f t="shared" si="36"/>
        <v>28-7-2022</v>
      </c>
      <c r="M1216">
        <f t="shared" si="37"/>
        <v>2022</v>
      </c>
    </row>
    <row r="1217" spans="1:13" x14ac:dyDescent="0.2">
      <c r="A1217" s="1">
        <v>44753</v>
      </c>
      <c r="B1217">
        <v>28</v>
      </c>
      <c r="C1217">
        <v>7</v>
      </c>
      <c r="D1217">
        <v>3</v>
      </c>
      <c r="E1217" t="s">
        <v>52</v>
      </c>
      <c r="F1217">
        <v>0</v>
      </c>
      <c r="G1217">
        <f>INDEX(weekly!$E$2:$E$188,MATCH('Marketing Campaigns 22.11.22'!L1217,weekly!$H$2:$H$188,0))</f>
        <v>5442.4412903225802</v>
      </c>
      <c r="H1217">
        <f>INDEX(weekly!$D$2:$D$188,MATCH('Marketing Campaigns 22.11.22'!L1217,weekly!$H$2:$H$188,0))</f>
        <v>10589.193548387097</v>
      </c>
      <c r="I1217">
        <f>INDEX(weekly!$F$2:$F$188,MATCH('Marketing Campaigns 22.11.22'!L1217,weekly!$H$2:$H$188,0))</f>
        <v>4000.8138709677423</v>
      </c>
      <c r="J1217">
        <v>0</v>
      </c>
      <c r="K1217">
        <v>0</v>
      </c>
      <c r="L1217" t="str">
        <f t="shared" si="36"/>
        <v>28-7-2022</v>
      </c>
      <c r="M1217">
        <f t="shared" si="37"/>
        <v>2022</v>
      </c>
    </row>
    <row r="1218" spans="1:13" x14ac:dyDescent="0.2">
      <c r="A1218" s="1">
        <v>44760</v>
      </c>
      <c r="B1218">
        <v>29</v>
      </c>
      <c r="C1218">
        <v>7</v>
      </c>
      <c r="D1218">
        <v>3</v>
      </c>
      <c r="E1218" t="s">
        <v>24</v>
      </c>
      <c r="F1218">
        <v>0</v>
      </c>
      <c r="G1218">
        <f>INDEX(weekly!$E$2:$E$188,MATCH('Marketing Campaigns 22.11.22'!L1218,weekly!$H$2:$H$188,0))</f>
        <v>5442.4412903225802</v>
      </c>
      <c r="H1218">
        <f>INDEX(weekly!$D$2:$D$188,MATCH('Marketing Campaigns 22.11.22'!L1218,weekly!$H$2:$H$188,0))</f>
        <v>10589.193548387097</v>
      </c>
      <c r="I1218">
        <f>INDEX(weekly!$F$2:$F$188,MATCH('Marketing Campaigns 22.11.22'!L1218,weekly!$H$2:$H$188,0))</f>
        <v>4000.8138709677423</v>
      </c>
      <c r="J1218">
        <v>0</v>
      </c>
      <c r="K1218">
        <v>0</v>
      </c>
      <c r="L1218" t="str">
        <f t="shared" si="36"/>
        <v>29-7-2022</v>
      </c>
      <c r="M1218">
        <f t="shared" si="37"/>
        <v>2022</v>
      </c>
    </row>
    <row r="1219" spans="1:13" x14ac:dyDescent="0.2">
      <c r="A1219" s="1">
        <v>44760</v>
      </c>
      <c r="B1219">
        <v>29</v>
      </c>
      <c r="C1219">
        <v>7</v>
      </c>
      <c r="D1219">
        <v>3</v>
      </c>
      <c r="E1219" t="s">
        <v>39</v>
      </c>
      <c r="F1219">
        <v>0</v>
      </c>
      <c r="G1219">
        <f>INDEX(weekly!$E$2:$E$188,MATCH('Marketing Campaigns 22.11.22'!L1219,weekly!$H$2:$H$188,0))</f>
        <v>5442.4412903225802</v>
      </c>
      <c r="H1219">
        <f>INDEX(weekly!$D$2:$D$188,MATCH('Marketing Campaigns 22.11.22'!L1219,weekly!$H$2:$H$188,0))</f>
        <v>10589.193548387097</v>
      </c>
      <c r="I1219">
        <f>INDEX(weekly!$F$2:$F$188,MATCH('Marketing Campaigns 22.11.22'!L1219,weekly!$H$2:$H$188,0))</f>
        <v>4000.8138709677423</v>
      </c>
      <c r="J1219">
        <v>0</v>
      </c>
      <c r="K1219">
        <v>0</v>
      </c>
      <c r="L1219" t="str">
        <f t="shared" si="36"/>
        <v>29-7-2022</v>
      </c>
      <c r="M1219">
        <f t="shared" si="37"/>
        <v>2022</v>
      </c>
    </row>
    <row r="1220" spans="1:13" x14ac:dyDescent="0.2">
      <c r="A1220" s="1">
        <v>44760</v>
      </c>
      <c r="B1220">
        <v>29</v>
      </c>
      <c r="C1220">
        <v>7</v>
      </c>
      <c r="D1220">
        <v>3</v>
      </c>
      <c r="E1220" t="s">
        <v>40</v>
      </c>
      <c r="F1220">
        <v>0</v>
      </c>
      <c r="G1220">
        <f>INDEX(weekly!$E$2:$E$188,MATCH('Marketing Campaigns 22.11.22'!L1220,weekly!$H$2:$H$188,0))</f>
        <v>5442.4412903225802</v>
      </c>
      <c r="H1220">
        <f>INDEX(weekly!$D$2:$D$188,MATCH('Marketing Campaigns 22.11.22'!L1220,weekly!$H$2:$H$188,0))</f>
        <v>10589.193548387097</v>
      </c>
      <c r="I1220">
        <f>INDEX(weekly!$F$2:$F$188,MATCH('Marketing Campaigns 22.11.22'!L1220,weekly!$H$2:$H$188,0))</f>
        <v>4000.8138709677423</v>
      </c>
      <c r="J1220">
        <v>0</v>
      </c>
      <c r="K1220">
        <v>0</v>
      </c>
      <c r="L1220" t="str">
        <f t="shared" ref="L1220:L1283" si="38">B1220&amp;"-"&amp;C1220&amp;"-"&amp;M1220</f>
        <v>29-7-2022</v>
      </c>
      <c r="M1220">
        <f t="shared" ref="M1220:M1283" si="39">YEAR(A1220)</f>
        <v>2022</v>
      </c>
    </row>
    <row r="1221" spans="1:13" x14ac:dyDescent="0.2">
      <c r="A1221" s="1">
        <v>44760</v>
      </c>
      <c r="B1221">
        <v>29</v>
      </c>
      <c r="C1221">
        <v>7</v>
      </c>
      <c r="D1221">
        <v>3</v>
      </c>
      <c r="E1221" t="s">
        <v>41</v>
      </c>
      <c r="F1221">
        <v>0</v>
      </c>
      <c r="G1221">
        <f>INDEX(weekly!$E$2:$E$188,MATCH('Marketing Campaigns 22.11.22'!L1221,weekly!$H$2:$H$188,0))</f>
        <v>5442.4412903225802</v>
      </c>
      <c r="H1221">
        <f>INDEX(weekly!$D$2:$D$188,MATCH('Marketing Campaigns 22.11.22'!L1221,weekly!$H$2:$H$188,0))</f>
        <v>10589.193548387097</v>
      </c>
      <c r="I1221">
        <f>INDEX(weekly!$F$2:$F$188,MATCH('Marketing Campaigns 22.11.22'!L1221,weekly!$H$2:$H$188,0))</f>
        <v>4000.8138709677423</v>
      </c>
      <c r="J1221">
        <v>0</v>
      </c>
      <c r="K1221">
        <v>0</v>
      </c>
      <c r="L1221" t="str">
        <f t="shared" si="38"/>
        <v>29-7-2022</v>
      </c>
      <c r="M1221">
        <f t="shared" si="39"/>
        <v>2022</v>
      </c>
    </row>
    <row r="1222" spans="1:13" x14ac:dyDescent="0.2">
      <c r="A1222" s="1">
        <v>44760</v>
      </c>
      <c r="B1222">
        <v>29</v>
      </c>
      <c r="C1222">
        <v>7</v>
      </c>
      <c r="D1222">
        <v>3</v>
      </c>
      <c r="E1222" t="s">
        <v>42</v>
      </c>
      <c r="F1222">
        <v>0</v>
      </c>
      <c r="G1222">
        <f>INDEX(weekly!$E$2:$E$188,MATCH('Marketing Campaigns 22.11.22'!L1222,weekly!$H$2:$H$188,0))</f>
        <v>5442.4412903225802</v>
      </c>
      <c r="H1222">
        <f>INDEX(weekly!$D$2:$D$188,MATCH('Marketing Campaigns 22.11.22'!L1222,weekly!$H$2:$H$188,0))</f>
        <v>10589.193548387097</v>
      </c>
      <c r="I1222">
        <f>INDEX(weekly!$F$2:$F$188,MATCH('Marketing Campaigns 22.11.22'!L1222,weekly!$H$2:$H$188,0))</f>
        <v>4000.8138709677423</v>
      </c>
      <c r="J1222">
        <v>0</v>
      </c>
      <c r="K1222">
        <v>0</v>
      </c>
      <c r="L1222" t="str">
        <f t="shared" si="38"/>
        <v>29-7-2022</v>
      </c>
      <c r="M1222">
        <f t="shared" si="39"/>
        <v>2022</v>
      </c>
    </row>
    <row r="1223" spans="1:13" x14ac:dyDescent="0.2">
      <c r="A1223" s="1">
        <v>44760</v>
      </c>
      <c r="B1223">
        <v>29</v>
      </c>
      <c r="C1223">
        <v>7</v>
      </c>
      <c r="D1223">
        <v>3</v>
      </c>
      <c r="E1223" t="s">
        <v>43</v>
      </c>
      <c r="F1223">
        <v>0</v>
      </c>
      <c r="G1223">
        <f>INDEX(weekly!$E$2:$E$188,MATCH('Marketing Campaigns 22.11.22'!L1223,weekly!$H$2:$H$188,0))</f>
        <v>5442.4412903225802</v>
      </c>
      <c r="H1223">
        <f>INDEX(weekly!$D$2:$D$188,MATCH('Marketing Campaigns 22.11.22'!L1223,weekly!$H$2:$H$188,0))</f>
        <v>10589.193548387097</v>
      </c>
      <c r="I1223">
        <f>INDEX(weekly!$F$2:$F$188,MATCH('Marketing Campaigns 22.11.22'!L1223,weekly!$H$2:$H$188,0))</f>
        <v>4000.8138709677423</v>
      </c>
      <c r="J1223">
        <v>0</v>
      </c>
      <c r="K1223">
        <v>0</v>
      </c>
      <c r="L1223" t="str">
        <f t="shared" si="38"/>
        <v>29-7-2022</v>
      </c>
      <c r="M1223">
        <f t="shared" si="39"/>
        <v>2022</v>
      </c>
    </row>
    <row r="1224" spans="1:13" x14ac:dyDescent="0.2">
      <c r="A1224" s="1">
        <v>44760</v>
      </c>
      <c r="B1224">
        <v>29</v>
      </c>
      <c r="C1224">
        <v>7</v>
      </c>
      <c r="D1224">
        <v>3</v>
      </c>
      <c r="E1224" t="s">
        <v>44</v>
      </c>
      <c r="F1224">
        <v>0</v>
      </c>
      <c r="G1224">
        <f>INDEX(weekly!$E$2:$E$188,MATCH('Marketing Campaigns 22.11.22'!L1224,weekly!$H$2:$H$188,0))</f>
        <v>5442.4412903225802</v>
      </c>
      <c r="H1224">
        <f>INDEX(weekly!$D$2:$D$188,MATCH('Marketing Campaigns 22.11.22'!L1224,weekly!$H$2:$H$188,0))</f>
        <v>10589.193548387097</v>
      </c>
      <c r="I1224">
        <f>INDEX(weekly!$F$2:$F$188,MATCH('Marketing Campaigns 22.11.22'!L1224,weekly!$H$2:$H$188,0))</f>
        <v>4000.8138709677423</v>
      </c>
      <c r="J1224">
        <v>0</v>
      </c>
      <c r="K1224">
        <v>0</v>
      </c>
      <c r="L1224" t="str">
        <f t="shared" si="38"/>
        <v>29-7-2022</v>
      </c>
      <c r="M1224">
        <f t="shared" si="39"/>
        <v>2022</v>
      </c>
    </row>
    <row r="1225" spans="1:13" x14ac:dyDescent="0.2">
      <c r="A1225" s="1">
        <v>44760</v>
      </c>
      <c r="B1225">
        <v>29</v>
      </c>
      <c r="C1225">
        <v>7</v>
      </c>
      <c r="D1225">
        <v>3</v>
      </c>
      <c r="E1225" t="s">
        <v>45</v>
      </c>
      <c r="F1225">
        <v>0</v>
      </c>
      <c r="G1225">
        <f>INDEX(weekly!$E$2:$E$188,MATCH('Marketing Campaigns 22.11.22'!L1225,weekly!$H$2:$H$188,0))</f>
        <v>5442.4412903225802</v>
      </c>
      <c r="H1225">
        <f>INDEX(weekly!$D$2:$D$188,MATCH('Marketing Campaigns 22.11.22'!L1225,weekly!$H$2:$H$188,0))</f>
        <v>10589.193548387097</v>
      </c>
      <c r="I1225">
        <f>INDEX(weekly!$F$2:$F$188,MATCH('Marketing Campaigns 22.11.22'!L1225,weekly!$H$2:$H$188,0))</f>
        <v>4000.8138709677423</v>
      </c>
      <c r="J1225">
        <v>0</v>
      </c>
      <c r="K1225">
        <v>0</v>
      </c>
      <c r="L1225" t="str">
        <f t="shared" si="38"/>
        <v>29-7-2022</v>
      </c>
      <c r="M1225">
        <f t="shared" si="39"/>
        <v>2022</v>
      </c>
    </row>
    <row r="1226" spans="1:13" x14ac:dyDescent="0.2">
      <c r="A1226" s="1">
        <v>44760</v>
      </c>
      <c r="B1226">
        <v>29</v>
      </c>
      <c r="C1226">
        <v>7</v>
      </c>
      <c r="D1226">
        <v>3</v>
      </c>
      <c r="E1226" t="s">
        <v>46</v>
      </c>
      <c r="F1226">
        <v>0</v>
      </c>
      <c r="G1226">
        <f>INDEX(weekly!$E$2:$E$188,MATCH('Marketing Campaigns 22.11.22'!L1226,weekly!$H$2:$H$188,0))</f>
        <v>5442.4412903225802</v>
      </c>
      <c r="H1226">
        <f>INDEX(weekly!$D$2:$D$188,MATCH('Marketing Campaigns 22.11.22'!L1226,weekly!$H$2:$H$188,0))</f>
        <v>10589.193548387097</v>
      </c>
      <c r="I1226">
        <f>INDEX(weekly!$F$2:$F$188,MATCH('Marketing Campaigns 22.11.22'!L1226,weekly!$H$2:$H$188,0))</f>
        <v>4000.8138709677423</v>
      </c>
      <c r="J1226">
        <v>0</v>
      </c>
      <c r="K1226">
        <v>0</v>
      </c>
      <c r="L1226" t="str">
        <f t="shared" si="38"/>
        <v>29-7-2022</v>
      </c>
      <c r="M1226">
        <f t="shared" si="39"/>
        <v>2022</v>
      </c>
    </row>
    <row r="1227" spans="1:13" x14ac:dyDescent="0.2">
      <c r="A1227" s="1">
        <v>44760</v>
      </c>
      <c r="B1227">
        <v>29</v>
      </c>
      <c r="C1227">
        <v>7</v>
      </c>
      <c r="D1227">
        <v>3</v>
      </c>
      <c r="E1227" t="s">
        <v>47</v>
      </c>
      <c r="F1227">
        <v>0</v>
      </c>
      <c r="G1227">
        <f>INDEX(weekly!$E$2:$E$188,MATCH('Marketing Campaigns 22.11.22'!L1227,weekly!$H$2:$H$188,0))</f>
        <v>5442.4412903225802</v>
      </c>
      <c r="H1227">
        <f>INDEX(weekly!$D$2:$D$188,MATCH('Marketing Campaigns 22.11.22'!L1227,weekly!$H$2:$H$188,0))</f>
        <v>10589.193548387097</v>
      </c>
      <c r="I1227">
        <f>INDEX(weekly!$F$2:$F$188,MATCH('Marketing Campaigns 22.11.22'!L1227,weekly!$H$2:$H$188,0))</f>
        <v>4000.8138709677423</v>
      </c>
      <c r="J1227">
        <v>0</v>
      </c>
      <c r="K1227">
        <v>0</v>
      </c>
      <c r="L1227" t="str">
        <f t="shared" si="38"/>
        <v>29-7-2022</v>
      </c>
      <c r="M1227">
        <f t="shared" si="39"/>
        <v>2022</v>
      </c>
    </row>
    <row r="1228" spans="1:13" x14ac:dyDescent="0.2">
      <c r="A1228" s="1">
        <v>44760</v>
      </c>
      <c r="B1228">
        <v>29</v>
      </c>
      <c r="C1228">
        <v>7</v>
      </c>
      <c r="D1228">
        <v>3</v>
      </c>
      <c r="E1228" t="s">
        <v>48</v>
      </c>
      <c r="F1228">
        <v>0</v>
      </c>
      <c r="G1228">
        <f>INDEX(weekly!$E$2:$E$188,MATCH('Marketing Campaigns 22.11.22'!L1228,weekly!$H$2:$H$188,0))</f>
        <v>5442.4412903225802</v>
      </c>
      <c r="H1228">
        <f>INDEX(weekly!$D$2:$D$188,MATCH('Marketing Campaigns 22.11.22'!L1228,weekly!$H$2:$H$188,0))</f>
        <v>10589.193548387097</v>
      </c>
      <c r="I1228">
        <f>INDEX(weekly!$F$2:$F$188,MATCH('Marketing Campaigns 22.11.22'!L1228,weekly!$H$2:$H$188,0))</f>
        <v>4000.8138709677423</v>
      </c>
      <c r="J1228">
        <v>0</v>
      </c>
      <c r="K1228">
        <v>0</v>
      </c>
      <c r="L1228" t="str">
        <f t="shared" si="38"/>
        <v>29-7-2022</v>
      </c>
      <c r="M1228">
        <f t="shared" si="39"/>
        <v>2022</v>
      </c>
    </row>
    <row r="1229" spans="1:13" x14ac:dyDescent="0.2">
      <c r="A1229" s="1">
        <v>44760</v>
      </c>
      <c r="B1229">
        <v>29</v>
      </c>
      <c r="C1229">
        <v>7</v>
      </c>
      <c r="D1229">
        <v>3</v>
      </c>
      <c r="E1229" t="s">
        <v>49</v>
      </c>
      <c r="F1229">
        <v>0</v>
      </c>
      <c r="G1229">
        <f>INDEX(weekly!$E$2:$E$188,MATCH('Marketing Campaigns 22.11.22'!L1229,weekly!$H$2:$H$188,0))</f>
        <v>5442.4412903225802</v>
      </c>
      <c r="H1229">
        <f>INDEX(weekly!$D$2:$D$188,MATCH('Marketing Campaigns 22.11.22'!L1229,weekly!$H$2:$H$188,0))</f>
        <v>10589.193548387097</v>
      </c>
      <c r="I1229">
        <f>INDEX(weekly!$F$2:$F$188,MATCH('Marketing Campaigns 22.11.22'!L1229,weekly!$H$2:$H$188,0))</f>
        <v>4000.8138709677423</v>
      </c>
      <c r="J1229">
        <v>0</v>
      </c>
      <c r="K1229">
        <v>0</v>
      </c>
      <c r="L1229" t="str">
        <f t="shared" si="38"/>
        <v>29-7-2022</v>
      </c>
      <c r="M1229">
        <f t="shared" si="39"/>
        <v>2022</v>
      </c>
    </row>
    <row r="1230" spans="1:13" x14ac:dyDescent="0.2">
      <c r="A1230" s="1">
        <v>44760</v>
      </c>
      <c r="B1230">
        <v>29</v>
      </c>
      <c r="C1230">
        <v>7</v>
      </c>
      <c r="D1230">
        <v>3</v>
      </c>
      <c r="E1230" t="s">
        <v>50</v>
      </c>
      <c r="F1230">
        <v>0</v>
      </c>
      <c r="G1230">
        <f>INDEX(weekly!$E$2:$E$188,MATCH('Marketing Campaigns 22.11.22'!L1230,weekly!$H$2:$H$188,0))</f>
        <v>5442.4412903225802</v>
      </c>
      <c r="H1230">
        <f>INDEX(weekly!$D$2:$D$188,MATCH('Marketing Campaigns 22.11.22'!L1230,weekly!$H$2:$H$188,0))</f>
        <v>10589.193548387097</v>
      </c>
      <c r="I1230">
        <f>INDEX(weekly!$F$2:$F$188,MATCH('Marketing Campaigns 22.11.22'!L1230,weekly!$H$2:$H$188,0))</f>
        <v>4000.8138709677423</v>
      </c>
      <c r="J1230">
        <v>0</v>
      </c>
      <c r="K1230">
        <v>0</v>
      </c>
      <c r="L1230" t="str">
        <f t="shared" si="38"/>
        <v>29-7-2022</v>
      </c>
      <c r="M1230">
        <f t="shared" si="39"/>
        <v>2022</v>
      </c>
    </row>
    <row r="1231" spans="1:13" x14ac:dyDescent="0.2">
      <c r="A1231" s="1">
        <v>44760</v>
      </c>
      <c r="B1231">
        <v>29</v>
      </c>
      <c r="C1231">
        <v>7</v>
      </c>
      <c r="D1231">
        <v>3</v>
      </c>
      <c r="E1231" t="s">
        <v>51</v>
      </c>
      <c r="F1231">
        <v>0</v>
      </c>
      <c r="G1231">
        <f>INDEX(weekly!$E$2:$E$188,MATCH('Marketing Campaigns 22.11.22'!L1231,weekly!$H$2:$H$188,0))</f>
        <v>5442.4412903225802</v>
      </c>
      <c r="H1231">
        <f>INDEX(weekly!$D$2:$D$188,MATCH('Marketing Campaigns 22.11.22'!L1231,weekly!$H$2:$H$188,0))</f>
        <v>10589.193548387097</v>
      </c>
      <c r="I1231">
        <f>INDEX(weekly!$F$2:$F$188,MATCH('Marketing Campaigns 22.11.22'!L1231,weekly!$H$2:$H$188,0))</f>
        <v>4000.8138709677423</v>
      </c>
      <c r="J1231">
        <v>0</v>
      </c>
      <c r="K1231">
        <v>0</v>
      </c>
      <c r="L1231" t="str">
        <f t="shared" si="38"/>
        <v>29-7-2022</v>
      </c>
      <c r="M1231">
        <f t="shared" si="39"/>
        <v>2022</v>
      </c>
    </row>
    <row r="1232" spans="1:13" x14ac:dyDescent="0.2">
      <c r="A1232" s="1">
        <v>44760</v>
      </c>
      <c r="B1232">
        <v>29</v>
      </c>
      <c r="C1232">
        <v>7</v>
      </c>
      <c r="D1232">
        <v>3</v>
      </c>
      <c r="E1232" t="s">
        <v>52</v>
      </c>
      <c r="F1232">
        <v>0</v>
      </c>
      <c r="G1232">
        <f>INDEX(weekly!$E$2:$E$188,MATCH('Marketing Campaigns 22.11.22'!L1232,weekly!$H$2:$H$188,0))</f>
        <v>5442.4412903225802</v>
      </c>
      <c r="H1232">
        <f>INDEX(weekly!$D$2:$D$188,MATCH('Marketing Campaigns 22.11.22'!L1232,weekly!$H$2:$H$188,0))</f>
        <v>10589.193548387097</v>
      </c>
      <c r="I1232">
        <f>INDEX(weekly!$F$2:$F$188,MATCH('Marketing Campaigns 22.11.22'!L1232,weekly!$H$2:$H$188,0))</f>
        <v>4000.8138709677423</v>
      </c>
      <c r="J1232">
        <v>0</v>
      </c>
      <c r="K1232">
        <v>0</v>
      </c>
      <c r="L1232" t="str">
        <f t="shared" si="38"/>
        <v>29-7-2022</v>
      </c>
      <c r="M1232">
        <f t="shared" si="39"/>
        <v>2022</v>
      </c>
    </row>
    <row r="1233" spans="1:13" x14ac:dyDescent="0.2">
      <c r="A1233" s="1">
        <v>44767</v>
      </c>
      <c r="B1233">
        <v>30</v>
      </c>
      <c r="C1233">
        <v>7</v>
      </c>
      <c r="D1233">
        <v>3</v>
      </c>
      <c r="E1233" t="s">
        <v>24</v>
      </c>
      <c r="F1233">
        <v>0</v>
      </c>
      <c r="G1233">
        <f>INDEX(weekly!$E$2:$E$188,MATCH('Marketing Campaigns 22.11.22'!L1233,weekly!$H$2:$H$188,0))</f>
        <v>5442.4412903225802</v>
      </c>
      <c r="H1233">
        <f>INDEX(weekly!$D$2:$D$188,MATCH('Marketing Campaigns 22.11.22'!L1233,weekly!$H$2:$H$188,0))</f>
        <v>10589.193548387097</v>
      </c>
      <c r="I1233">
        <f>INDEX(weekly!$F$2:$F$188,MATCH('Marketing Campaigns 22.11.22'!L1233,weekly!$H$2:$H$188,0))</f>
        <v>4000.8138709677423</v>
      </c>
      <c r="J1233">
        <v>0</v>
      </c>
      <c r="K1233">
        <v>0</v>
      </c>
      <c r="L1233" t="str">
        <f t="shared" si="38"/>
        <v>30-7-2022</v>
      </c>
      <c r="M1233">
        <f t="shared" si="39"/>
        <v>2022</v>
      </c>
    </row>
    <row r="1234" spans="1:13" x14ac:dyDescent="0.2">
      <c r="A1234" s="1">
        <v>44767</v>
      </c>
      <c r="B1234">
        <v>30</v>
      </c>
      <c r="C1234">
        <v>7</v>
      </c>
      <c r="D1234">
        <v>3</v>
      </c>
      <c r="E1234" t="s">
        <v>39</v>
      </c>
      <c r="F1234">
        <v>0</v>
      </c>
      <c r="G1234">
        <f>INDEX(weekly!$E$2:$E$188,MATCH('Marketing Campaigns 22.11.22'!L1234,weekly!$H$2:$H$188,0))</f>
        <v>5442.4412903225802</v>
      </c>
      <c r="H1234">
        <f>INDEX(weekly!$D$2:$D$188,MATCH('Marketing Campaigns 22.11.22'!L1234,weekly!$H$2:$H$188,0))</f>
        <v>10589.193548387097</v>
      </c>
      <c r="I1234">
        <f>INDEX(weekly!$F$2:$F$188,MATCH('Marketing Campaigns 22.11.22'!L1234,weekly!$H$2:$H$188,0))</f>
        <v>4000.8138709677423</v>
      </c>
      <c r="J1234">
        <v>0</v>
      </c>
      <c r="K1234">
        <v>0</v>
      </c>
      <c r="L1234" t="str">
        <f t="shared" si="38"/>
        <v>30-7-2022</v>
      </c>
      <c r="M1234">
        <f t="shared" si="39"/>
        <v>2022</v>
      </c>
    </row>
    <row r="1235" spans="1:13" x14ac:dyDescent="0.2">
      <c r="A1235" s="1">
        <v>44767</v>
      </c>
      <c r="B1235">
        <v>30</v>
      </c>
      <c r="C1235">
        <v>7</v>
      </c>
      <c r="D1235">
        <v>3</v>
      </c>
      <c r="E1235" t="s">
        <v>40</v>
      </c>
      <c r="F1235">
        <v>0</v>
      </c>
      <c r="G1235">
        <f>INDEX(weekly!$E$2:$E$188,MATCH('Marketing Campaigns 22.11.22'!L1235,weekly!$H$2:$H$188,0))</f>
        <v>5442.4412903225802</v>
      </c>
      <c r="H1235">
        <f>INDEX(weekly!$D$2:$D$188,MATCH('Marketing Campaigns 22.11.22'!L1235,weekly!$H$2:$H$188,0))</f>
        <v>10589.193548387097</v>
      </c>
      <c r="I1235">
        <f>INDEX(weekly!$F$2:$F$188,MATCH('Marketing Campaigns 22.11.22'!L1235,weekly!$H$2:$H$188,0))</f>
        <v>4000.8138709677423</v>
      </c>
      <c r="J1235">
        <v>0</v>
      </c>
      <c r="K1235">
        <v>0</v>
      </c>
      <c r="L1235" t="str">
        <f t="shared" si="38"/>
        <v>30-7-2022</v>
      </c>
      <c r="M1235">
        <f t="shared" si="39"/>
        <v>2022</v>
      </c>
    </row>
    <row r="1236" spans="1:13" x14ac:dyDescent="0.2">
      <c r="A1236" s="1">
        <v>44767</v>
      </c>
      <c r="B1236">
        <v>30</v>
      </c>
      <c r="C1236">
        <v>7</v>
      </c>
      <c r="D1236">
        <v>3</v>
      </c>
      <c r="E1236" t="s">
        <v>41</v>
      </c>
      <c r="F1236">
        <v>0</v>
      </c>
      <c r="G1236">
        <f>INDEX(weekly!$E$2:$E$188,MATCH('Marketing Campaigns 22.11.22'!L1236,weekly!$H$2:$H$188,0))</f>
        <v>5442.4412903225802</v>
      </c>
      <c r="H1236">
        <f>INDEX(weekly!$D$2:$D$188,MATCH('Marketing Campaigns 22.11.22'!L1236,weekly!$H$2:$H$188,0))</f>
        <v>10589.193548387097</v>
      </c>
      <c r="I1236">
        <f>INDEX(weekly!$F$2:$F$188,MATCH('Marketing Campaigns 22.11.22'!L1236,weekly!$H$2:$H$188,0))</f>
        <v>4000.8138709677423</v>
      </c>
      <c r="J1236">
        <v>0</v>
      </c>
      <c r="K1236">
        <v>0</v>
      </c>
      <c r="L1236" t="str">
        <f t="shared" si="38"/>
        <v>30-7-2022</v>
      </c>
      <c r="M1236">
        <f t="shared" si="39"/>
        <v>2022</v>
      </c>
    </row>
    <row r="1237" spans="1:13" x14ac:dyDescent="0.2">
      <c r="A1237" s="1">
        <v>44767</v>
      </c>
      <c r="B1237">
        <v>30</v>
      </c>
      <c r="C1237">
        <v>7</v>
      </c>
      <c r="D1237">
        <v>3</v>
      </c>
      <c r="E1237" t="s">
        <v>42</v>
      </c>
      <c r="F1237">
        <v>0</v>
      </c>
      <c r="G1237">
        <f>INDEX(weekly!$E$2:$E$188,MATCH('Marketing Campaigns 22.11.22'!L1237,weekly!$H$2:$H$188,0))</f>
        <v>5442.4412903225802</v>
      </c>
      <c r="H1237">
        <f>INDEX(weekly!$D$2:$D$188,MATCH('Marketing Campaigns 22.11.22'!L1237,weekly!$H$2:$H$188,0))</f>
        <v>10589.193548387097</v>
      </c>
      <c r="I1237">
        <f>INDEX(weekly!$F$2:$F$188,MATCH('Marketing Campaigns 22.11.22'!L1237,weekly!$H$2:$H$188,0))</f>
        <v>4000.8138709677423</v>
      </c>
      <c r="J1237">
        <v>0</v>
      </c>
      <c r="K1237">
        <v>0</v>
      </c>
      <c r="L1237" t="str">
        <f t="shared" si="38"/>
        <v>30-7-2022</v>
      </c>
      <c r="M1237">
        <f t="shared" si="39"/>
        <v>2022</v>
      </c>
    </row>
    <row r="1238" spans="1:13" x14ac:dyDescent="0.2">
      <c r="A1238" s="1">
        <v>44767</v>
      </c>
      <c r="B1238">
        <v>30</v>
      </c>
      <c r="C1238">
        <v>7</v>
      </c>
      <c r="D1238">
        <v>3</v>
      </c>
      <c r="E1238" t="s">
        <v>43</v>
      </c>
      <c r="F1238">
        <v>0</v>
      </c>
      <c r="G1238">
        <f>INDEX(weekly!$E$2:$E$188,MATCH('Marketing Campaigns 22.11.22'!L1238,weekly!$H$2:$H$188,0))</f>
        <v>5442.4412903225802</v>
      </c>
      <c r="H1238">
        <f>INDEX(weekly!$D$2:$D$188,MATCH('Marketing Campaigns 22.11.22'!L1238,weekly!$H$2:$H$188,0))</f>
        <v>10589.193548387097</v>
      </c>
      <c r="I1238">
        <f>INDEX(weekly!$F$2:$F$188,MATCH('Marketing Campaigns 22.11.22'!L1238,weekly!$H$2:$H$188,0))</f>
        <v>4000.8138709677423</v>
      </c>
      <c r="J1238">
        <v>0</v>
      </c>
      <c r="K1238">
        <v>0</v>
      </c>
      <c r="L1238" t="str">
        <f t="shared" si="38"/>
        <v>30-7-2022</v>
      </c>
      <c r="M1238">
        <f t="shared" si="39"/>
        <v>2022</v>
      </c>
    </row>
    <row r="1239" spans="1:13" x14ac:dyDescent="0.2">
      <c r="A1239" s="1">
        <v>44767</v>
      </c>
      <c r="B1239">
        <v>30</v>
      </c>
      <c r="C1239">
        <v>7</v>
      </c>
      <c r="D1239">
        <v>3</v>
      </c>
      <c r="E1239" t="s">
        <v>44</v>
      </c>
      <c r="F1239">
        <v>0</v>
      </c>
      <c r="G1239">
        <f>INDEX(weekly!$E$2:$E$188,MATCH('Marketing Campaigns 22.11.22'!L1239,weekly!$H$2:$H$188,0))</f>
        <v>5442.4412903225802</v>
      </c>
      <c r="H1239">
        <f>INDEX(weekly!$D$2:$D$188,MATCH('Marketing Campaigns 22.11.22'!L1239,weekly!$H$2:$H$188,0))</f>
        <v>10589.193548387097</v>
      </c>
      <c r="I1239">
        <f>INDEX(weekly!$F$2:$F$188,MATCH('Marketing Campaigns 22.11.22'!L1239,weekly!$H$2:$H$188,0))</f>
        <v>4000.8138709677423</v>
      </c>
      <c r="J1239">
        <v>0</v>
      </c>
      <c r="K1239">
        <v>0</v>
      </c>
      <c r="L1239" t="str">
        <f t="shared" si="38"/>
        <v>30-7-2022</v>
      </c>
      <c r="M1239">
        <f t="shared" si="39"/>
        <v>2022</v>
      </c>
    </row>
    <row r="1240" spans="1:13" x14ac:dyDescent="0.2">
      <c r="A1240" s="1">
        <v>44767</v>
      </c>
      <c r="B1240">
        <v>30</v>
      </c>
      <c r="C1240">
        <v>7</v>
      </c>
      <c r="D1240">
        <v>3</v>
      </c>
      <c r="E1240" t="s">
        <v>45</v>
      </c>
      <c r="F1240">
        <v>0</v>
      </c>
      <c r="G1240">
        <f>INDEX(weekly!$E$2:$E$188,MATCH('Marketing Campaigns 22.11.22'!L1240,weekly!$H$2:$H$188,0))</f>
        <v>5442.4412903225802</v>
      </c>
      <c r="H1240">
        <f>INDEX(weekly!$D$2:$D$188,MATCH('Marketing Campaigns 22.11.22'!L1240,weekly!$H$2:$H$188,0))</f>
        <v>10589.193548387097</v>
      </c>
      <c r="I1240">
        <f>INDEX(weekly!$F$2:$F$188,MATCH('Marketing Campaigns 22.11.22'!L1240,weekly!$H$2:$H$188,0))</f>
        <v>4000.8138709677423</v>
      </c>
      <c r="J1240">
        <v>0</v>
      </c>
      <c r="K1240">
        <v>0</v>
      </c>
      <c r="L1240" t="str">
        <f t="shared" si="38"/>
        <v>30-7-2022</v>
      </c>
      <c r="M1240">
        <f t="shared" si="39"/>
        <v>2022</v>
      </c>
    </row>
    <row r="1241" spans="1:13" x14ac:dyDescent="0.2">
      <c r="A1241" s="1">
        <v>44767</v>
      </c>
      <c r="B1241">
        <v>30</v>
      </c>
      <c r="C1241">
        <v>7</v>
      </c>
      <c r="D1241">
        <v>3</v>
      </c>
      <c r="E1241" t="s">
        <v>46</v>
      </c>
      <c r="F1241">
        <v>0</v>
      </c>
      <c r="G1241">
        <f>INDEX(weekly!$E$2:$E$188,MATCH('Marketing Campaigns 22.11.22'!L1241,weekly!$H$2:$H$188,0))</f>
        <v>5442.4412903225802</v>
      </c>
      <c r="H1241">
        <f>INDEX(weekly!$D$2:$D$188,MATCH('Marketing Campaigns 22.11.22'!L1241,weekly!$H$2:$H$188,0))</f>
        <v>10589.193548387097</v>
      </c>
      <c r="I1241">
        <f>INDEX(weekly!$F$2:$F$188,MATCH('Marketing Campaigns 22.11.22'!L1241,weekly!$H$2:$H$188,0))</f>
        <v>4000.8138709677423</v>
      </c>
      <c r="J1241">
        <v>0</v>
      </c>
      <c r="K1241">
        <v>0</v>
      </c>
      <c r="L1241" t="str">
        <f t="shared" si="38"/>
        <v>30-7-2022</v>
      </c>
      <c r="M1241">
        <f t="shared" si="39"/>
        <v>2022</v>
      </c>
    </row>
    <row r="1242" spans="1:13" x14ac:dyDescent="0.2">
      <c r="A1242" s="1">
        <v>44767</v>
      </c>
      <c r="B1242">
        <v>30</v>
      </c>
      <c r="C1242">
        <v>7</v>
      </c>
      <c r="D1242">
        <v>3</v>
      </c>
      <c r="E1242" t="s">
        <v>47</v>
      </c>
      <c r="F1242">
        <v>0</v>
      </c>
      <c r="G1242">
        <f>INDEX(weekly!$E$2:$E$188,MATCH('Marketing Campaigns 22.11.22'!L1242,weekly!$H$2:$H$188,0))</f>
        <v>5442.4412903225802</v>
      </c>
      <c r="H1242">
        <f>INDEX(weekly!$D$2:$D$188,MATCH('Marketing Campaigns 22.11.22'!L1242,weekly!$H$2:$H$188,0))</f>
        <v>10589.193548387097</v>
      </c>
      <c r="I1242">
        <f>INDEX(weekly!$F$2:$F$188,MATCH('Marketing Campaigns 22.11.22'!L1242,weekly!$H$2:$H$188,0))</f>
        <v>4000.8138709677423</v>
      </c>
      <c r="J1242">
        <v>0</v>
      </c>
      <c r="K1242">
        <v>0</v>
      </c>
      <c r="L1242" t="str">
        <f t="shared" si="38"/>
        <v>30-7-2022</v>
      </c>
      <c r="M1242">
        <f t="shared" si="39"/>
        <v>2022</v>
      </c>
    </row>
    <row r="1243" spans="1:13" x14ac:dyDescent="0.2">
      <c r="A1243" s="1">
        <v>44767</v>
      </c>
      <c r="B1243">
        <v>30</v>
      </c>
      <c r="C1243">
        <v>7</v>
      </c>
      <c r="D1243">
        <v>3</v>
      </c>
      <c r="E1243" t="s">
        <v>48</v>
      </c>
      <c r="F1243">
        <v>0</v>
      </c>
      <c r="G1243">
        <f>INDEX(weekly!$E$2:$E$188,MATCH('Marketing Campaigns 22.11.22'!L1243,weekly!$H$2:$H$188,0))</f>
        <v>5442.4412903225802</v>
      </c>
      <c r="H1243">
        <f>INDEX(weekly!$D$2:$D$188,MATCH('Marketing Campaigns 22.11.22'!L1243,weekly!$H$2:$H$188,0))</f>
        <v>10589.193548387097</v>
      </c>
      <c r="I1243">
        <f>INDEX(weekly!$F$2:$F$188,MATCH('Marketing Campaigns 22.11.22'!L1243,weekly!$H$2:$H$188,0))</f>
        <v>4000.8138709677423</v>
      </c>
      <c r="J1243">
        <v>0</v>
      </c>
      <c r="K1243">
        <v>0</v>
      </c>
      <c r="L1243" t="str">
        <f t="shared" si="38"/>
        <v>30-7-2022</v>
      </c>
      <c r="M1243">
        <f t="shared" si="39"/>
        <v>2022</v>
      </c>
    </row>
    <row r="1244" spans="1:13" x14ac:dyDescent="0.2">
      <c r="A1244" s="1">
        <v>44767</v>
      </c>
      <c r="B1244">
        <v>30</v>
      </c>
      <c r="C1244">
        <v>7</v>
      </c>
      <c r="D1244">
        <v>3</v>
      </c>
      <c r="E1244" t="s">
        <v>49</v>
      </c>
      <c r="F1244">
        <v>0</v>
      </c>
      <c r="G1244">
        <f>INDEX(weekly!$E$2:$E$188,MATCH('Marketing Campaigns 22.11.22'!L1244,weekly!$H$2:$H$188,0))</f>
        <v>5442.4412903225802</v>
      </c>
      <c r="H1244">
        <f>INDEX(weekly!$D$2:$D$188,MATCH('Marketing Campaigns 22.11.22'!L1244,weekly!$H$2:$H$188,0))</f>
        <v>10589.193548387097</v>
      </c>
      <c r="I1244">
        <f>INDEX(weekly!$F$2:$F$188,MATCH('Marketing Campaigns 22.11.22'!L1244,weekly!$H$2:$H$188,0))</f>
        <v>4000.8138709677423</v>
      </c>
      <c r="J1244">
        <v>0</v>
      </c>
      <c r="K1244">
        <v>0</v>
      </c>
      <c r="L1244" t="str">
        <f t="shared" si="38"/>
        <v>30-7-2022</v>
      </c>
      <c r="M1244">
        <f t="shared" si="39"/>
        <v>2022</v>
      </c>
    </row>
    <row r="1245" spans="1:13" x14ac:dyDescent="0.2">
      <c r="A1245" s="1">
        <v>44767</v>
      </c>
      <c r="B1245">
        <v>30</v>
      </c>
      <c r="C1245">
        <v>7</v>
      </c>
      <c r="D1245">
        <v>3</v>
      </c>
      <c r="E1245" t="s">
        <v>50</v>
      </c>
      <c r="F1245">
        <v>0</v>
      </c>
      <c r="G1245">
        <f>INDEX(weekly!$E$2:$E$188,MATCH('Marketing Campaigns 22.11.22'!L1245,weekly!$H$2:$H$188,0))</f>
        <v>5442.4412903225802</v>
      </c>
      <c r="H1245">
        <f>INDEX(weekly!$D$2:$D$188,MATCH('Marketing Campaigns 22.11.22'!L1245,weekly!$H$2:$H$188,0))</f>
        <v>10589.193548387097</v>
      </c>
      <c r="I1245">
        <f>INDEX(weekly!$F$2:$F$188,MATCH('Marketing Campaigns 22.11.22'!L1245,weekly!$H$2:$H$188,0))</f>
        <v>4000.8138709677423</v>
      </c>
      <c r="J1245">
        <v>0</v>
      </c>
      <c r="K1245">
        <v>0</v>
      </c>
      <c r="L1245" t="str">
        <f t="shared" si="38"/>
        <v>30-7-2022</v>
      </c>
      <c r="M1245">
        <f t="shared" si="39"/>
        <v>2022</v>
      </c>
    </row>
    <row r="1246" spans="1:13" x14ac:dyDescent="0.2">
      <c r="A1246" s="1">
        <v>44767</v>
      </c>
      <c r="B1246">
        <v>30</v>
      </c>
      <c r="C1246">
        <v>7</v>
      </c>
      <c r="D1246">
        <v>3</v>
      </c>
      <c r="E1246" t="s">
        <v>51</v>
      </c>
      <c r="F1246">
        <v>0</v>
      </c>
      <c r="G1246">
        <f>INDEX(weekly!$E$2:$E$188,MATCH('Marketing Campaigns 22.11.22'!L1246,weekly!$H$2:$H$188,0))</f>
        <v>5442.4412903225802</v>
      </c>
      <c r="H1246">
        <f>INDEX(weekly!$D$2:$D$188,MATCH('Marketing Campaigns 22.11.22'!L1246,weekly!$H$2:$H$188,0))</f>
        <v>10589.193548387097</v>
      </c>
      <c r="I1246">
        <f>INDEX(weekly!$F$2:$F$188,MATCH('Marketing Campaigns 22.11.22'!L1246,weekly!$H$2:$H$188,0))</f>
        <v>4000.8138709677423</v>
      </c>
      <c r="J1246">
        <v>0</v>
      </c>
      <c r="K1246">
        <v>0</v>
      </c>
      <c r="L1246" t="str">
        <f t="shared" si="38"/>
        <v>30-7-2022</v>
      </c>
      <c r="M1246">
        <f t="shared" si="39"/>
        <v>2022</v>
      </c>
    </row>
    <row r="1247" spans="1:13" x14ac:dyDescent="0.2">
      <c r="A1247" s="1">
        <v>44767</v>
      </c>
      <c r="B1247">
        <v>30</v>
      </c>
      <c r="C1247">
        <v>7</v>
      </c>
      <c r="D1247">
        <v>3</v>
      </c>
      <c r="E1247" t="s">
        <v>52</v>
      </c>
      <c r="F1247">
        <v>0</v>
      </c>
      <c r="G1247">
        <f>INDEX(weekly!$E$2:$E$188,MATCH('Marketing Campaigns 22.11.22'!L1247,weekly!$H$2:$H$188,0))</f>
        <v>5442.4412903225802</v>
      </c>
      <c r="H1247">
        <f>INDEX(weekly!$D$2:$D$188,MATCH('Marketing Campaigns 22.11.22'!L1247,weekly!$H$2:$H$188,0))</f>
        <v>10589.193548387097</v>
      </c>
      <c r="I1247">
        <f>INDEX(weekly!$F$2:$F$188,MATCH('Marketing Campaigns 22.11.22'!L1247,weekly!$H$2:$H$188,0))</f>
        <v>4000.8138709677423</v>
      </c>
      <c r="J1247">
        <v>0</v>
      </c>
      <c r="K1247">
        <v>0</v>
      </c>
      <c r="L1247" t="str">
        <f t="shared" si="38"/>
        <v>30-7-2022</v>
      </c>
      <c r="M1247">
        <f t="shared" si="39"/>
        <v>2022</v>
      </c>
    </row>
    <row r="1248" spans="1:13" x14ac:dyDescent="0.2">
      <c r="A1248" s="1">
        <v>44774</v>
      </c>
      <c r="B1248">
        <v>31</v>
      </c>
      <c r="C1248">
        <v>8</v>
      </c>
      <c r="D1248">
        <v>3</v>
      </c>
      <c r="E1248" t="s">
        <v>24</v>
      </c>
      <c r="F1248">
        <v>0</v>
      </c>
      <c r="G1248">
        <f>INDEX(weekly!$E$2:$E$188,MATCH('Marketing Campaigns 22.11.22'!L1248,weekly!$H$2:$H$188,0))</f>
        <v>4986.8406451612909</v>
      </c>
      <c r="H1248">
        <f>INDEX(weekly!$D$2:$D$188,MATCH('Marketing Campaigns 22.11.22'!L1248,weekly!$H$2:$H$188,0))</f>
        <v>10671.83870967742</v>
      </c>
      <c r="I1248">
        <f>INDEX(weekly!$F$2:$F$188,MATCH('Marketing Campaigns 22.11.22'!L1248,weekly!$H$2:$H$188,0))</f>
        <v>3646.7741935483873</v>
      </c>
      <c r="J1248">
        <v>0</v>
      </c>
      <c r="K1248">
        <v>0</v>
      </c>
      <c r="L1248" t="str">
        <f t="shared" si="38"/>
        <v>31-8-2022</v>
      </c>
      <c r="M1248">
        <f t="shared" si="39"/>
        <v>2022</v>
      </c>
    </row>
    <row r="1249" spans="1:13" x14ac:dyDescent="0.2">
      <c r="A1249" s="1">
        <v>44774</v>
      </c>
      <c r="B1249">
        <v>31</v>
      </c>
      <c r="C1249">
        <v>8</v>
      </c>
      <c r="D1249">
        <v>3</v>
      </c>
      <c r="E1249" t="s">
        <v>39</v>
      </c>
      <c r="F1249">
        <v>0</v>
      </c>
      <c r="G1249">
        <f>INDEX(weekly!$E$2:$E$188,MATCH('Marketing Campaigns 22.11.22'!L1249,weekly!$H$2:$H$188,0))</f>
        <v>4986.8406451612909</v>
      </c>
      <c r="H1249">
        <f>INDEX(weekly!$D$2:$D$188,MATCH('Marketing Campaigns 22.11.22'!L1249,weekly!$H$2:$H$188,0))</f>
        <v>10671.83870967742</v>
      </c>
      <c r="I1249">
        <f>INDEX(weekly!$F$2:$F$188,MATCH('Marketing Campaigns 22.11.22'!L1249,weekly!$H$2:$H$188,0))</f>
        <v>3646.7741935483873</v>
      </c>
      <c r="J1249">
        <v>0</v>
      </c>
      <c r="K1249">
        <v>0</v>
      </c>
      <c r="L1249" t="str">
        <f t="shared" si="38"/>
        <v>31-8-2022</v>
      </c>
      <c r="M1249">
        <f t="shared" si="39"/>
        <v>2022</v>
      </c>
    </row>
    <row r="1250" spans="1:13" x14ac:dyDescent="0.2">
      <c r="A1250" s="1">
        <v>44774</v>
      </c>
      <c r="B1250">
        <v>31</v>
      </c>
      <c r="C1250">
        <v>8</v>
      </c>
      <c r="D1250">
        <v>3</v>
      </c>
      <c r="E1250" t="s">
        <v>40</v>
      </c>
      <c r="F1250">
        <v>0</v>
      </c>
      <c r="G1250">
        <f>INDEX(weekly!$E$2:$E$188,MATCH('Marketing Campaigns 22.11.22'!L1250,weekly!$H$2:$H$188,0))</f>
        <v>4986.8406451612909</v>
      </c>
      <c r="H1250">
        <f>INDEX(weekly!$D$2:$D$188,MATCH('Marketing Campaigns 22.11.22'!L1250,weekly!$H$2:$H$188,0))</f>
        <v>10671.83870967742</v>
      </c>
      <c r="I1250">
        <f>INDEX(weekly!$F$2:$F$188,MATCH('Marketing Campaigns 22.11.22'!L1250,weekly!$H$2:$H$188,0))</f>
        <v>3646.7741935483873</v>
      </c>
      <c r="J1250">
        <v>0</v>
      </c>
      <c r="K1250">
        <v>0</v>
      </c>
      <c r="L1250" t="str">
        <f t="shared" si="38"/>
        <v>31-8-2022</v>
      </c>
      <c r="M1250">
        <f t="shared" si="39"/>
        <v>2022</v>
      </c>
    </row>
    <row r="1251" spans="1:13" x14ac:dyDescent="0.2">
      <c r="A1251" s="1">
        <v>44774</v>
      </c>
      <c r="B1251">
        <v>31</v>
      </c>
      <c r="C1251">
        <v>8</v>
      </c>
      <c r="D1251">
        <v>3</v>
      </c>
      <c r="E1251" t="s">
        <v>41</v>
      </c>
      <c r="F1251">
        <v>0</v>
      </c>
      <c r="G1251">
        <f>INDEX(weekly!$E$2:$E$188,MATCH('Marketing Campaigns 22.11.22'!L1251,weekly!$H$2:$H$188,0))</f>
        <v>4986.8406451612909</v>
      </c>
      <c r="H1251">
        <f>INDEX(weekly!$D$2:$D$188,MATCH('Marketing Campaigns 22.11.22'!L1251,weekly!$H$2:$H$188,0))</f>
        <v>10671.83870967742</v>
      </c>
      <c r="I1251">
        <f>INDEX(weekly!$F$2:$F$188,MATCH('Marketing Campaigns 22.11.22'!L1251,weekly!$H$2:$H$188,0))</f>
        <v>3646.7741935483873</v>
      </c>
      <c r="J1251">
        <v>0</v>
      </c>
      <c r="K1251">
        <v>0</v>
      </c>
      <c r="L1251" t="str">
        <f t="shared" si="38"/>
        <v>31-8-2022</v>
      </c>
      <c r="M1251">
        <f t="shared" si="39"/>
        <v>2022</v>
      </c>
    </row>
    <row r="1252" spans="1:13" x14ac:dyDescent="0.2">
      <c r="A1252" s="1">
        <v>44774</v>
      </c>
      <c r="B1252">
        <v>31</v>
      </c>
      <c r="C1252">
        <v>8</v>
      </c>
      <c r="D1252">
        <v>3</v>
      </c>
      <c r="E1252" t="s">
        <v>42</v>
      </c>
      <c r="F1252">
        <v>0</v>
      </c>
      <c r="G1252">
        <f>INDEX(weekly!$E$2:$E$188,MATCH('Marketing Campaigns 22.11.22'!L1252,weekly!$H$2:$H$188,0))</f>
        <v>4986.8406451612909</v>
      </c>
      <c r="H1252">
        <f>INDEX(weekly!$D$2:$D$188,MATCH('Marketing Campaigns 22.11.22'!L1252,weekly!$H$2:$H$188,0))</f>
        <v>10671.83870967742</v>
      </c>
      <c r="I1252">
        <f>INDEX(weekly!$F$2:$F$188,MATCH('Marketing Campaigns 22.11.22'!L1252,weekly!$H$2:$H$188,0))</f>
        <v>3646.7741935483873</v>
      </c>
      <c r="J1252">
        <v>0</v>
      </c>
      <c r="K1252">
        <v>0</v>
      </c>
      <c r="L1252" t="str">
        <f t="shared" si="38"/>
        <v>31-8-2022</v>
      </c>
      <c r="M1252">
        <f t="shared" si="39"/>
        <v>2022</v>
      </c>
    </row>
    <row r="1253" spans="1:13" x14ac:dyDescent="0.2">
      <c r="A1253" s="1">
        <v>44774</v>
      </c>
      <c r="B1253">
        <v>31</v>
      </c>
      <c r="C1253">
        <v>8</v>
      </c>
      <c r="D1253">
        <v>3</v>
      </c>
      <c r="E1253" t="s">
        <v>43</v>
      </c>
      <c r="F1253">
        <v>0</v>
      </c>
      <c r="G1253">
        <f>INDEX(weekly!$E$2:$E$188,MATCH('Marketing Campaigns 22.11.22'!L1253,weekly!$H$2:$H$188,0))</f>
        <v>4986.8406451612909</v>
      </c>
      <c r="H1253">
        <f>INDEX(weekly!$D$2:$D$188,MATCH('Marketing Campaigns 22.11.22'!L1253,weekly!$H$2:$H$188,0))</f>
        <v>10671.83870967742</v>
      </c>
      <c r="I1253">
        <f>INDEX(weekly!$F$2:$F$188,MATCH('Marketing Campaigns 22.11.22'!L1253,weekly!$H$2:$H$188,0))</f>
        <v>3646.7741935483873</v>
      </c>
      <c r="J1253">
        <v>0</v>
      </c>
      <c r="K1253">
        <v>0</v>
      </c>
      <c r="L1253" t="str">
        <f t="shared" si="38"/>
        <v>31-8-2022</v>
      </c>
      <c r="M1253">
        <f t="shared" si="39"/>
        <v>2022</v>
      </c>
    </row>
    <row r="1254" spans="1:13" x14ac:dyDescent="0.2">
      <c r="A1254" s="1">
        <v>44774</v>
      </c>
      <c r="B1254">
        <v>31</v>
      </c>
      <c r="C1254">
        <v>8</v>
      </c>
      <c r="D1254">
        <v>3</v>
      </c>
      <c r="E1254" t="s">
        <v>44</v>
      </c>
      <c r="F1254">
        <v>0</v>
      </c>
      <c r="G1254">
        <f>INDEX(weekly!$E$2:$E$188,MATCH('Marketing Campaigns 22.11.22'!L1254,weekly!$H$2:$H$188,0))</f>
        <v>4986.8406451612909</v>
      </c>
      <c r="H1254">
        <f>INDEX(weekly!$D$2:$D$188,MATCH('Marketing Campaigns 22.11.22'!L1254,weekly!$H$2:$H$188,0))</f>
        <v>10671.83870967742</v>
      </c>
      <c r="I1254">
        <f>INDEX(weekly!$F$2:$F$188,MATCH('Marketing Campaigns 22.11.22'!L1254,weekly!$H$2:$H$188,0))</f>
        <v>3646.7741935483873</v>
      </c>
      <c r="J1254">
        <v>0</v>
      </c>
      <c r="K1254">
        <v>0</v>
      </c>
      <c r="L1254" t="str">
        <f t="shared" si="38"/>
        <v>31-8-2022</v>
      </c>
      <c r="M1254">
        <f t="shared" si="39"/>
        <v>2022</v>
      </c>
    </row>
    <row r="1255" spans="1:13" x14ac:dyDescent="0.2">
      <c r="A1255" s="1">
        <v>44774</v>
      </c>
      <c r="B1255">
        <v>31</v>
      </c>
      <c r="C1255">
        <v>8</v>
      </c>
      <c r="D1255">
        <v>3</v>
      </c>
      <c r="E1255" t="s">
        <v>45</v>
      </c>
      <c r="F1255">
        <v>0</v>
      </c>
      <c r="G1255">
        <f>INDEX(weekly!$E$2:$E$188,MATCH('Marketing Campaigns 22.11.22'!L1255,weekly!$H$2:$H$188,0))</f>
        <v>4986.8406451612909</v>
      </c>
      <c r="H1255">
        <f>INDEX(weekly!$D$2:$D$188,MATCH('Marketing Campaigns 22.11.22'!L1255,weekly!$H$2:$H$188,0))</f>
        <v>10671.83870967742</v>
      </c>
      <c r="I1255">
        <f>INDEX(weekly!$F$2:$F$188,MATCH('Marketing Campaigns 22.11.22'!L1255,weekly!$H$2:$H$188,0))</f>
        <v>3646.7741935483873</v>
      </c>
      <c r="J1255">
        <v>0</v>
      </c>
      <c r="K1255">
        <v>0</v>
      </c>
      <c r="L1255" t="str">
        <f t="shared" si="38"/>
        <v>31-8-2022</v>
      </c>
      <c r="M1255">
        <f t="shared" si="39"/>
        <v>2022</v>
      </c>
    </row>
    <row r="1256" spans="1:13" x14ac:dyDescent="0.2">
      <c r="A1256" s="1">
        <v>44774</v>
      </c>
      <c r="B1256">
        <v>31</v>
      </c>
      <c r="C1256">
        <v>8</v>
      </c>
      <c r="D1256">
        <v>3</v>
      </c>
      <c r="E1256" t="s">
        <v>46</v>
      </c>
      <c r="F1256">
        <v>0</v>
      </c>
      <c r="G1256">
        <f>INDEX(weekly!$E$2:$E$188,MATCH('Marketing Campaigns 22.11.22'!L1256,weekly!$H$2:$H$188,0))</f>
        <v>4986.8406451612909</v>
      </c>
      <c r="H1256">
        <f>INDEX(weekly!$D$2:$D$188,MATCH('Marketing Campaigns 22.11.22'!L1256,weekly!$H$2:$H$188,0))</f>
        <v>10671.83870967742</v>
      </c>
      <c r="I1256">
        <f>INDEX(weekly!$F$2:$F$188,MATCH('Marketing Campaigns 22.11.22'!L1256,weekly!$H$2:$H$188,0))</f>
        <v>3646.7741935483873</v>
      </c>
      <c r="J1256">
        <v>0</v>
      </c>
      <c r="K1256">
        <v>0</v>
      </c>
      <c r="L1256" t="str">
        <f t="shared" si="38"/>
        <v>31-8-2022</v>
      </c>
      <c r="M1256">
        <f t="shared" si="39"/>
        <v>2022</v>
      </c>
    </row>
    <row r="1257" spans="1:13" x14ac:dyDescent="0.2">
      <c r="A1257" s="1">
        <v>44774</v>
      </c>
      <c r="B1257">
        <v>31</v>
      </c>
      <c r="C1257">
        <v>8</v>
      </c>
      <c r="D1257">
        <v>3</v>
      </c>
      <c r="E1257" t="s">
        <v>47</v>
      </c>
      <c r="F1257">
        <v>0</v>
      </c>
      <c r="G1257">
        <f>INDEX(weekly!$E$2:$E$188,MATCH('Marketing Campaigns 22.11.22'!L1257,weekly!$H$2:$H$188,0))</f>
        <v>4986.8406451612909</v>
      </c>
      <c r="H1257">
        <f>INDEX(weekly!$D$2:$D$188,MATCH('Marketing Campaigns 22.11.22'!L1257,weekly!$H$2:$H$188,0))</f>
        <v>10671.83870967742</v>
      </c>
      <c r="I1257">
        <f>INDEX(weekly!$F$2:$F$188,MATCH('Marketing Campaigns 22.11.22'!L1257,weekly!$H$2:$H$188,0))</f>
        <v>3646.7741935483873</v>
      </c>
      <c r="J1257">
        <v>0</v>
      </c>
      <c r="K1257">
        <v>0</v>
      </c>
      <c r="L1257" t="str">
        <f t="shared" si="38"/>
        <v>31-8-2022</v>
      </c>
      <c r="M1257">
        <f t="shared" si="39"/>
        <v>2022</v>
      </c>
    </row>
    <row r="1258" spans="1:13" x14ac:dyDescent="0.2">
      <c r="A1258" s="1">
        <v>44774</v>
      </c>
      <c r="B1258">
        <v>31</v>
      </c>
      <c r="C1258">
        <v>8</v>
      </c>
      <c r="D1258">
        <v>3</v>
      </c>
      <c r="E1258" t="s">
        <v>48</v>
      </c>
      <c r="F1258">
        <v>0</v>
      </c>
      <c r="G1258">
        <f>INDEX(weekly!$E$2:$E$188,MATCH('Marketing Campaigns 22.11.22'!L1258,weekly!$H$2:$H$188,0))</f>
        <v>4986.8406451612909</v>
      </c>
      <c r="H1258">
        <f>INDEX(weekly!$D$2:$D$188,MATCH('Marketing Campaigns 22.11.22'!L1258,weekly!$H$2:$H$188,0))</f>
        <v>10671.83870967742</v>
      </c>
      <c r="I1258">
        <f>INDEX(weekly!$F$2:$F$188,MATCH('Marketing Campaigns 22.11.22'!L1258,weekly!$H$2:$H$188,0))</f>
        <v>3646.7741935483873</v>
      </c>
      <c r="J1258">
        <v>0</v>
      </c>
      <c r="K1258">
        <v>0</v>
      </c>
      <c r="L1258" t="str">
        <f t="shared" si="38"/>
        <v>31-8-2022</v>
      </c>
      <c r="M1258">
        <f t="shared" si="39"/>
        <v>2022</v>
      </c>
    </row>
    <row r="1259" spans="1:13" x14ac:dyDescent="0.2">
      <c r="A1259" s="1">
        <v>44774</v>
      </c>
      <c r="B1259">
        <v>31</v>
      </c>
      <c r="C1259">
        <v>8</v>
      </c>
      <c r="D1259">
        <v>3</v>
      </c>
      <c r="E1259" t="s">
        <v>49</v>
      </c>
      <c r="F1259">
        <v>0</v>
      </c>
      <c r="G1259">
        <f>INDEX(weekly!$E$2:$E$188,MATCH('Marketing Campaigns 22.11.22'!L1259,weekly!$H$2:$H$188,0))</f>
        <v>4986.8406451612909</v>
      </c>
      <c r="H1259">
        <f>INDEX(weekly!$D$2:$D$188,MATCH('Marketing Campaigns 22.11.22'!L1259,weekly!$H$2:$H$188,0))</f>
        <v>10671.83870967742</v>
      </c>
      <c r="I1259">
        <f>INDEX(weekly!$F$2:$F$188,MATCH('Marketing Campaigns 22.11.22'!L1259,weekly!$H$2:$H$188,0))</f>
        <v>3646.7741935483873</v>
      </c>
      <c r="J1259">
        <v>0</v>
      </c>
      <c r="K1259">
        <v>0</v>
      </c>
      <c r="L1259" t="str">
        <f t="shared" si="38"/>
        <v>31-8-2022</v>
      </c>
      <c r="M1259">
        <f t="shared" si="39"/>
        <v>2022</v>
      </c>
    </row>
    <row r="1260" spans="1:13" x14ac:dyDescent="0.2">
      <c r="A1260" s="1">
        <v>44774</v>
      </c>
      <c r="B1260">
        <v>31</v>
      </c>
      <c r="C1260">
        <v>8</v>
      </c>
      <c r="D1260">
        <v>3</v>
      </c>
      <c r="E1260" t="s">
        <v>50</v>
      </c>
      <c r="F1260">
        <v>0</v>
      </c>
      <c r="G1260">
        <f>INDEX(weekly!$E$2:$E$188,MATCH('Marketing Campaigns 22.11.22'!L1260,weekly!$H$2:$H$188,0))</f>
        <v>4986.8406451612909</v>
      </c>
      <c r="H1260">
        <f>INDEX(weekly!$D$2:$D$188,MATCH('Marketing Campaigns 22.11.22'!L1260,weekly!$H$2:$H$188,0))</f>
        <v>10671.83870967742</v>
      </c>
      <c r="I1260">
        <f>INDEX(weekly!$F$2:$F$188,MATCH('Marketing Campaigns 22.11.22'!L1260,weekly!$H$2:$H$188,0))</f>
        <v>3646.7741935483873</v>
      </c>
      <c r="J1260">
        <v>0</v>
      </c>
      <c r="K1260">
        <v>0</v>
      </c>
      <c r="L1260" t="str">
        <f t="shared" si="38"/>
        <v>31-8-2022</v>
      </c>
      <c r="M1260">
        <f t="shared" si="39"/>
        <v>2022</v>
      </c>
    </row>
    <row r="1261" spans="1:13" x14ac:dyDescent="0.2">
      <c r="A1261" s="1">
        <v>44774</v>
      </c>
      <c r="B1261">
        <v>31</v>
      </c>
      <c r="C1261">
        <v>8</v>
      </c>
      <c r="D1261">
        <v>3</v>
      </c>
      <c r="E1261" t="s">
        <v>51</v>
      </c>
      <c r="F1261">
        <v>0</v>
      </c>
      <c r="G1261">
        <f>INDEX(weekly!$E$2:$E$188,MATCH('Marketing Campaigns 22.11.22'!L1261,weekly!$H$2:$H$188,0))</f>
        <v>4986.8406451612909</v>
      </c>
      <c r="H1261">
        <f>INDEX(weekly!$D$2:$D$188,MATCH('Marketing Campaigns 22.11.22'!L1261,weekly!$H$2:$H$188,0))</f>
        <v>10671.83870967742</v>
      </c>
      <c r="I1261">
        <f>INDEX(weekly!$F$2:$F$188,MATCH('Marketing Campaigns 22.11.22'!L1261,weekly!$H$2:$H$188,0))</f>
        <v>3646.7741935483873</v>
      </c>
      <c r="J1261">
        <v>0</v>
      </c>
      <c r="K1261">
        <v>0</v>
      </c>
      <c r="L1261" t="str">
        <f t="shared" si="38"/>
        <v>31-8-2022</v>
      </c>
      <c r="M1261">
        <f t="shared" si="39"/>
        <v>2022</v>
      </c>
    </row>
    <row r="1262" spans="1:13" x14ac:dyDescent="0.2">
      <c r="A1262" s="1">
        <v>44774</v>
      </c>
      <c r="B1262">
        <v>31</v>
      </c>
      <c r="C1262">
        <v>8</v>
      </c>
      <c r="D1262">
        <v>3</v>
      </c>
      <c r="E1262" t="s">
        <v>52</v>
      </c>
      <c r="F1262">
        <v>0</v>
      </c>
      <c r="G1262">
        <f>INDEX(weekly!$E$2:$E$188,MATCH('Marketing Campaigns 22.11.22'!L1262,weekly!$H$2:$H$188,0))</f>
        <v>4986.8406451612909</v>
      </c>
      <c r="H1262">
        <f>INDEX(weekly!$D$2:$D$188,MATCH('Marketing Campaigns 22.11.22'!L1262,weekly!$H$2:$H$188,0))</f>
        <v>10671.83870967742</v>
      </c>
      <c r="I1262">
        <f>INDEX(weekly!$F$2:$F$188,MATCH('Marketing Campaigns 22.11.22'!L1262,weekly!$H$2:$H$188,0))</f>
        <v>3646.7741935483873</v>
      </c>
      <c r="J1262">
        <v>0</v>
      </c>
      <c r="K1262">
        <v>0</v>
      </c>
      <c r="L1262" t="str">
        <f t="shared" si="38"/>
        <v>31-8-2022</v>
      </c>
      <c r="M1262">
        <f t="shared" si="39"/>
        <v>2022</v>
      </c>
    </row>
    <row r="1263" spans="1:13" x14ac:dyDescent="0.2">
      <c r="A1263" s="1">
        <v>44781</v>
      </c>
      <c r="B1263">
        <v>32</v>
      </c>
      <c r="C1263">
        <v>8</v>
      </c>
      <c r="D1263">
        <v>3</v>
      </c>
      <c r="E1263" t="s">
        <v>24</v>
      </c>
      <c r="F1263">
        <v>0</v>
      </c>
      <c r="G1263">
        <f>INDEX(weekly!$E$2:$E$188,MATCH('Marketing Campaigns 22.11.22'!L1263,weekly!$H$2:$H$188,0))</f>
        <v>4986.8406451612909</v>
      </c>
      <c r="H1263">
        <f>INDEX(weekly!$D$2:$D$188,MATCH('Marketing Campaigns 22.11.22'!L1263,weekly!$H$2:$H$188,0))</f>
        <v>10671.83870967742</v>
      </c>
      <c r="I1263">
        <f>INDEX(weekly!$F$2:$F$188,MATCH('Marketing Campaigns 22.11.22'!L1263,weekly!$H$2:$H$188,0))</f>
        <v>3646.7741935483873</v>
      </c>
      <c r="J1263">
        <v>0</v>
      </c>
      <c r="K1263">
        <v>0</v>
      </c>
      <c r="L1263" t="str">
        <f t="shared" si="38"/>
        <v>32-8-2022</v>
      </c>
      <c r="M1263">
        <f t="shared" si="39"/>
        <v>2022</v>
      </c>
    </row>
    <row r="1264" spans="1:13" x14ac:dyDescent="0.2">
      <c r="A1264" s="1">
        <v>44781</v>
      </c>
      <c r="B1264">
        <v>32</v>
      </c>
      <c r="C1264">
        <v>8</v>
      </c>
      <c r="D1264">
        <v>3</v>
      </c>
      <c r="E1264" t="s">
        <v>39</v>
      </c>
      <c r="F1264">
        <v>0</v>
      </c>
      <c r="G1264">
        <f>INDEX(weekly!$E$2:$E$188,MATCH('Marketing Campaigns 22.11.22'!L1264,weekly!$H$2:$H$188,0))</f>
        <v>4986.8406451612909</v>
      </c>
      <c r="H1264">
        <f>INDEX(weekly!$D$2:$D$188,MATCH('Marketing Campaigns 22.11.22'!L1264,weekly!$H$2:$H$188,0))</f>
        <v>10671.83870967742</v>
      </c>
      <c r="I1264">
        <f>INDEX(weekly!$F$2:$F$188,MATCH('Marketing Campaigns 22.11.22'!L1264,weekly!$H$2:$H$188,0))</f>
        <v>3646.7741935483873</v>
      </c>
      <c r="J1264">
        <v>0</v>
      </c>
      <c r="K1264">
        <v>0</v>
      </c>
      <c r="L1264" t="str">
        <f t="shared" si="38"/>
        <v>32-8-2022</v>
      </c>
      <c r="M1264">
        <f t="shared" si="39"/>
        <v>2022</v>
      </c>
    </row>
    <row r="1265" spans="1:13" x14ac:dyDescent="0.2">
      <c r="A1265" s="1">
        <v>44781</v>
      </c>
      <c r="B1265">
        <v>32</v>
      </c>
      <c r="C1265">
        <v>8</v>
      </c>
      <c r="D1265">
        <v>3</v>
      </c>
      <c r="E1265" t="s">
        <v>40</v>
      </c>
      <c r="F1265">
        <v>0</v>
      </c>
      <c r="G1265">
        <f>INDEX(weekly!$E$2:$E$188,MATCH('Marketing Campaigns 22.11.22'!L1265,weekly!$H$2:$H$188,0))</f>
        <v>4986.8406451612909</v>
      </c>
      <c r="H1265">
        <f>INDEX(weekly!$D$2:$D$188,MATCH('Marketing Campaigns 22.11.22'!L1265,weekly!$H$2:$H$188,0))</f>
        <v>10671.83870967742</v>
      </c>
      <c r="I1265">
        <f>INDEX(weekly!$F$2:$F$188,MATCH('Marketing Campaigns 22.11.22'!L1265,weekly!$H$2:$H$188,0))</f>
        <v>3646.7741935483873</v>
      </c>
      <c r="J1265">
        <v>0</v>
      </c>
      <c r="K1265">
        <v>0</v>
      </c>
      <c r="L1265" t="str">
        <f t="shared" si="38"/>
        <v>32-8-2022</v>
      </c>
      <c r="M1265">
        <f t="shared" si="39"/>
        <v>2022</v>
      </c>
    </row>
    <row r="1266" spans="1:13" x14ac:dyDescent="0.2">
      <c r="A1266" s="1">
        <v>44781</v>
      </c>
      <c r="B1266">
        <v>32</v>
      </c>
      <c r="C1266">
        <v>8</v>
      </c>
      <c r="D1266">
        <v>3</v>
      </c>
      <c r="E1266" t="s">
        <v>41</v>
      </c>
      <c r="F1266">
        <v>0</v>
      </c>
      <c r="G1266">
        <f>INDEX(weekly!$E$2:$E$188,MATCH('Marketing Campaigns 22.11.22'!L1266,weekly!$H$2:$H$188,0))</f>
        <v>4986.8406451612909</v>
      </c>
      <c r="H1266">
        <f>INDEX(weekly!$D$2:$D$188,MATCH('Marketing Campaigns 22.11.22'!L1266,weekly!$H$2:$H$188,0))</f>
        <v>10671.83870967742</v>
      </c>
      <c r="I1266">
        <f>INDEX(weekly!$F$2:$F$188,MATCH('Marketing Campaigns 22.11.22'!L1266,weekly!$H$2:$H$188,0))</f>
        <v>3646.7741935483873</v>
      </c>
      <c r="J1266">
        <v>0</v>
      </c>
      <c r="K1266">
        <v>0</v>
      </c>
      <c r="L1266" t="str">
        <f t="shared" si="38"/>
        <v>32-8-2022</v>
      </c>
      <c r="M1266">
        <f t="shared" si="39"/>
        <v>2022</v>
      </c>
    </row>
    <row r="1267" spans="1:13" x14ac:dyDescent="0.2">
      <c r="A1267" s="1">
        <v>44781</v>
      </c>
      <c r="B1267">
        <v>32</v>
      </c>
      <c r="C1267">
        <v>8</v>
      </c>
      <c r="D1267">
        <v>3</v>
      </c>
      <c r="E1267" t="s">
        <v>42</v>
      </c>
      <c r="F1267">
        <v>0</v>
      </c>
      <c r="G1267">
        <f>INDEX(weekly!$E$2:$E$188,MATCH('Marketing Campaigns 22.11.22'!L1267,weekly!$H$2:$H$188,0))</f>
        <v>4986.8406451612909</v>
      </c>
      <c r="H1267">
        <f>INDEX(weekly!$D$2:$D$188,MATCH('Marketing Campaigns 22.11.22'!L1267,weekly!$H$2:$H$188,0))</f>
        <v>10671.83870967742</v>
      </c>
      <c r="I1267">
        <f>INDEX(weekly!$F$2:$F$188,MATCH('Marketing Campaigns 22.11.22'!L1267,weekly!$H$2:$H$188,0))</f>
        <v>3646.7741935483873</v>
      </c>
      <c r="J1267">
        <v>0</v>
      </c>
      <c r="K1267">
        <v>0</v>
      </c>
      <c r="L1267" t="str">
        <f t="shared" si="38"/>
        <v>32-8-2022</v>
      </c>
      <c r="M1267">
        <f t="shared" si="39"/>
        <v>2022</v>
      </c>
    </row>
    <row r="1268" spans="1:13" x14ac:dyDescent="0.2">
      <c r="A1268" s="1">
        <v>44781</v>
      </c>
      <c r="B1268">
        <v>32</v>
      </c>
      <c r="C1268">
        <v>8</v>
      </c>
      <c r="D1268">
        <v>3</v>
      </c>
      <c r="E1268" t="s">
        <v>43</v>
      </c>
      <c r="F1268">
        <v>0</v>
      </c>
      <c r="G1268">
        <f>INDEX(weekly!$E$2:$E$188,MATCH('Marketing Campaigns 22.11.22'!L1268,weekly!$H$2:$H$188,0))</f>
        <v>4986.8406451612909</v>
      </c>
      <c r="H1268">
        <f>INDEX(weekly!$D$2:$D$188,MATCH('Marketing Campaigns 22.11.22'!L1268,weekly!$H$2:$H$188,0))</f>
        <v>10671.83870967742</v>
      </c>
      <c r="I1268">
        <f>INDEX(weekly!$F$2:$F$188,MATCH('Marketing Campaigns 22.11.22'!L1268,weekly!$H$2:$H$188,0))</f>
        <v>3646.7741935483873</v>
      </c>
      <c r="J1268">
        <v>0</v>
      </c>
      <c r="K1268">
        <v>0</v>
      </c>
      <c r="L1268" t="str">
        <f t="shared" si="38"/>
        <v>32-8-2022</v>
      </c>
      <c r="M1268">
        <f t="shared" si="39"/>
        <v>2022</v>
      </c>
    </row>
    <row r="1269" spans="1:13" x14ac:dyDescent="0.2">
      <c r="A1269" s="1">
        <v>44781</v>
      </c>
      <c r="B1269">
        <v>32</v>
      </c>
      <c r="C1269">
        <v>8</v>
      </c>
      <c r="D1269">
        <v>3</v>
      </c>
      <c r="E1269" t="s">
        <v>44</v>
      </c>
      <c r="F1269">
        <v>0</v>
      </c>
      <c r="G1269">
        <f>INDEX(weekly!$E$2:$E$188,MATCH('Marketing Campaigns 22.11.22'!L1269,weekly!$H$2:$H$188,0))</f>
        <v>4986.8406451612909</v>
      </c>
      <c r="H1269">
        <f>INDEX(weekly!$D$2:$D$188,MATCH('Marketing Campaigns 22.11.22'!L1269,weekly!$H$2:$H$188,0))</f>
        <v>10671.83870967742</v>
      </c>
      <c r="I1269">
        <f>INDEX(weekly!$F$2:$F$188,MATCH('Marketing Campaigns 22.11.22'!L1269,weekly!$H$2:$H$188,0))</f>
        <v>3646.7741935483873</v>
      </c>
      <c r="J1269">
        <v>0</v>
      </c>
      <c r="K1269">
        <v>0</v>
      </c>
      <c r="L1269" t="str">
        <f t="shared" si="38"/>
        <v>32-8-2022</v>
      </c>
      <c r="M1269">
        <f t="shared" si="39"/>
        <v>2022</v>
      </c>
    </row>
    <row r="1270" spans="1:13" x14ac:dyDescent="0.2">
      <c r="A1270" s="1">
        <v>44781</v>
      </c>
      <c r="B1270">
        <v>32</v>
      </c>
      <c r="C1270">
        <v>8</v>
      </c>
      <c r="D1270">
        <v>3</v>
      </c>
      <c r="E1270" t="s">
        <v>45</v>
      </c>
      <c r="F1270">
        <v>0</v>
      </c>
      <c r="G1270">
        <f>INDEX(weekly!$E$2:$E$188,MATCH('Marketing Campaigns 22.11.22'!L1270,weekly!$H$2:$H$188,0))</f>
        <v>4986.8406451612909</v>
      </c>
      <c r="H1270">
        <f>INDEX(weekly!$D$2:$D$188,MATCH('Marketing Campaigns 22.11.22'!L1270,weekly!$H$2:$H$188,0))</f>
        <v>10671.83870967742</v>
      </c>
      <c r="I1270">
        <f>INDEX(weekly!$F$2:$F$188,MATCH('Marketing Campaigns 22.11.22'!L1270,weekly!$H$2:$H$188,0))</f>
        <v>3646.7741935483873</v>
      </c>
      <c r="J1270">
        <v>0</v>
      </c>
      <c r="K1270">
        <v>0</v>
      </c>
      <c r="L1270" t="str">
        <f t="shared" si="38"/>
        <v>32-8-2022</v>
      </c>
      <c r="M1270">
        <f t="shared" si="39"/>
        <v>2022</v>
      </c>
    </row>
    <row r="1271" spans="1:13" x14ac:dyDescent="0.2">
      <c r="A1271" s="1">
        <v>44781</v>
      </c>
      <c r="B1271">
        <v>32</v>
      </c>
      <c r="C1271">
        <v>8</v>
      </c>
      <c r="D1271">
        <v>3</v>
      </c>
      <c r="E1271" t="s">
        <v>46</v>
      </c>
      <c r="F1271">
        <v>0</v>
      </c>
      <c r="G1271">
        <f>INDEX(weekly!$E$2:$E$188,MATCH('Marketing Campaigns 22.11.22'!L1271,weekly!$H$2:$H$188,0))</f>
        <v>4986.8406451612909</v>
      </c>
      <c r="H1271">
        <f>INDEX(weekly!$D$2:$D$188,MATCH('Marketing Campaigns 22.11.22'!L1271,weekly!$H$2:$H$188,0))</f>
        <v>10671.83870967742</v>
      </c>
      <c r="I1271">
        <f>INDEX(weekly!$F$2:$F$188,MATCH('Marketing Campaigns 22.11.22'!L1271,weekly!$H$2:$H$188,0))</f>
        <v>3646.7741935483873</v>
      </c>
      <c r="J1271">
        <v>0</v>
      </c>
      <c r="K1271">
        <v>0</v>
      </c>
      <c r="L1271" t="str">
        <f t="shared" si="38"/>
        <v>32-8-2022</v>
      </c>
      <c r="M1271">
        <f t="shared" si="39"/>
        <v>2022</v>
      </c>
    </row>
    <row r="1272" spans="1:13" x14ac:dyDescent="0.2">
      <c r="A1272" s="1">
        <v>44781</v>
      </c>
      <c r="B1272">
        <v>32</v>
      </c>
      <c r="C1272">
        <v>8</v>
      </c>
      <c r="D1272">
        <v>3</v>
      </c>
      <c r="E1272" t="s">
        <v>47</v>
      </c>
      <c r="F1272">
        <v>0</v>
      </c>
      <c r="G1272">
        <f>INDEX(weekly!$E$2:$E$188,MATCH('Marketing Campaigns 22.11.22'!L1272,weekly!$H$2:$H$188,0))</f>
        <v>4986.8406451612909</v>
      </c>
      <c r="H1272">
        <f>INDEX(weekly!$D$2:$D$188,MATCH('Marketing Campaigns 22.11.22'!L1272,weekly!$H$2:$H$188,0))</f>
        <v>10671.83870967742</v>
      </c>
      <c r="I1272">
        <f>INDEX(weekly!$F$2:$F$188,MATCH('Marketing Campaigns 22.11.22'!L1272,weekly!$H$2:$H$188,0))</f>
        <v>3646.7741935483873</v>
      </c>
      <c r="J1272">
        <v>0</v>
      </c>
      <c r="K1272">
        <v>0</v>
      </c>
      <c r="L1272" t="str">
        <f t="shared" si="38"/>
        <v>32-8-2022</v>
      </c>
      <c r="M1272">
        <f t="shared" si="39"/>
        <v>2022</v>
      </c>
    </row>
    <row r="1273" spans="1:13" x14ac:dyDescent="0.2">
      <c r="A1273" s="1">
        <v>44781</v>
      </c>
      <c r="B1273">
        <v>32</v>
      </c>
      <c r="C1273">
        <v>8</v>
      </c>
      <c r="D1273">
        <v>3</v>
      </c>
      <c r="E1273" t="s">
        <v>48</v>
      </c>
      <c r="F1273">
        <v>0</v>
      </c>
      <c r="G1273">
        <f>INDEX(weekly!$E$2:$E$188,MATCH('Marketing Campaigns 22.11.22'!L1273,weekly!$H$2:$H$188,0))</f>
        <v>4986.8406451612909</v>
      </c>
      <c r="H1273">
        <f>INDEX(weekly!$D$2:$D$188,MATCH('Marketing Campaigns 22.11.22'!L1273,weekly!$H$2:$H$188,0))</f>
        <v>10671.83870967742</v>
      </c>
      <c r="I1273">
        <f>INDEX(weekly!$F$2:$F$188,MATCH('Marketing Campaigns 22.11.22'!L1273,weekly!$H$2:$H$188,0))</f>
        <v>3646.7741935483873</v>
      </c>
      <c r="J1273">
        <v>0</v>
      </c>
      <c r="K1273">
        <v>0</v>
      </c>
      <c r="L1273" t="str">
        <f t="shared" si="38"/>
        <v>32-8-2022</v>
      </c>
      <c r="M1273">
        <f t="shared" si="39"/>
        <v>2022</v>
      </c>
    </row>
    <row r="1274" spans="1:13" x14ac:dyDescent="0.2">
      <c r="A1274" s="1">
        <v>44781</v>
      </c>
      <c r="B1274">
        <v>32</v>
      </c>
      <c r="C1274">
        <v>8</v>
      </c>
      <c r="D1274">
        <v>3</v>
      </c>
      <c r="E1274" t="s">
        <v>49</v>
      </c>
      <c r="F1274">
        <v>0</v>
      </c>
      <c r="G1274">
        <f>INDEX(weekly!$E$2:$E$188,MATCH('Marketing Campaigns 22.11.22'!L1274,weekly!$H$2:$H$188,0))</f>
        <v>4986.8406451612909</v>
      </c>
      <c r="H1274">
        <f>INDEX(weekly!$D$2:$D$188,MATCH('Marketing Campaigns 22.11.22'!L1274,weekly!$H$2:$H$188,0))</f>
        <v>10671.83870967742</v>
      </c>
      <c r="I1274">
        <f>INDEX(weekly!$F$2:$F$188,MATCH('Marketing Campaigns 22.11.22'!L1274,weekly!$H$2:$H$188,0))</f>
        <v>3646.7741935483873</v>
      </c>
      <c r="J1274">
        <v>0</v>
      </c>
      <c r="K1274">
        <v>0</v>
      </c>
      <c r="L1274" t="str">
        <f t="shared" si="38"/>
        <v>32-8-2022</v>
      </c>
      <c r="M1274">
        <f t="shared" si="39"/>
        <v>2022</v>
      </c>
    </row>
    <row r="1275" spans="1:13" x14ac:dyDescent="0.2">
      <c r="A1275" s="1">
        <v>44781</v>
      </c>
      <c r="B1275">
        <v>32</v>
      </c>
      <c r="C1275">
        <v>8</v>
      </c>
      <c r="D1275">
        <v>3</v>
      </c>
      <c r="E1275" t="s">
        <v>50</v>
      </c>
      <c r="F1275">
        <v>0</v>
      </c>
      <c r="G1275">
        <f>INDEX(weekly!$E$2:$E$188,MATCH('Marketing Campaigns 22.11.22'!L1275,weekly!$H$2:$H$188,0))</f>
        <v>4986.8406451612909</v>
      </c>
      <c r="H1275">
        <f>INDEX(weekly!$D$2:$D$188,MATCH('Marketing Campaigns 22.11.22'!L1275,weekly!$H$2:$H$188,0))</f>
        <v>10671.83870967742</v>
      </c>
      <c r="I1275">
        <f>INDEX(weekly!$F$2:$F$188,MATCH('Marketing Campaigns 22.11.22'!L1275,weekly!$H$2:$H$188,0))</f>
        <v>3646.7741935483873</v>
      </c>
      <c r="J1275">
        <v>0</v>
      </c>
      <c r="K1275">
        <v>0</v>
      </c>
      <c r="L1275" t="str">
        <f t="shared" si="38"/>
        <v>32-8-2022</v>
      </c>
      <c r="M1275">
        <f t="shared" si="39"/>
        <v>2022</v>
      </c>
    </row>
    <row r="1276" spans="1:13" x14ac:dyDescent="0.2">
      <c r="A1276" s="1">
        <v>44781</v>
      </c>
      <c r="B1276">
        <v>32</v>
      </c>
      <c r="C1276">
        <v>8</v>
      </c>
      <c r="D1276">
        <v>3</v>
      </c>
      <c r="E1276" t="s">
        <v>51</v>
      </c>
      <c r="F1276">
        <v>0</v>
      </c>
      <c r="G1276">
        <f>INDEX(weekly!$E$2:$E$188,MATCH('Marketing Campaigns 22.11.22'!L1276,weekly!$H$2:$H$188,0))</f>
        <v>4986.8406451612909</v>
      </c>
      <c r="H1276">
        <f>INDEX(weekly!$D$2:$D$188,MATCH('Marketing Campaigns 22.11.22'!L1276,weekly!$H$2:$H$188,0))</f>
        <v>10671.83870967742</v>
      </c>
      <c r="I1276">
        <f>INDEX(weekly!$F$2:$F$188,MATCH('Marketing Campaigns 22.11.22'!L1276,weekly!$H$2:$H$188,0))</f>
        <v>3646.7741935483873</v>
      </c>
      <c r="J1276">
        <v>0</v>
      </c>
      <c r="K1276">
        <v>0</v>
      </c>
      <c r="L1276" t="str">
        <f t="shared" si="38"/>
        <v>32-8-2022</v>
      </c>
      <c r="M1276">
        <f t="shared" si="39"/>
        <v>2022</v>
      </c>
    </row>
    <row r="1277" spans="1:13" x14ac:dyDescent="0.2">
      <c r="A1277" s="1">
        <v>44781</v>
      </c>
      <c r="B1277">
        <v>32</v>
      </c>
      <c r="C1277">
        <v>8</v>
      </c>
      <c r="D1277">
        <v>3</v>
      </c>
      <c r="E1277" t="s">
        <v>52</v>
      </c>
      <c r="F1277">
        <v>0</v>
      </c>
      <c r="G1277">
        <f>INDEX(weekly!$E$2:$E$188,MATCH('Marketing Campaigns 22.11.22'!L1277,weekly!$H$2:$H$188,0))</f>
        <v>4986.8406451612909</v>
      </c>
      <c r="H1277">
        <f>INDEX(weekly!$D$2:$D$188,MATCH('Marketing Campaigns 22.11.22'!L1277,weekly!$H$2:$H$188,0))</f>
        <v>10671.83870967742</v>
      </c>
      <c r="I1277">
        <f>INDEX(weekly!$F$2:$F$188,MATCH('Marketing Campaigns 22.11.22'!L1277,weekly!$H$2:$H$188,0))</f>
        <v>3646.7741935483873</v>
      </c>
      <c r="J1277">
        <v>0</v>
      </c>
      <c r="K1277">
        <v>0</v>
      </c>
      <c r="L1277" t="str">
        <f t="shared" si="38"/>
        <v>32-8-2022</v>
      </c>
      <c r="M1277">
        <f t="shared" si="39"/>
        <v>2022</v>
      </c>
    </row>
    <row r="1278" spans="1:13" x14ac:dyDescent="0.2">
      <c r="A1278" s="1">
        <v>44788</v>
      </c>
      <c r="B1278">
        <v>33</v>
      </c>
      <c r="C1278">
        <v>8</v>
      </c>
      <c r="D1278">
        <v>3</v>
      </c>
      <c r="E1278" t="s">
        <v>24</v>
      </c>
      <c r="F1278">
        <v>0</v>
      </c>
      <c r="G1278">
        <f>INDEX(weekly!$E$2:$E$188,MATCH('Marketing Campaigns 22.11.22'!L1278,weekly!$H$2:$H$188,0))</f>
        <v>4986.8406451612909</v>
      </c>
      <c r="H1278">
        <f>INDEX(weekly!$D$2:$D$188,MATCH('Marketing Campaigns 22.11.22'!L1278,weekly!$H$2:$H$188,0))</f>
        <v>10671.83870967742</v>
      </c>
      <c r="I1278">
        <f>INDEX(weekly!$F$2:$F$188,MATCH('Marketing Campaigns 22.11.22'!L1278,weekly!$H$2:$H$188,0))</f>
        <v>3646.7741935483873</v>
      </c>
      <c r="J1278">
        <v>0</v>
      </c>
      <c r="K1278">
        <v>0</v>
      </c>
      <c r="L1278" t="str">
        <f t="shared" si="38"/>
        <v>33-8-2022</v>
      </c>
      <c r="M1278">
        <f t="shared" si="39"/>
        <v>2022</v>
      </c>
    </row>
    <row r="1279" spans="1:13" x14ac:dyDescent="0.2">
      <c r="A1279" s="1">
        <v>44788</v>
      </c>
      <c r="B1279">
        <v>33</v>
      </c>
      <c r="C1279">
        <v>8</v>
      </c>
      <c r="D1279">
        <v>3</v>
      </c>
      <c r="E1279" t="s">
        <v>39</v>
      </c>
      <c r="F1279">
        <v>0</v>
      </c>
      <c r="G1279">
        <f>INDEX(weekly!$E$2:$E$188,MATCH('Marketing Campaigns 22.11.22'!L1279,weekly!$H$2:$H$188,0))</f>
        <v>4986.8406451612909</v>
      </c>
      <c r="H1279">
        <f>INDEX(weekly!$D$2:$D$188,MATCH('Marketing Campaigns 22.11.22'!L1279,weekly!$H$2:$H$188,0))</f>
        <v>10671.83870967742</v>
      </c>
      <c r="I1279">
        <f>INDEX(weekly!$F$2:$F$188,MATCH('Marketing Campaigns 22.11.22'!L1279,weekly!$H$2:$H$188,0))</f>
        <v>3646.7741935483873</v>
      </c>
      <c r="J1279">
        <v>0</v>
      </c>
      <c r="K1279">
        <v>0</v>
      </c>
      <c r="L1279" t="str">
        <f t="shared" si="38"/>
        <v>33-8-2022</v>
      </c>
      <c r="M1279">
        <f t="shared" si="39"/>
        <v>2022</v>
      </c>
    </row>
    <row r="1280" spans="1:13" x14ac:dyDescent="0.2">
      <c r="A1280" s="1">
        <v>44788</v>
      </c>
      <c r="B1280">
        <v>33</v>
      </c>
      <c r="C1280">
        <v>8</v>
      </c>
      <c r="D1280">
        <v>3</v>
      </c>
      <c r="E1280" t="s">
        <v>40</v>
      </c>
      <c r="F1280">
        <v>0</v>
      </c>
      <c r="G1280">
        <f>INDEX(weekly!$E$2:$E$188,MATCH('Marketing Campaigns 22.11.22'!L1280,weekly!$H$2:$H$188,0))</f>
        <v>4986.8406451612909</v>
      </c>
      <c r="H1280">
        <f>INDEX(weekly!$D$2:$D$188,MATCH('Marketing Campaigns 22.11.22'!L1280,weekly!$H$2:$H$188,0))</f>
        <v>10671.83870967742</v>
      </c>
      <c r="I1280">
        <f>INDEX(weekly!$F$2:$F$188,MATCH('Marketing Campaigns 22.11.22'!L1280,weekly!$H$2:$H$188,0))</f>
        <v>3646.7741935483873</v>
      </c>
      <c r="J1280">
        <v>0</v>
      </c>
      <c r="K1280">
        <v>0</v>
      </c>
      <c r="L1280" t="str">
        <f t="shared" si="38"/>
        <v>33-8-2022</v>
      </c>
      <c r="M1280">
        <f t="shared" si="39"/>
        <v>2022</v>
      </c>
    </row>
    <row r="1281" spans="1:13" x14ac:dyDescent="0.2">
      <c r="A1281" s="1">
        <v>44788</v>
      </c>
      <c r="B1281">
        <v>33</v>
      </c>
      <c r="C1281">
        <v>8</v>
      </c>
      <c r="D1281">
        <v>3</v>
      </c>
      <c r="E1281" t="s">
        <v>41</v>
      </c>
      <c r="F1281">
        <v>0</v>
      </c>
      <c r="G1281">
        <f>INDEX(weekly!$E$2:$E$188,MATCH('Marketing Campaigns 22.11.22'!L1281,weekly!$H$2:$H$188,0))</f>
        <v>4986.8406451612909</v>
      </c>
      <c r="H1281">
        <f>INDEX(weekly!$D$2:$D$188,MATCH('Marketing Campaigns 22.11.22'!L1281,weekly!$H$2:$H$188,0))</f>
        <v>10671.83870967742</v>
      </c>
      <c r="I1281">
        <f>INDEX(weekly!$F$2:$F$188,MATCH('Marketing Campaigns 22.11.22'!L1281,weekly!$H$2:$H$188,0))</f>
        <v>3646.7741935483873</v>
      </c>
      <c r="J1281">
        <v>0</v>
      </c>
      <c r="K1281">
        <v>0</v>
      </c>
      <c r="L1281" t="str">
        <f t="shared" si="38"/>
        <v>33-8-2022</v>
      </c>
      <c r="M1281">
        <f t="shared" si="39"/>
        <v>2022</v>
      </c>
    </row>
    <row r="1282" spans="1:13" x14ac:dyDescent="0.2">
      <c r="A1282" s="1">
        <v>44788</v>
      </c>
      <c r="B1282">
        <v>33</v>
      </c>
      <c r="C1282">
        <v>8</v>
      </c>
      <c r="D1282">
        <v>3</v>
      </c>
      <c r="E1282" t="s">
        <v>42</v>
      </c>
      <c r="F1282">
        <v>0</v>
      </c>
      <c r="G1282">
        <f>INDEX(weekly!$E$2:$E$188,MATCH('Marketing Campaigns 22.11.22'!L1282,weekly!$H$2:$H$188,0))</f>
        <v>4986.8406451612909</v>
      </c>
      <c r="H1282">
        <f>INDEX(weekly!$D$2:$D$188,MATCH('Marketing Campaigns 22.11.22'!L1282,weekly!$H$2:$H$188,0))</f>
        <v>10671.83870967742</v>
      </c>
      <c r="I1282">
        <f>INDEX(weekly!$F$2:$F$188,MATCH('Marketing Campaigns 22.11.22'!L1282,weekly!$H$2:$H$188,0))</f>
        <v>3646.7741935483873</v>
      </c>
      <c r="J1282">
        <v>0</v>
      </c>
      <c r="K1282">
        <v>0</v>
      </c>
      <c r="L1282" t="str">
        <f t="shared" si="38"/>
        <v>33-8-2022</v>
      </c>
      <c r="M1282">
        <f t="shared" si="39"/>
        <v>2022</v>
      </c>
    </row>
    <row r="1283" spans="1:13" x14ac:dyDescent="0.2">
      <c r="A1283" s="1">
        <v>44788</v>
      </c>
      <c r="B1283">
        <v>33</v>
      </c>
      <c r="C1283">
        <v>8</v>
      </c>
      <c r="D1283">
        <v>3</v>
      </c>
      <c r="E1283" t="s">
        <v>43</v>
      </c>
      <c r="F1283">
        <v>0</v>
      </c>
      <c r="G1283">
        <f>INDEX(weekly!$E$2:$E$188,MATCH('Marketing Campaigns 22.11.22'!L1283,weekly!$H$2:$H$188,0))</f>
        <v>4986.8406451612909</v>
      </c>
      <c r="H1283">
        <f>INDEX(weekly!$D$2:$D$188,MATCH('Marketing Campaigns 22.11.22'!L1283,weekly!$H$2:$H$188,0))</f>
        <v>10671.83870967742</v>
      </c>
      <c r="I1283">
        <f>INDEX(weekly!$F$2:$F$188,MATCH('Marketing Campaigns 22.11.22'!L1283,weekly!$H$2:$H$188,0))</f>
        <v>3646.7741935483873</v>
      </c>
      <c r="J1283">
        <v>0</v>
      </c>
      <c r="K1283">
        <v>0</v>
      </c>
      <c r="L1283" t="str">
        <f t="shared" si="38"/>
        <v>33-8-2022</v>
      </c>
      <c r="M1283">
        <f t="shared" si="39"/>
        <v>2022</v>
      </c>
    </row>
    <row r="1284" spans="1:13" x14ac:dyDescent="0.2">
      <c r="A1284" s="1">
        <v>44788</v>
      </c>
      <c r="B1284">
        <v>33</v>
      </c>
      <c r="C1284">
        <v>8</v>
      </c>
      <c r="D1284">
        <v>3</v>
      </c>
      <c r="E1284" t="s">
        <v>44</v>
      </c>
      <c r="F1284">
        <v>0</v>
      </c>
      <c r="G1284">
        <f>INDEX(weekly!$E$2:$E$188,MATCH('Marketing Campaigns 22.11.22'!L1284,weekly!$H$2:$H$188,0))</f>
        <v>4986.8406451612909</v>
      </c>
      <c r="H1284">
        <f>INDEX(weekly!$D$2:$D$188,MATCH('Marketing Campaigns 22.11.22'!L1284,weekly!$H$2:$H$188,0))</f>
        <v>10671.83870967742</v>
      </c>
      <c r="I1284">
        <f>INDEX(weekly!$F$2:$F$188,MATCH('Marketing Campaigns 22.11.22'!L1284,weekly!$H$2:$H$188,0))</f>
        <v>3646.7741935483873</v>
      </c>
      <c r="J1284">
        <v>0</v>
      </c>
      <c r="K1284">
        <v>0</v>
      </c>
      <c r="L1284" t="str">
        <f t="shared" ref="L1284:L1347" si="40">B1284&amp;"-"&amp;C1284&amp;"-"&amp;M1284</f>
        <v>33-8-2022</v>
      </c>
      <c r="M1284">
        <f t="shared" ref="M1284:M1347" si="41">YEAR(A1284)</f>
        <v>2022</v>
      </c>
    </row>
    <row r="1285" spans="1:13" x14ac:dyDescent="0.2">
      <c r="A1285" s="1">
        <v>44788</v>
      </c>
      <c r="B1285">
        <v>33</v>
      </c>
      <c r="C1285">
        <v>8</v>
      </c>
      <c r="D1285">
        <v>3</v>
      </c>
      <c r="E1285" t="s">
        <v>45</v>
      </c>
      <c r="F1285">
        <v>0</v>
      </c>
      <c r="G1285">
        <f>INDEX(weekly!$E$2:$E$188,MATCH('Marketing Campaigns 22.11.22'!L1285,weekly!$H$2:$H$188,0))</f>
        <v>4986.8406451612909</v>
      </c>
      <c r="H1285">
        <f>INDEX(weekly!$D$2:$D$188,MATCH('Marketing Campaigns 22.11.22'!L1285,weekly!$H$2:$H$188,0))</f>
        <v>10671.83870967742</v>
      </c>
      <c r="I1285">
        <f>INDEX(weekly!$F$2:$F$188,MATCH('Marketing Campaigns 22.11.22'!L1285,weekly!$H$2:$H$188,0))</f>
        <v>3646.7741935483873</v>
      </c>
      <c r="J1285">
        <v>0</v>
      </c>
      <c r="K1285">
        <v>0</v>
      </c>
      <c r="L1285" t="str">
        <f t="shared" si="40"/>
        <v>33-8-2022</v>
      </c>
      <c r="M1285">
        <f t="shared" si="41"/>
        <v>2022</v>
      </c>
    </row>
    <row r="1286" spans="1:13" x14ac:dyDescent="0.2">
      <c r="A1286" s="1">
        <v>44788</v>
      </c>
      <c r="B1286">
        <v>33</v>
      </c>
      <c r="C1286">
        <v>8</v>
      </c>
      <c r="D1286">
        <v>3</v>
      </c>
      <c r="E1286" t="s">
        <v>46</v>
      </c>
      <c r="F1286">
        <v>0</v>
      </c>
      <c r="G1286">
        <f>INDEX(weekly!$E$2:$E$188,MATCH('Marketing Campaigns 22.11.22'!L1286,weekly!$H$2:$H$188,0))</f>
        <v>4986.8406451612909</v>
      </c>
      <c r="H1286">
        <f>INDEX(weekly!$D$2:$D$188,MATCH('Marketing Campaigns 22.11.22'!L1286,weekly!$H$2:$H$188,0))</f>
        <v>10671.83870967742</v>
      </c>
      <c r="I1286">
        <f>INDEX(weekly!$F$2:$F$188,MATCH('Marketing Campaigns 22.11.22'!L1286,weekly!$H$2:$H$188,0))</f>
        <v>3646.7741935483873</v>
      </c>
      <c r="J1286">
        <v>0</v>
      </c>
      <c r="K1286">
        <v>0</v>
      </c>
      <c r="L1286" t="str">
        <f t="shared" si="40"/>
        <v>33-8-2022</v>
      </c>
      <c r="M1286">
        <f t="shared" si="41"/>
        <v>2022</v>
      </c>
    </row>
    <row r="1287" spans="1:13" x14ac:dyDescent="0.2">
      <c r="A1287" s="1">
        <v>44788</v>
      </c>
      <c r="B1287">
        <v>33</v>
      </c>
      <c r="C1287">
        <v>8</v>
      </c>
      <c r="D1287">
        <v>3</v>
      </c>
      <c r="E1287" t="s">
        <v>47</v>
      </c>
      <c r="F1287">
        <v>0</v>
      </c>
      <c r="G1287">
        <f>INDEX(weekly!$E$2:$E$188,MATCH('Marketing Campaigns 22.11.22'!L1287,weekly!$H$2:$H$188,0))</f>
        <v>4986.8406451612909</v>
      </c>
      <c r="H1287">
        <f>INDEX(weekly!$D$2:$D$188,MATCH('Marketing Campaigns 22.11.22'!L1287,weekly!$H$2:$H$188,0))</f>
        <v>10671.83870967742</v>
      </c>
      <c r="I1287">
        <f>INDEX(weekly!$F$2:$F$188,MATCH('Marketing Campaigns 22.11.22'!L1287,weekly!$H$2:$H$188,0))</f>
        <v>3646.7741935483873</v>
      </c>
      <c r="J1287">
        <v>0</v>
      </c>
      <c r="K1287">
        <v>0</v>
      </c>
      <c r="L1287" t="str">
        <f t="shared" si="40"/>
        <v>33-8-2022</v>
      </c>
      <c r="M1287">
        <f t="shared" si="41"/>
        <v>2022</v>
      </c>
    </row>
    <row r="1288" spans="1:13" x14ac:dyDescent="0.2">
      <c r="A1288" s="1">
        <v>44788</v>
      </c>
      <c r="B1288">
        <v>33</v>
      </c>
      <c r="C1288">
        <v>8</v>
      </c>
      <c r="D1288">
        <v>3</v>
      </c>
      <c r="E1288" t="s">
        <v>48</v>
      </c>
      <c r="F1288">
        <v>0</v>
      </c>
      <c r="G1288">
        <f>INDEX(weekly!$E$2:$E$188,MATCH('Marketing Campaigns 22.11.22'!L1288,weekly!$H$2:$H$188,0))</f>
        <v>4986.8406451612909</v>
      </c>
      <c r="H1288">
        <f>INDEX(weekly!$D$2:$D$188,MATCH('Marketing Campaigns 22.11.22'!L1288,weekly!$H$2:$H$188,0))</f>
        <v>10671.83870967742</v>
      </c>
      <c r="I1288">
        <f>INDEX(weekly!$F$2:$F$188,MATCH('Marketing Campaigns 22.11.22'!L1288,weekly!$H$2:$H$188,0))</f>
        <v>3646.7741935483873</v>
      </c>
      <c r="J1288">
        <v>0</v>
      </c>
      <c r="K1288">
        <v>0</v>
      </c>
      <c r="L1288" t="str">
        <f t="shared" si="40"/>
        <v>33-8-2022</v>
      </c>
      <c r="M1288">
        <f t="shared" si="41"/>
        <v>2022</v>
      </c>
    </row>
    <row r="1289" spans="1:13" x14ac:dyDescent="0.2">
      <c r="A1289" s="1">
        <v>44788</v>
      </c>
      <c r="B1289">
        <v>33</v>
      </c>
      <c r="C1289">
        <v>8</v>
      </c>
      <c r="D1289">
        <v>3</v>
      </c>
      <c r="E1289" t="s">
        <v>49</v>
      </c>
      <c r="F1289">
        <v>0</v>
      </c>
      <c r="G1289">
        <f>INDEX(weekly!$E$2:$E$188,MATCH('Marketing Campaigns 22.11.22'!L1289,weekly!$H$2:$H$188,0))</f>
        <v>4986.8406451612909</v>
      </c>
      <c r="H1289">
        <f>INDEX(weekly!$D$2:$D$188,MATCH('Marketing Campaigns 22.11.22'!L1289,weekly!$H$2:$H$188,0))</f>
        <v>10671.83870967742</v>
      </c>
      <c r="I1289">
        <f>INDEX(weekly!$F$2:$F$188,MATCH('Marketing Campaigns 22.11.22'!L1289,weekly!$H$2:$H$188,0))</f>
        <v>3646.7741935483873</v>
      </c>
      <c r="J1289">
        <v>0</v>
      </c>
      <c r="K1289">
        <v>0</v>
      </c>
      <c r="L1289" t="str">
        <f t="shared" si="40"/>
        <v>33-8-2022</v>
      </c>
      <c r="M1289">
        <f t="shared" si="41"/>
        <v>2022</v>
      </c>
    </row>
    <row r="1290" spans="1:13" x14ac:dyDescent="0.2">
      <c r="A1290" s="1">
        <v>44788</v>
      </c>
      <c r="B1290">
        <v>33</v>
      </c>
      <c r="C1290">
        <v>8</v>
      </c>
      <c r="D1290">
        <v>3</v>
      </c>
      <c r="E1290" t="s">
        <v>50</v>
      </c>
      <c r="F1290">
        <v>0</v>
      </c>
      <c r="G1290">
        <f>INDEX(weekly!$E$2:$E$188,MATCH('Marketing Campaigns 22.11.22'!L1290,weekly!$H$2:$H$188,0))</f>
        <v>4986.8406451612909</v>
      </c>
      <c r="H1290">
        <f>INDEX(weekly!$D$2:$D$188,MATCH('Marketing Campaigns 22.11.22'!L1290,weekly!$H$2:$H$188,0))</f>
        <v>10671.83870967742</v>
      </c>
      <c r="I1290">
        <f>INDEX(weekly!$F$2:$F$188,MATCH('Marketing Campaigns 22.11.22'!L1290,weekly!$H$2:$H$188,0))</f>
        <v>3646.7741935483873</v>
      </c>
      <c r="J1290">
        <v>0</v>
      </c>
      <c r="K1290">
        <v>0</v>
      </c>
      <c r="L1290" t="str">
        <f t="shared" si="40"/>
        <v>33-8-2022</v>
      </c>
      <c r="M1290">
        <f t="shared" si="41"/>
        <v>2022</v>
      </c>
    </row>
    <row r="1291" spans="1:13" x14ac:dyDescent="0.2">
      <c r="A1291" s="1">
        <v>44788</v>
      </c>
      <c r="B1291">
        <v>33</v>
      </c>
      <c r="C1291">
        <v>8</v>
      </c>
      <c r="D1291">
        <v>3</v>
      </c>
      <c r="E1291" t="s">
        <v>51</v>
      </c>
      <c r="F1291">
        <v>0</v>
      </c>
      <c r="G1291">
        <f>INDEX(weekly!$E$2:$E$188,MATCH('Marketing Campaigns 22.11.22'!L1291,weekly!$H$2:$H$188,0))</f>
        <v>4986.8406451612909</v>
      </c>
      <c r="H1291">
        <f>INDEX(weekly!$D$2:$D$188,MATCH('Marketing Campaigns 22.11.22'!L1291,weekly!$H$2:$H$188,0))</f>
        <v>10671.83870967742</v>
      </c>
      <c r="I1291">
        <f>INDEX(weekly!$F$2:$F$188,MATCH('Marketing Campaigns 22.11.22'!L1291,weekly!$H$2:$H$188,0))</f>
        <v>3646.7741935483873</v>
      </c>
      <c r="J1291">
        <v>0</v>
      </c>
      <c r="K1291">
        <v>0</v>
      </c>
      <c r="L1291" t="str">
        <f t="shared" si="40"/>
        <v>33-8-2022</v>
      </c>
      <c r="M1291">
        <f t="shared" si="41"/>
        <v>2022</v>
      </c>
    </row>
    <row r="1292" spans="1:13" x14ac:dyDescent="0.2">
      <c r="A1292" s="1">
        <v>44788</v>
      </c>
      <c r="B1292">
        <v>33</v>
      </c>
      <c r="C1292">
        <v>8</v>
      </c>
      <c r="D1292">
        <v>3</v>
      </c>
      <c r="E1292" t="s">
        <v>52</v>
      </c>
      <c r="F1292">
        <v>0</v>
      </c>
      <c r="G1292">
        <f>INDEX(weekly!$E$2:$E$188,MATCH('Marketing Campaigns 22.11.22'!L1292,weekly!$H$2:$H$188,0))</f>
        <v>4986.8406451612909</v>
      </c>
      <c r="H1292">
        <f>INDEX(weekly!$D$2:$D$188,MATCH('Marketing Campaigns 22.11.22'!L1292,weekly!$H$2:$H$188,0))</f>
        <v>10671.83870967742</v>
      </c>
      <c r="I1292">
        <f>INDEX(weekly!$F$2:$F$188,MATCH('Marketing Campaigns 22.11.22'!L1292,weekly!$H$2:$H$188,0))</f>
        <v>3646.7741935483873</v>
      </c>
      <c r="J1292">
        <v>0</v>
      </c>
      <c r="K1292">
        <v>0</v>
      </c>
      <c r="L1292" t="str">
        <f t="shared" si="40"/>
        <v>33-8-2022</v>
      </c>
      <c r="M1292">
        <f t="shared" si="41"/>
        <v>2022</v>
      </c>
    </row>
    <row r="1293" spans="1:13" x14ac:dyDescent="0.2">
      <c r="A1293" s="1">
        <v>44795</v>
      </c>
      <c r="B1293">
        <v>34</v>
      </c>
      <c r="C1293">
        <v>8</v>
      </c>
      <c r="D1293">
        <v>3</v>
      </c>
      <c r="E1293" t="s">
        <v>24</v>
      </c>
      <c r="F1293">
        <v>0</v>
      </c>
      <c r="G1293">
        <f>INDEX(weekly!$E$2:$E$188,MATCH('Marketing Campaigns 22.11.22'!L1293,weekly!$H$2:$H$188,0))</f>
        <v>4986.8406451612909</v>
      </c>
      <c r="H1293">
        <f>INDEX(weekly!$D$2:$D$188,MATCH('Marketing Campaigns 22.11.22'!L1293,weekly!$H$2:$H$188,0))</f>
        <v>10671.83870967742</v>
      </c>
      <c r="I1293">
        <f>INDEX(weekly!$F$2:$F$188,MATCH('Marketing Campaigns 22.11.22'!L1293,weekly!$H$2:$H$188,0))</f>
        <v>3646.7741935483873</v>
      </c>
      <c r="J1293">
        <v>0</v>
      </c>
      <c r="K1293">
        <v>0</v>
      </c>
      <c r="L1293" t="str">
        <f t="shared" si="40"/>
        <v>34-8-2022</v>
      </c>
      <c r="M1293">
        <f t="shared" si="41"/>
        <v>2022</v>
      </c>
    </row>
    <row r="1294" spans="1:13" x14ac:dyDescent="0.2">
      <c r="A1294" s="1">
        <v>44795</v>
      </c>
      <c r="B1294">
        <v>34</v>
      </c>
      <c r="C1294">
        <v>8</v>
      </c>
      <c r="D1294">
        <v>3</v>
      </c>
      <c r="E1294" t="s">
        <v>39</v>
      </c>
      <c r="F1294">
        <v>0</v>
      </c>
      <c r="G1294">
        <f>INDEX(weekly!$E$2:$E$188,MATCH('Marketing Campaigns 22.11.22'!L1294,weekly!$H$2:$H$188,0))</f>
        <v>4986.8406451612909</v>
      </c>
      <c r="H1294">
        <f>INDEX(weekly!$D$2:$D$188,MATCH('Marketing Campaigns 22.11.22'!L1294,weekly!$H$2:$H$188,0))</f>
        <v>10671.83870967742</v>
      </c>
      <c r="I1294">
        <f>INDEX(weekly!$F$2:$F$188,MATCH('Marketing Campaigns 22.11.22'!L1294,weekly!$H$2:$H$188,0))</f>
        <v>3646.7741935483873</v>
      </c>
      <c r="J1294">
        <v>0</v>
      </c>
      <c r="K1294">
        <v>0</v>
      </c>
      <c r="L1294" t="str">
        <f t="shared" si="40"/>
        <v>34-8-2022</v>
      </c>
      <c r="M1294">
        <f t="shared" si="41"/>
        <v>2022</v>
      </c>
    </row>
    <row r="1295" spans="1:13" x14ac:dyDescent="0.2">
      <c r="A1295" s="1">
        <v>44795</v>
      </c>
      <c r="B1295">
        <v>34</v>
      </c>
      <c r="C1295">
        <v>8</v>
      </c>
      <c r="D1295">
        <v>3</v>
      </c>
      <c r="E1295" t="s">
        <v>40</v>
      </c>
      <c r="F1295">
        <v>0</v>
      </c>
      <c r="G1295">
        <f>INDEX(weekly!$E$2:$E$188,MATCH('Marketing Campaigns 22.11.22'!L1295,weekly!$H$2:$H$188,0))</f>
        <v>4986.8406451612909</v>
      </c>
      <c r="H1295">
        <f>INDEX(weekly!$D$2:$D$188,MATCH('Marketing Campaigns 22.11.22'!L1295,weekly!$H$2:$H$188,0))</f>
        <v>10671.83870967742</v>
      </c>
      <c r="I1295">
        <f>INDEX(weekly!$F$2:$F$188,MATCH('Marketing Campaigns 22.11.22'!L1295,weekly!$H$2:$H$188,0))</f>
        <v>3646.7741935483873</v>
      </c>
      <c r="J1295">
        <v>0</v>
      </c>
      <c r="K1295">
        <v>0</v>
      </c>
      <c r="L1295" t="str">
        <f t="shared" si="40"/>
        <v>34-8-2022</v>
      </c>
      <c r="M1295">
        <f t="shared" si="41"/>
        <v>2022</v>
      </c>
    </row>
    <row r="1296" spans="1:13" x14ac:dyDescent="0.2">
      <c r="A1296" s="1">
        <v>44795</v>
      </c>
      <c r="B1296">
        <v>34</v>
      </c>
      <c r="C1296">
        <v>8</v>
      </c>
      <c r="D1296">
        <v>3</v>
      </c>
      <c r="E1296" t="s">
        <v>41</v>
      </c>
      <c r="F1296">
        <v>0</v>
      </c>
      <c r="G1296">
        <f>INDEX(weekly!$E$2:$E$188,MATCH('Marketing Campaigns 22.11.22'!L1296,weekly!$H$2:$H$188,0))</f>
        <v>4986.8406451612909</v>
      </c>
      <c r="H1296">
        <f>INDEX(weekly!$D$2:$D$188,MATCH('Marketing Campaigns 22.11.22'!L1296,weekly!$H$2:$H$188,0))</f>
        <v>10671.83870967742</v>
      </c>
      <c r="I1296">
        <f>INDEX(weekly!$F$2:$F$188,MATCH('Marketing Campaigns 22.11.22'!L1296,weekly!$H$2:$H$188,0))</f>
        <v>3646.7741935483873</v>
      </c>
      <c r="J1296">
        <v>0</v>
      </c>
      <c r="K1296">
        <v>0</v>
      </c>
      <c r="L1296" t="str">
        <f t="shared" si="40"/>
        <v>34-8-2022</v>
      </c>
      <c r="M1296">
        <f t="shared" si="41"/>
        <v>2022</v>
      </c>
    </row>
    <row r="1297" spans="1:13" x14ac:dyDescent="0.2">
      <c r="A1297" s="1">
        <v>44795</v>
      </c>
      <c r="B1297">
        <v>34</v>
      </c>
      <c r="C1297">
        <v>8</v>
      </c>
      <c r="D1297">
        <v>3</v>
      </c>
      <c r="E1297" t="s">
        <v>42</v>
      </c>
      <c r="F1297">
        <v>0</v>
      </c>
      <c r="G1297">
        <f>INDEX(weekly!$E$2:$E$188,MATCH('Marketing Campaigns 22.11.22'!L1297,weekly!$H$2:$H$188,0))</f>
        <v>4986.8406451612909</v>
      </c>
      <c r="H1297">
        <f>INDEX(weekly!$D$2:$D$188,MATCH('Marketing Campaigns 22.11.22'!L1297,weekly!$H$2:$H$188,0))</f>
        <v>10671.83870967742</v>
      </c>
      <c r="I1297">
        <f>INDEX(weekly!$F$2:$F$188,MATCH('Marketing Campaigns 22.11.22'!L1297,weekly!$H$2:$H$188,0))</f>
        <v>3646.7741935483873</v>
      </c>
      <c r="J1297">
        <v>0</v>
      </c>
      <c r="K1297">
        <v>0</v>
      </c>
      <c r="L1297" t="str">
        <f t="shared" si="40"/>
        <v>34-8-2022</v>
      </c>
      <c r="M1297">
        <f t="shared" si="41"/>
        <v>2022</v>
      </c>
    </row>
    <row r="1298" spans="1:13" x14ac:dyDescent="0.2">
      <c r="A1298" s="1">
        <v>44795</v>
      </c>
      <c r="B1298">
        <v>34</v>
      </c>
      <c r="C1298">
        <v>8</v>
      </c>
      <c r="D1298">
        <v>3</v>
      </c>
      <c r="E1298" t="s">
        <v>43</v>
      </c>
      <c r="F1298">
        <v>0</v>
      </c>
      <c r="G1298">
        <f>INDEX(weekly!$E$2:$E$188,MATCH('Marketing Campaigns 22.11.22'!L1298,weekly!$H$2:$H$188,0))</f>
        <v>4986.8406451612909</v>
      </c>
      <c r="H1298">
        <f>INDEX(weekly!$D$2:$D$188,MATCH('Marketing Campaigns 22.11.22'!L1298,weekly!$H$2:$H$188,0))</f>
        <v>10671.83870967742</v>
      </c>
      <c r="I1298">
        <f>INDEX(weekly!$F$2:$F$188,MATCH('Marketing Campaigns 22.11.22'!L1298,weekly!$H$2:$H$188,0))</f>
        <v>3646.7741935483873</v>
      </c>
      <c r="J1298">
        <v>0</v>
      </c>
      <c r="K1298">
        <v>0</v>
      </c>
      <c r="L1298" t="str">
        <f t="shared" si="40"/>
        <v>34-8-2022</v>
      </c>
      <c r="M1298">
        <f t="shared" si="41"/>
        <v>2022</v>
      </c>
    </row>
    <row r="1299" spans="1:13" x14ac:dyDescent="0.2">
      <c r="A1299" s="1">
        <v>44795</v>
      </c>
      <c r="B1299">
        <v>34</v>
      </c>
      <c r="C1299">
        <v>8</v>
      </c>
      <c r="D1299">
        <v>3</v>
      </c>
      <c r="E1299" t="s">
        <v>44</v>
      </c>
      <c r="F1299">
        <v>0</v>
      </c>
      <c r="G1299">
        <f>INDEX(weekly!$E$2:$E$188,MATCH('Marketing Campaigns 22.11.22'!L1299,weekly!$H$2:$H$188,0))</f>
        <v>4986.8406451612909</v>
      </c>
      <c r="H1299">
        <f>INDEX(weekly!$D$2:$D$188,MATCH('Marketing Campaigns 22.11.22'!L1299,weekly!$H$2:$H$188,0))</f>
        <v>10671.83870967742</v>
      </c>
      <c r="I1299">
        <f>INDEX(weekly!$F$2:$F$188,MATCH('Marketing Campaigns 22.11.22'!L1299,weekly!$H$2:$H$188,0))</f>
        <v>3646.7741935483873</v>
      </c>
      <c r="J1299">
        <v>0</v>
      </c>
      <c r="K1299">
        <v>0</v>
      </c>
      <c r="L1299" t="str">
        <f t="shared" si="40"/>
        <v>34-8-2022</v>
      </c>
      <c r="M1299">
        <f t="shared" si="41"/>
        <v>2022</v>
      </c>
    </row>
    <row r="1300" spans="1:13" x14ac:dyDescent="0.2">
      <c r="A1300" s="1">
        <v>44795</v>
      </c>
      <c r="B1300">
        <v>34</v>
      </c>
      <c r="C1300">
        <v>8</v>
      </c>
      <c r="D1300">
        <v>3</v>
      </c>
      <c r="E1300" t="s">
        <v>45</v>
      </c>
      <c r="F1300">
        <v>0</v>
      </c>
      <c r="G1300">
        <f>INDEX(weekly!$E$2:$E$188,MATCH('Marketing Campaigns 22.11.22'!L1300,weekly!$H$2:$H$188,0))</f>
        <v>4986.8406451612909</v>
      </c>
      <c r="H1300">
        <f>INDEX(weekly!$D$2:$D$188,MATCH('Marketing Campaigns 22.11.22'!L1300,weekly!$H$2:$H$188,0))</f>
        <v>10671.83870967742</v>
      </c>
      <c r="I1300">
        <f>INDEX(weekly!$F$2:$F$188,MATCH('Marketing Campaigns 22.11.22'!L1300,weekly!$H$2:$H$188,0))</f>
        <v>3646.7741935483873</v>
      </c>
      <c r="J1300">
        <v>0</v>
      </c>
      <c r="K1300">
        <v>0</v>
      </c>
      <c r="L1300" t="str">
        <f t="shared" si="40"/>
        <v>34-8-2022</v>
      </c>
      <c r="M1300">
        <f t="shared" si="41"/>
        <v>2022</v>
      </c>
    </row>
    <row r="1301" spans="1:13" x14ac:dyDescent="0.2">
      <c r="A1301" s="1">
        <v>44795</v>
      </c>
      <c r="B1301">
        <v>34</v>
      </c>
      <c r="C1301">
        <v>8</v>
      </c>
      <c r="D1301">
        <v>3</v>
      </c>
      <c r="E1301" t="s">
        <v>46</v>
      </c>
      <c r="F1301">
        <v>0</v>
      </c>
      <c r="G1301">
        <f>INDEX(weekly!$E$2:$E$188,MATCH('Marketing Campaigns 22.11.22'!L1301,weekly!$H$2:$H$188,0))</f>
        <v>4986.8406451612909</v>
      </c>
      <c r="H1301">
        <f>INDEX(weekly!$D$2:$D$188,MATCH('Marketing Campaigns 22.11.22'!L1301,weekly!$H$2:$H$188,0))</f>
        <v>10671.83870967742</v>
      </c>
      <c r="I1301">
        <f>INDEX(weekly!$F$2:$F$188,MATCH('Marketing Campaigns 22.11.22'!L1301,weekly!$H$2:$H$188,0))</f>
        <v>3646.7741935483873</v>
      </c>
      <c r="J1301">
        <v>0</v>
      </c>
      <c r="K1301">
        <v>0</v>
      </c>
      <c r="L1301" t="str">
        <f t="shared" si="40"/>
        <v>34-8-2022</v>
      </c>
      <c r="M1301">
        <f t="shared" si="41"/>
        <v>2022</v>
      </c>
    </row>
    <row r="1302" spans="1:13" x14ac:dyDescent="0.2">
      <c r="A1302" s="1">
        <v>44795</v>
      </c>
      <c r="B1302">
        <v>34</v>
      </c>
      <c r="C1302">
        <v>8</v>
      </c>
      <c r="D1302">
        <v>3</v>
      </c>
      <c r="E1302" t="s">
        <v>47</v>
      </c>
      <c r="F1302">
        <v>0</v>
      </c>
      <c r="G1302">
        <f>INDEX(weekly!$E$2:$E$188,MATCH('Marketing Campaigns 22.11.22'!L1302,weekly!$H$2:$H$188,0))</f>
        <v>4986.8406451612909</v>
      </c>
      <c r="H1302">
        <f>INDEX(weekly!$D$2:$D$188,MATCH('Marketing Campaigns 22.11.22'!L1302,weekly!$H$2:$H$188,0))</f>
        <v>10671.83870967742</v>
      </c>
      <c r="I1302">
        <f>INDEX(weekly!$F$2:$F$188,MATCH('Marketing Campaigns 22.11.22'!L1302,weekly!$H$2:$H$188,0))</f>
        <v>3646.7741935483873</v>
      </c>
      <c r="J1302">
        <v>0</v>
      </c>
      <c r="K1302">
        <v>0</v>
      </c>
      <c r="L1302" t="str">
        <f t="shared" si="40"/>
        <v>34-8-2022</v>
      </c>
      <c r="M1302">
        <f t="shared" si="41"/>
        <v>2022</v>
      </c>
    </row>
    <row r="1303" spans="1:13" x14ac:dyDescent="0.2">
      <c r="A1303" s="1">
        <v>44795</v>
      </c>
      <c r="B1303">
        <v>34</v>
      </c>
      <c r="C1303">
        <v>8</v>
      </c>
      <c r="D1303">
        <v>3</v>
      </c>
      <c r="E1303" t="s">
        <v>48</v>
      </c>
      <c r="F1303">
        <v>0</v>
      </c>
      <c r="G1303">
        <f>INDEX(weekly!$E$2:$E$188,MATCH('Marketing Campaigns 22.11.22'!L1303,weekly!$H$2:$H$188,0))</f>
        <v>4986.8406451612909</v>
      </c>
      <c r="H1303">
        <f>INDEX(weekly!$D$2:$D$188,MATCH('Marketing Campaigns 22.11.22'!L1303,weekly!$H$2:$H$188,0))</f>
        <v>10671.83870967742</v>
      </c>
      <c r="I1303">
        <f>INDEX(weekly!$F$2:$F$188,MATCH('Marketing Campaigns 22.11.22'!L1303,weekly!$H$2:$H$188,0))</f>
        <v>3646.7741935483873</v>
      </c>
      <c r="J1303">
        <v>0</v>
      </c>
      <c r="K1303">
        <v>0</v>
      </c>
      <c r="L1303" t="str">
        <f t="shared" si="40"/>
        <v>34-8-2022</v>
      </c>
      <c r="M1303">
        <f t="shared" si="41"/>
        <v>2022</v>
      </c>
    </row>
    <row r="1304" spans="1:13" x14ac:dyDescent="0.2">
      <c r="A1304" s="1">
        <v>44795</v>
      </c>
      <c r="B1304">
        <v>34</v>
      </c>
      <c r="C1304">
        <v>8</v>
      </c>
      <c r="D1304">
        <v>3</v>
      </c>
      <c r="E1304" t="s">
        <v>49</v>
      </c>
      <c r="F1304">
        <v>0</v>
      </c>
      <c r="G1304">
        <f>INDEX(weekly!$E$2:$E$188,MATCH('Marketing Campaigns 22.11.22'!L1304,weekly!$H$2:$H$188,0))</f>
        <v>4986.8406451612909</v>
      </c>
      <c r="H1304">
        <f>INDEX(weekly!$D$2:$D$188,MATCH('Marketing Campaigns 22.11.22'!L1304,weekly!$H$2:$H$188,0))</f>
        <v>10671.83870967742</v>
      </c>
      <c r="I1304">
        <f>INDEX(weekly!$F$2:$F$188,MATCH('Marketing Campaigns 22.11.22'!L1304,weekly!$H$2:$H$188,0))</f>
        <v>3646.7741935483873</v>
      </c>
      <c r="J1304">
        <v>0</v>
      </c>
      <c r="K1304">
        <v>0</v>
      </c>
      <c r="L1304" t="str">
        <f t="shared" si="40"/>
        <v>34-8-2022</v>
      </c>
      <c r="M1304">
        <f t="shared" si="41"/>
        <v>2022</v>
      </c>
    </row>
    <row r="1305" spans="1:13" x14ac:dyDescent="0.2">
      <c r="A1305" s="1">
        <v>44795</v>
      </c>
      <c r="B1305">
        <v>34</v>
      </c>
      <c r="C1305">
        <v>8</v>
      </c>
      <c r="D1305">
        <v>3</v>
      </c>
      <c r="E1305" t="s">
        <v>50</v>
      </c>
      <c r="F1305">
        <v>0</v>
      </c>
      <c r="G1305">
        <f>INDEX(weekly!$E$2:$E$188,MATCH('Marketing Campaigns 22.11.22'!L1305,weekly!$H$2:$H$188,0))</f>
        <v>4986.8406451612909</v>
      </c>
      <c r="H1305">
        <f>INDEX(weekly!$D$2:$D$188,MATCH('Marketing Campaigns 22.11.22'!L1305,weekly!$H$2:$H$188,0))</f>
        <v>10671.83870967742</v>
      </c>
      <c r="I1305">
        <f>INDEX(weekly!$F$2:$F$188,MATCH('Marketing Campaigns 22.11.22'!L1305,weekly!$H$2:$H$188,0))</f>
        <v>3646.7741935483873</v>
      </c>
      <c r="J1305">
        <v>0</v>
      </c>
      <c r="K1305">
        <v>0</v>
      </c>
      <c r="L1305" t="str">
        <f t="shared" si="40"/>
        <v>34-8-2022</v>
      </c>
      <c r="M1305">
        <f t="shared" si="41"/>
        <v>2022</v>
      </c>
    </row>
    <row r="1306" spans="1:13" x14ac:dyDescent="0.2">
      <c r="A1306" s="1">
        <v>44795</v>
      </c>
      <c r="B1306">
        <v>34</v>
      </c>
      <c r="C1306">
        <v>8</v>
      </c>
      <c r="D1306">
        <v>3</v>
      </c>
      <c r="E1306" t="s">
        <v>51</v>
      </c>
      <c r="F1306">
        <v>0</v>
      </c>
      <c r="G1306">
        <f>INDEX(weekly!$E$2:$E$188,MATCH('Marketing Campaigns 22.11.22'!L1306,weekly!$H$2:$H$188,0))</f>
        <v>4986.8406451612909</v>
      </c>
      <c r="H1306">
        <f>INDEX(weekly!$D$2:$D$188,MATCH('Marketing Campaigns 22.11.22'!L1306,weekly!$H$2:$H$188,0))</f>
        <v>10671.83870967742</v>
      </c>
      <c r="I1306">
        <f>INDEX(weekly!$F$2:$F$188,MATCH('Marketing Campaigns 22.11.22'!L1306,weekly!$H$2:$H$188,0))</f>
        <v>3646.7741935483873</v>
      </c>
      <c r="J1306">
        <v>0</v>
      </c>
      <c r="K1306">
        <v>0</v>
      </c>
      <c r="L1306" t="str">
        <f t="shared" si="40"/>
        <v>34-8-2022</v>
      </c>
      <c r="M1306">
        <f t="shared" si="41"/>
        <v>2022</v>
      </c>
    </row>
    <row r="1307" spans="1:13" x14ac:dyDescent="0.2">
      <c r="A1307" s="1">
        <v>44795</v>
      </c>
      <c r="B1307">
        <v>34</v>
      </c>
      <c r="C1307">
        <v>8</v>
      </c>
      <c r="D1307">
        <v>3</v>
      </c>
      <c r="E1307" t="s">
        <v>52</v>
      </c>
      <c r="F1307">
        <v>0</v>
      </c>
      <c r="G1307">
        <f>INDEX(weekly!$E$2:$E$188,MATCH('Marketing Campaigns 22.11.22'!L1307,weekly!$H$2:$H$188,0))</f>
        <v>4986.8406451612909</v>
      </c>
      <c r="H1307">
        <f>INDEX(weekly!$D$2:$D$188,MATCH('Marketing Campaigns 22.11.22'!L1307,weekly!$H$2:$H$188,0))</f>
        <v>10671.83870967742</v>
      </c>
      <c r="I1307">
        <f>INDEX(weekly!$F$2:$F$188,MATCH('Marketing Campaigns 22.11.22'!L1307,weekly!$H$2:$H$188,0))</f>
        <v>3646.7741935483873</v>
      </c>
      <c r="J1307">
        <v>0</v>
      </c>
      <c r="K1307">
        <v>0</v>
      </c>
      <c r="L1307" t="str">
        <f t="shared" si="40"/>
        <v>34-8-2022</v>
      </c>
      <c r="M1307">
        <f t="shared" si="41"/>
        <v>2022</v>
      </c>
    </row>
    <row r="1308" spans="1:13" x14ac:dyDescent="0.2">
      <c r="A1308" s="1">
        <v>44802</v>
      </c>
      <c r="B1308">
        <v>35</v>
      </c>
      <c r="C1308">
        <v>8</v>
      </c>
      <c r="D1308">
        <v>3</v>
      </c>
      <c r="E1308" t="s">
        <v>24</v>
      </c>
      <c r="F1308">
        <v>0</v>
      </c>
      <c r="G1308">
        <f>INDEX(weekly!$E$2:$E$188,MATCH('Marketing Campaigns 22.11.22'!L1308,weekly!$H$2:$H$188,0))</f>
        <v>2137.217419354839</v>
      </c>
      <c r="H1308">
        <f>INDEX(weekly!$D$2:$D$188,MATCH('Marketing Campaigns 22.11.22'!L1308,weekly!$H$2:$H$188,0))</f>
        <v>4573.645161290322</v>
      </c>
      <c r="I1308">
        <f>INDEX(weekly!$F$2:$F$188,MATCH('Marketing Campaigns 22.11.22'!L1308,weekly!$H$2:$H$188,0))</f>
        <v>1562.9032258064517</v>
      </c>
      <c r="J1308">
        <v>0</v>
      </c>
      <c r="K1308">
        <v>0</v>
      </c>
      <c r="L1308" t="str">
        <f t="shared" si="40"/>
        <v>35-8-2022</v>
      </c>
      <c r="M1308">
        <f t="shared" si="41"/>
        <v>2022</v>
      </c>
    </row>
    <row r="1309" spans="1:13" x14ac:dyDescent="0.2">
      <c r="A1309" s="1">
        <v>44802</v>
      </c>
      <c r="B1309">
        <v>35</v>
      </c>
      <c r="C1309">
        <v>8</v>
      </c>
      <c r="D1309">
        <v>3</v>
      </c>
      <c r="E1309" t="s">
        <v>39</v>
      </c>
      <c r="F1309">
        <v>0</v>
      </c>
      <c r="G1309">
        <f>INDEX(weekly!$E$2:$E$188,MATCH('Marketing Campaigns 22.11.22'!L1309,weekly!$H$2:$H$188,0))</f>
        <v>2137.217419354839</v>
      </c>
      <c r="H1309">
        <f>INDEX(weekly!$D$2:$D$188,MATCH('Marketing Campaigns 22.11.22'!L1309,weekly!$H$2:$H$188,0))</f>
        <v>4573.645161290322</v>
      </c>
      <c r="I1309">
        <f>INDEX(weekly!$F$2:$F$188,MATCH('Marketing Campaigns 22.11.22'!L1309,weekly!$H$2:$H$188,0))</f>
        <v>1562.9032258064517</v>
      </c>
      <c r="J1309">
        <v>0</v>
      </c>
      <c r="K1309">
        <v>0</v>
      </c>
      <c r="L1309" t="str">
        <f t="shared" si="40"/>
        <v>35-8-2022</v>
      </c>
      <c r="M1309">
        <f t="shared" si="41"/>
        <v>2022</v>
      </c>
    </row>
    <row r="1310" spans="1:13" x14ac:dyDescent="0.2">
      <c r="A1310" s="1">
        <v>44802</v>
      </c>
      <c r="B1310">
        <v>35</v>
      </c>
      <c r="C1310">
        <v>8</v>
      </c>
      <c r="D1310">
        <v>3</v>
      </c>
      <c r="E1310" t="s">
        <v>40</v>
      </c>
      <c r="F1310">
        <v>0</v>
      </c>
      <c r="G1310">
        <f>INDEX(weekly!$E$2:$E$188,MATCH('Marketing Campaigns 22.11.22'!L1310,weekly!$H$2:$H$188,0))</f>
        <v>2137.217419354839</v>
      </c>
      <c r="H1310">
        <f>INDEX(weekly!$D$2:$D$188,MATCH('Marketing Campaigns 22.11.22'!L1310,weekly!$H$2:$H$188,0))</f>
        <v>4573.645161290322</v>
      </c>
      <c r="I1310">
        <f>INDEX(weekly!$F$2:$F$188,MATCH('Marketing Campaigns 22.11.22'!L1310,weekly!$H$2:$H$188,0))</f>
        <v>1562.9032258064517</v>
      </c>
      <c r="J1310">
        <v>0</v>
      </c>
      <c r="K1310">
        <v>0</v>
      </c>
      <c r="L1310" t="str">
        <f t="shared" si="40"/>
        <v>35-8-2022</v>
      </c>
      <c r="M1310">
        <f t="shared" si="41"/>
        <v>2022</v>
      </c>
    </row>
    <row r="1311" spans="1:13" x14ac:dyDescent="0.2">
      <c r="A1311" s="1">
        <v>44802</v>
      </c>
      <c r="B1311">
        <v>35</v>
      </c>
      <c r="C1311">
        <v>8</v>
      </c>
      <c r="D1311">
        <v>3</v>
      </c>
      <c r="E1311" t="s">
        <v>41</v>
      </c>
      <c r="F1311">
        <v>0</v>
      </c>
      <c r="G1311">
        <f>INDEX(weekly!$E$2:$E$188,MATCH('Marketing Campaigns 22.11.22'!L1311,weekly!$H$2:$H$188,0))</f>
        <v>2137.217419354839</v>
      </c>
      <c r="H1311">
        <f>INDEX(weekly!$D$2:$D$188,MATCH('Marketing Campaigns 22.11.22'!L1311,weekly!$H$2:$H$188,0))</f>
        <v>4573.645161290322</v>
      </c>
      <c r="I1311">
        <f>INDEX(weekly!$F$2:$F$188,MATCH('Marketing Campaigns 22.11.22'!L1311,weekly!$H$2:$H$188,0))</f>
        <v>1562.9032258064517</v>
      </c>
      <c r="J1311">
        <v>0</v>
      </c>
      <c r="K1311">
        <v>0</v>
      </c>
      <c r="L1311" t="str">
        <f t="shared" si="40"/>
        <v>35-8-2022</v>
      </c>
      <c r="M1311">
        <f t="shared" si="41"/>
        <v>2022</v>
      </c>
    </row>
    <row r="1312" spans="1:13" x14ac:dyDescent="0.2">
      <c r="A1312" s="1">
        <v>44802</v>
      </c>
      <c r="B1312">
        <v>35</v>
      </c>
      <c r="C1312">
        <v>8</v>
      </c>
      <c r="D1312">
        <v>3</v>
      </c>
      <c r="E1312" t="s">
        <v>42</v>
      </c>
      <c r="F1312">
        <v>0</v>
      </c>
      <c r="G1312">
        <f>INDEX(weekly!$E$2:$E$188,MATCH('Marketing Campaigns 22.11.22'!L1312,weekly!$H$2:$H$188,0))</f>
        <v>2137.217419354839</v>
      </c>
      <c r="H1312">
        <f>INDEX(weekly!$D$2:$D$188,MATCH('Marketing Campaigns 22.11.22'!L1312,weekly!$H$2:$H$188,0))</f>
        <v>4573.645161290322</v>
      </c>
      <c r="I1312">
        <f>INDEX(weekly!$F$2:$F$188,MATCH('Marketing Campaigns 22.11.22'!L1312,weekly!$H$2:$H$188,0))</f>
        <v>1562.9032258064517</v>
      </c>
      <c r="J1312">
        <v>0</v>
      </c>
      <c r="K1312">
        <v>0</v>
      </c>
      <c r="L1312" t="str">
        <f t="shared" si="40"/>
        <v>35-8-2022</v>
      </c>
      <c r="M1312">
        <f t="shared" si="41"/>
        <v>2022</v>
      </c>
    </row>
    <row r="1313" spans="1:13" x14ac:dyDescent="0.2">
      <c r="A1313" s="1">
        <v>44802</v>
      </c>
      <c r="B1313">
        <v>35</v>
      </c>
      <c r="C1313">
        <v>8</v>
      </c>
      <c r="D1313">
        <v>3</v>
      </c>
      <c r="E1313" t="s">
        <v>43</v>
      </c>
      <c r="F1313">
        <v>0</v>
      </c>
      <c r="G1313">
        <f>INDEX(weekly!$E$2:$E$188,MATCH('Marketing Campaigns 22.11.22'!L1313,weekly!$H$2:$H$188,0))</f>
        <v>2137.217419354839</v>
      </c>
      <c r="H1313">
        <f>INDEX(weekly!$D$2:$D$188,MATCH('Marketing Campaigns 22.11.22'!L1313,weekly!$H$2:$H$188,0))</f>
        <v>4573.645161290322</v>
      </c>
      <c r="I1313">
        <f>INDEX(weekly!$F$2:$F$188,MATCH('Marketing Campaigns 22.11.22'!L1313,weekly!$H$2:$H$188,0))</f>
        <v>1562.9032258064517</v>
      </c>
      <c r="J1313">
        <v>0</v>
      </c>
      <c r="K1313">
        <v>0</v>
      </c>
      <c r="L1313" t="str">
        <f t="shared" si="40"/>
        <v>35-8-2022</v>
      </c>
      <c r="M1313">
        <f t="shared" si="41"/>
        <v>2022</v>
      </c>
    </row>
    <row r="1314" spans="1:13" x14ac:dyDescent="0.2">
      <c r="A1314" s="1">
        <v>44802</v>
      </c>
      <c r="B1314">
        <v>35</v>
      </c>
      <c r="C1314">
        <v>8</v>
      </c>
      <c r="D1314">
        <v>3</v>
      </c>
      <c r="E1314" t="s">
        <v>44</v>
      </c>
      <c r="F1314">
        <v>0</v>
      </c>
      <c r="G1314">
        <f>INDEX(weekly!$E$2:$E$188,MATCH('Marketing Campaigns 22.11.22'!L1314,weekly!$H$2:$H$188,0))</f>
        <v>2137.217419354839</v>
      </c>
      <c r="H1314">
        <f>INDEX(weekly!$D$2:$D$188,MATCH('Marketing Campaigns 22.11.22'!L1314,weekly!$H$2:$H$188,0))</f>
        <v>4573.645161290322</v>
      </c>
      <c r="I1314">
        <f>INDEX(weekly!$F$2:$F$188,MATCH('Marketing Campaigns 22.11.22'!L1314,weekly!$H$2:$H$188,0))</f>
        <v>1562.9032258064517</v>
      </c>
      <c r="J1314">
        <v>0</v>
      </c>
      <c r="K1314">
        <v>0</v>
      </c>
      <c r="L1314" t="str">
        <f t="shared" si="40"/>
        <v>35-8-2022</v>
      </c>
      <c r="M1314">
        <f t="shared" si="41"/>
        <v>2022</v>
      </c>
    </row>
    <row r="1315" spans="1:13" x14ac:dyDescent="0.2">
      <c r="A1315" s="1">
        <v>44802</v>
      </c>
      <c r="B1315">
        <v>35</v>
      </c>
      <c r="C1315">
        <v>8</v>
      </c>
      <c r="D1315">
        <v>3</v>
      </c>
      <c r="E1315" t="s">
        <v>45</v>
      </c>
      <c r="F1315">
        <v>0</v>
      </c>
      <c r="G1315">
        <f>INDEX(weekly!$E$2:$E$188,MATCH('Marketing Campaigns 22.11.22'!L1315,weekly!$H$2:$H$188,0))</f>
        <v>2137.217419354839</v>
      </c>
      <c r="H1315">
        <f>INDEX(weekly!$D$2:$D$188,MATCH('Marketing Campaigns 22.11.22'!L1315,weekly!$H$2:$H$188,0))</f>
        <v>4573.645161290322</v>
      </c>
      <c r="I1315">
        <f>INDEX(weekly!$F$2:$F$188,MATCH('Marketing Campaigns 22.11.22'!L1315,weekly!$H$2:$H$188,0))</f>
        <v>1562.9032258064517</v>
      </c>
      <c r="J1315">
        <v>0</v>
      </c>
      <c r="K1315">
        <v>0</v>
      </c>
      <c r="L1315" t="str">
        <f t="shared" si="40"/>
        <v>35-8-2022</v>
      </c>
      <c r="M1315">
        <f t="shared" si="41"/>
        <v>2022</v>
      </c>
    </row>
    <row r="1316" spans="1:13" x14ac:dyDescent="0.2">
      <c r="A1316" s="1">
        <v>44802</v>
      </c>
      <c r="B1316">
        <v>35</v>
      </c>
      <c r="C1316">
        <v>8</v>
      </c>
      <c r="D1316">
        <v>3</v>
      </c>
      <c r="E1316" t="s">
        <v>46</v>
      </c>
      <c r="F1316">
        <v>0</v>
      </c>
      <c r="G1316">
        <f>INDEX(weekly!$E$2:$E$188,MATCH('Marketing Campaigns 22.11.22'!L1316,weekly!$H$2:$H$188,0))</f>
        <v>2137.217419354839</v>
      </c>
      <c r="H1316">
        <f>INDEX(weekly!$D$2:$D$188,MATCH('Marketing Campaigns 22.11.22'!L1316,weekly!$H$2:$H$188,0))</f>
        <v>4573.645161290322</v>
      </c>
      <c r="I1316">
        <f>INDEX(weekly!$F$2:$F$188,MATCH('Marketing Campaigns 22.11.22'!L1316,weekly!$H$2:$H$188,0))</f>
        <v>1562.9032258064517</v>
      </c>
      <c r="J1316">
        <v>0</v>
      </c>
      <c r="K1316">
        <v>0</v>
      </c>
      <c r="L1316" t="str">
        <f t="shared" si="40"/>
        <v>35-8-2022</v>
      </c>
      <c r="M1316">
        <f t="shared" si="41"/>
        <v>2022</v>
      </c>
    </row>
    <row r="1317" spans="1:13" x14ac:dyDescent="0.2">
      <c r="A1317" s="1">
        <v>44802</v>
      </c>
      <c r="B1317">
        <v>35</v>
      </c>
      <c r="C1317">
        <v>8</v>
      </c>
      <c r="D1317">
        <v>3</v>
      </c>
      <c r="E1317" t="s">
        <v>47</v>
      </c>
      <c r="F1317">
        <v>0</v>
      </c>
      <c r="G1317">
        <f>INDEX(weekly!$E$2:$E$188,MATCH('Marketing Campaigns 22.11.22'!L1317,weekly!$H$2:$H$188,0))</f>
        <v>2137.217419354839</v>
      </c>
      <c r="H1317">
        <f>INDEX(weekly!$D$2:$D$188,MATCH('Marketing Campaigns 22.11.22'!L1317,weekly!$H$2:$H$188,0))</f>
        <v>4573.645161290322</v>
      </c>
      <c r="I1317">
        <f>INDEX(weekly!$F$2:$F$188,MATCH('Marketing Campaigns 22.11.22'!L1317,weekly!$H$2:$H$188,0))</f>
        <v>1562.9032258064517</v>
      </c>
      <c r="J1317">
        <v>0</v>
      </c>
      <c r="K1317">
        <v>0</v>
      </c>
      <c r="L1317" t="str">
        <f t="shared" si="40"/>
        <v>35-8-2022</v>
      </c>
      <c r="M1317">
        <f t="shared" si="41"/>
        <v>2022</v>
      </c>
    </row>
    <row r="1318" spans="1:13" x14ac:dyDescent="0.2">
      <c r="A1318" s="1">
        <v>44802</v>
      </c>
      <c r="B1318">
        <v>35</v>
      </c>
      <c r="C1318">
        <v>8</v>
      </c>
      <c r="D1318">
        <v>3</v>
      </c>
      <c r="E1318" t="s">
        <v>48</v>
      </c>
      <c r="F1318">
        <v>0</v>
      </c>
      <c r="G1318">
        <f>INDEX(weekly!$E$2:$E$188,MATCH('Marketing Campaigns 22.11.22'!L1318,weekly!$H$2:$H$188,0))</f>
        <v>2137.217419354839</v>
      </c>
      <c r="H1318">
        <f>INDEX(weekly!$D$2:$D$188,MATCH('Marketing Campaigns 22.11.22'!L1318,weekly!$H$2:$H$188,0))</f>
        <v>4573.645161290322</v>
      </c>
      <c r="I1318">
        <f>INDEX(weekly!$F$2:$F$188,MATCH('Marketing Campaigns 22.11.22'!L1318,weekly!$H$2:$H$188,0))</f>
        <v>1562.9032258064517</v>
      </c>
      <c r="J1318">
        <v>0</v>
      </c>
      <c r="K1318">
        <v>0</v>
      </c>
      <c r="L1318" t="str">
        <f t="shared" si="40"/>
        <v>35-8-2022</v>
      </c>
      <c r="M1318">
        <f t="shared" si="41"/>
        <v>2022</v>
      </c>
    </row>
    <row r="1319" spans="1:13" x14ac:dyDescent="0.2">
      <c r="A1319" s="1">
        <v>44802</v>
      </c>
      <c r="B1319">
        <v>35</v>
      </c>
      <c r="C1319">
        <v>8</v>
      </c>
      <c r="D1319">
        <v>3</v>
      </c>
      <c r="E1319" t="s">
        <v>49</v>
      </c>
      <c r="F1319">
        <v>0</v>
      </c>
      <c r="G1319">
        <f>INDEX(weekly!$E$2:$E$188,MATCH('Marketing Campaigns 22.11.22'!L1319,weekly!$H$2:$H$188,0))</f>
        <v>2137.217419354839</v>
      </c>
      <c r="H1319">
        <f>INDEX(weekly!$D$2:$D$188,MATCH('Marketing Campaigns 22.11.22'!L1319,weekly!$H$2:$H$188,0))</f>
        <v>4573.645161290322</v>
      </c>
      <c r="I1319">
        <f>INDEX(weekly!$F$2:$F$188,MATCH('Marketing Campaigns 22.11.22'!L1319,weekly!$H$2:$H$188,0))</f>
        <v>1562.9032258064517</v>
      </c>
      <c r="J1319">
        <v>0</v>
      </c>
      <c r="K1319">
        <v>0</v>
      </c>
      <c r="L1319" t="str">
        <f t="shared" si="40"/>
        <v>35-8-2022</v>
      </c>
      <c r="M1319">
        <f t="shared" si="41"/>
        <v>2022</v>
      </c>
    </row>
    <row r="1320" spans="1:13" x14ac:dyDescent="0.2">
      <c r="A1320" s="1">
        <v>44802</v>
      </c>
      <c r="B1320">
        <v>35</v>
      </c>
      <c r="C1320">
        <v>8</v>
      </c>
      <c r="D1320">
        <v>3</v>
      </c>
      <c r="E1320" t="s">
        <v>50</v>
      </c>
      <c r="F1320">
        <v>0</v>
      </c>
      <c r="G1320">
        <f>INDEX(weekly!$E$2:$E$188,MATCH('Marketing Campaigns 22.11.22'!L1320,weekly!$H$2:$H$188,0))</f>
        <v>2137.217419354839</v>
      </c>
      <c r="H1320">
        <f>INDEX(weekly!$D$2:$D$188,MATCH('Marketing Campaigns 22.11.22'!L1320,weekly!$H$2:$H$188,0))</f>
        <v>4573.645161290322</v>
      </c>
      <c r="I1320">
        <f>INDEX(weekly!$F$2:$F$188,MATCH('Marketing Campaigns 22.11.22'!L1320,weekly!$H$2:$H$188,0))</f>
        <v>1562.9032258064517</v>
      </c>
      <c r="J1320">
        <v>0</v>
      </c>
      <c r="K1320">
        <v>0</v>
      </c>
      <c r="L1320" t="str">
        <f t="shared" si="40"/>
        <v>35-8-2022</v>
      </c>
      <c r="M1320">
        <f t="shared" si="41"/>
        <v>2022</v>
      </c>
    </row>
    <row r="1321" spans="1:13" x14ac:dyDescent="0.2">
      <c r="A1321" s="1">
        <v>44802</v>
      </c>
      <c r="B1321">
        <v>35</v>
      </c>
      <c r="C1321">
        <v>8</v>
      </c>
      <c r="D1321">
        <v>3</v>
      </c>
      <c r="E1321" t="s">
        <v>51</v>
      </c>
      <c r="F1321">
        <v>0</v>
      </c>
      <c r="G1321">
        <f>INDEX(weekly!$E$2:$E$188,MATCH('Marketing Campaigns 22.11.22'!L1321,weekly!$H$2:$H$188,0))</f>
        <v>2137.217419354839</v>
      </c>
      <c r="H1321">
        <f>INDEX(weekly!$D$2:$D$188,MATCH('Marketing Campaigns 22.11.22'!L1321,weekly!$H$2:$H$188,0))</f>
        <v>4573.645161290322</v>
      </c>
      <c r="I1321">
        <f>INDEX(weekly!$F$2:$F$188,MATCH('Marketing Campaigns 22.11.22'!L1321,weekly!$H$2:$H$188,0))</f>
        <v>1562.9032258064517</v>
      </c>
      <c r="J1321">
        <v>0</v>
      </c>
      <c r="K1321">
        <v>0</v>
      </c>
      <c r="L1321" t="str">
        <f t="shared" si="40"/>
        <v>35-8-2022</v>
      </c>
      <c r="M1321">
        <f t="shared" si="41"/>
        <v>2022</v>
      </c>
    </row>
    <row r="1322" spans="1:13" x14ac:dyDescent="0.2">
      <c r="A1322" s="1">
        <v>44802</v>
      </c>
      <c r="B1322">
        <v>35</v>
      </c>
      <c r="C1322">
        <v>8</v>
      </c>
      <c r="D1322">
        <v>3</v>
      </c>
      <c r="E1322" t="s">
        <v>52</v>
      </c>
      <c r="F1322">
        <v>0</v>
      </c>
      <c r="G1322">
        <f>INDEX(weekly!$E$2:$E$188,MATCH('Marketing Campaigns 22.11.22'!L1322,weekly!$H$2:$H$188,0))</f>
        <v>2137.217419354839</v>
      </c>
      <c r="H1322">
        <f>INDEX(weekly!$D$2:$D$188,MATCH('Marketing Campaigns 22.11.22'!L1322,weekly!$H$2:$H$188,0))</f>
        <v>4573.645161290322</v>
      </c>
      <c r="I1322">
        <f>INDEX(weekly!$F$2:$F$188,MATCH('Marketing Campaigns 22.11.22'!L1322,weekly!$H$2:$H$188,0))</f>
        <v>1562.9032258064517</v>
      </c>
      <c r="J1322">
        <v>0</v>
      </c>
      <c r="K1322">
        <v>0</v>
      </c>
      <c r="L1322" t="str">
        <f t="shared" si="40"/>
        <v>35-8-2022</v>
      </c>
      <c r="M1322">
        <f t="shared" si="41"/>
        <v>2022</v>
      </c>
    </row>
    <row r="1323" spans="1:13" x14ac:dyDescent="0.2">
      <c r="A1323" s="1">
        <v>44809</v>
      </c>
      <c r="B1323">
        <v>36</v>
      </c>
      <c r="C1323">
        <v>9</v>
      </c>
      <c r="D1323">
        <v>3</v>
      </c>
      <c r="E1323" t="s">
        <v>24</v>
      </c>
      <c r="F1323">
        <v>0</v>
      </c>
      <c r="G1323">
        <f>INDEX(weekly!$E$2:$E$188,MATCH('Marketing Campaigns 22.11.22'!L1323,weekly!$H$2:$H$188,0))</f>
        <v>6216.9333333333334</v>
      </c>
      <c r="H1323">
        <f>INDEX(weekly!$D$2:$D$188,MATCH('Marketing Campaigns 22.11.22'!L1323,weekly!$H$2:$H$188,0))</f>
        <v>9698.2666666666682</v>
      </c>
      <c r="I1323">
        <f>INDEX(weekly!$F$2:$F$188,MATCH('Marketing Campaigns 22.11.22'!L1323,weekly!$H$2:$H$188,0))</f>
        <v>3651.6666666666661</v>
      </c>
      <c r="J1323">
        <v>0</v>
      </c>
      <c r="K1323">
        <v>0</v>
      </c>
      <c r="L1323" t="str">
        <f t="shared" si="40"/>
        <v>36-9-2022</v>
      </c>
      <c r="M1323">
        <f t="shared" si="41"/>
        <v>2022</v>
      </c>
    </row>
    <row r="1324" spans="1:13" x14ac:dyDescent="0.2">
      <c r="A1324" s="1">
        <v>44809</v>
      </c>
      <c r="B1324">
        <v>36</v>
      </c>
      <c r="C1324">
        <v>9</v>
      </c>
      <c r="D1324">
        <v>3</v>
      </c>
      <c r="E1324" t="s">
        <v>39</v>
      </c>
      <c r="F1324">
        <v>0</v>
      </c>
      <c r="G1324">
        <f>INDEX(weekly!$E$2:$E$188,MATCH('Marketing Campaigns 22.11.22'!L1324,weekly!$H$2:$H$188,0))</f>
        <v>6216.9333333333334</v>
      </c>
      <c r="H1324">
        <f>INDEX(weekly!$D$2:$D$188,MATCH('Marketing Campaigns 22.11.22'!L1324,weekly!$H$2:$H$188,0))</f>
        <v>9698.2666666666682</v>
      </c>
      <c r="I1324">
        <f>INDEX(weekly!$F$2:$F$188,MATCH('Marketing Campaigns 22.11.22'!L1324,weekly!$H$2:$H$188,0))</f>
        <v>3651.6666666666661</v>
      </c>
      <c r="J1324">
        <v>0</v>
      </c>
      <c r="K1324">
        <v>0</v>
      </c>
      <c r="L1324" t="str">
        <f t="shared" si="40"/>
        <v>36-9-2022</v>
      </c>
      <c r="M1324">
        <f t="shared" si="41"/>
        <v>2022</v>
      </c>
    </row>
    <row r="1325" spans="1:13" x14ac:dyDescent="0.2">
      <c r="A1325" s="1">
        <v>44809</v>
      </c>
      <c r="B1325">
        <v>36</v>
      </c>
      <c r="C1325">
        <v>9</v>
      </c>
      <c r="D1325">
        <v>3</v>
      </c>
      <c r="E1325" t="s">
        <v>40</v>
      </c>
      <c r="F1325">
        <v>0</v>
      </c>
      <c r="G1325">
        <f>INDEX(weekly!$E$2:$E$188,MATCH('Marketing Campaigns 22.11.22'!L1325,weekly!$H$2:$H$188,0))</f>
        <v>6216.9333333333334</v>
      </c>
      <c r="H1325">
        <f>INDEX(weekly!$D$2:$D$188,MATCH('Marketing Campaigns 22.11.22'!L1325,weekly!$H$2:$H$188,0))</f>
        <v>9698.2666666666682</v>
      </c>
      <c r="I1325">
        <f>INDEX(weekly!$F$2:$F$188,MATCH('Marketing Campaigns 22.11.22'!L1325,weekly!$H$2:$H$188,0))</f>
        <v>3651.6666666666661</v>
      </c>
      <c r="J1325">
        <v>0</v>
      </c>
      <c r="K1325">
        <v>0</v>
      </c>
      <c r="L1325" t="str">
        <f t="shared" si="40"/>
        <v>36-9-2022</v>
      </c>
      <c r="M1325">
        <f t="shared" si="41"/>
        <v>2022</v>
      </c>
    </row>
    <row r="1326" spans="1:13" x14ac:dyDescent="0.2">
      <c r="A1326" s="1">
        <v>44809</v>
      </c>
      <c r="B1326">
        <v>36</v>
      </c>
      <c r="C1326">
        <v>9</v>
      </c>
      <c r="D1326">
        <v>3</v>
      </c>
      <c r="E1326" t="s">
        <v>41</v>
      </c>
      <c r="F1326">
        <v>0</v>
      </c>
      <c r="G1326">
        <f>INDEX(weekly!$E$2:$E$188,MATCH('Marketing Campaigns 22.11.22'!L1326,weekly!$H$2:$H$188,0))</f>
        <v>6216.9333333333334</v>
      </c>
      <c r="H1326">
        <f>INDEX(weekly!$D$2:$D$188,MATCH('Marketing Campaigns 22.11.22'!L1326,weekly!$H$2:$H$188,0))</f>
        <v>9698.2666666666682</v>
      </c>
      <c r="I1326">
        <f>INDEX(weekly!$F$2:$F$188,MATCH('Marketing Campaigns 22.11.22'!L1326,weekly!$H$2:$H$188,0))</f>
        <v>3651.6666666666661</v>
      </c>
      <c r="J1326">
        <v>0</v>
      </c>
      <c r="K1326">
        <v>0</v>
      </c>
      <c r="L1326" t="str">
        <f t="shared" si="40"/>
        <v>36-9-2022</v>
      </c>
      <c r="M1326">
        <f t="shared" si="41"/>
        <v>2022</v>
      </c>
    </row>
    <row r="1327" spans="1:13" x14ac:dyDescent="0.2">
      <c r="A1327" s="1">
        <v>44809</v>
      </c>
      <c r="B1327">
        <v>36</v>
      </c>
      <c r="C1327">
        <v>9</v>
      </c>
      <c r="D1327">
        <v>3</v>
      </c>
      <c r="E1327" t="s">
        <v>42</v>
      </c>
      <c r="F1327">
        <v>0</v>
      </c>
      <c r="G1327">
        <f>INDEX(weekly!$E$2:$E$188,MATCH('Marketing Campaigns 22.11.22'!L1327,weekly!$H$2:$H$188,0))</f>
        <v>6216.9333333333334</v>
      </c>
      <c r="H1327">
        <f>INDEX(weekly!$D$2:$D$188,MATCH('Marketing Campaigns 22.11.22'!L1327,weekly!$H$2:$H$188,0))</f>
        <v>9698.2666666666682</v>
      </c>
      <c r="I1327">
        <f>INDEX(weekly!$F$2:$F$188,MATCH('Marketing Campaigns 22.11.22'!L1327,weekly!$H$2:$H$188,0))</f>
        <v>3651.6666666666661</v>
      </c>
      <c r="J1327">
        <v>0</v>
      </c>
      <c r="K1327">
        <v>0</v>
      </c>
      <c r="L1327" t="str">
        <f t="shared" si="40"/>
        <v>36-9-2022</v>
      </c>
      <c r="M1327">
        <f t="shared" si="41"/>
        <v>2022</v>
      </c>
    </row>
    <row r="1328" spans="1:13" x14ac:dyDescent="0.2">
      <c r="A1328" s="1">
        <v>44809</v>
      </c>
      <c r="B1328">
        <v>36</v>
      </c>
      <c r="C1328">
        <v>9</v>
      </c>
      <c r="D1328">
        <v>3</v>
      </c>
      <c r="E1328" t="s">
        <v>43</v>
      </c>
      <c r="F1328">
        <v>0</v>
      </c>
      <c r="G1328">
        <f>INDEX(weekly!$E$2:$E$188,MATCH('Marketing Campaigns 22.11.22'!L1328,weekly!$H$2:$H$188,0))</f>
        <v>6216.9333333333334</v>
      </c>
      <c r="H1328">
        <f>INDEX(weekly!$D$2:$D$188,MATCH('Marketing Campaigns 22.11.22'!L1328,weekly!$H$2:$H$188,0))</f>
        <v>9698.2666666666682</v>
      </c>
      <c r="I1328">
        <f>INDEX(weekly!$F$2:$F$188,MATCH('Marketing Campaigns 22.11.22'!L1328,weekly!$H$2:$H$188,0))</f>
        <v>3651.6666666666661</v>
      </c>
      <c r="J1328">
        <v>0</v>
      </c>
      <c r="K1328">
        <v>0</v>
      </c>
      <c r="L1328" t="str">
        <f t="shared" si="40"/>
        <v>36-9-2022</v>
      </c>
      <c r="M1328">
        <f t="shared" si="41"/>
        <v>2022</v>
      </c>
    </row>
    <row r="1329" spans="1:13" x14ac:dyDescent="0.2">
      <c r="A1329" s="1">
        <v>44809</v>
      </c>
      <c r="B1329">
        <v>36</v>
      </c>
      <c r="C1329">
        <v>9</v>
      </c>
      <c r="D1329">
        <v>3</v>
      </c>
      <c r="E1329" t="s">
        <v>44</v>
      </c>
      <c r="F1329">
        <v>0</v>
      </c>
      <c r="G1329">
        <f>INDEX(weekly!$E$2:$E$188,MATCH('Marketing Campaigns 22.11.22'!L1329,weekly!$H$2:$H$188,0))</f>
        <v>6216.9333333333334</v>
      </c>
      <c r="H1329">
        <f>INDEX(weekly!$D$2:$D$188,MATCH('Marketing Campaigns 22.11.22'!L1329,weekly!$H$2:$H$188,0))</f>
        <v>9698.2666666666682</v>
      </c>
      <c r="I1329">
        <f>INDEX(weekly!$F$2:$F$188,MATCH('Marketing Campaigns 22.11.22'!L1329,weekly!$H$2:$H$188,0))</f>
        <v>3651.6666666666661</v>
      </c>
      <c r="J1329">
        <v>0</v>
      </c>
      <c r="K1329">
        <v>0</v>
      </c>
      <c r="L1329" t="str">
        <f t="shared" si="40"/>
        <v>36-9-2022</v>
      </c>
      <c r="M1329">
        <f t="shared" si="41"/>
        <v>2022</v>
      </c>
    </row>
    <row r="1330" spans="1:13" x14ac:dyDescent="0.2">
      <c r="A1330" s="1">
        <v>44809</v>
      </c>
      <c r="B1330">
        <v>36</v>
      </c>
      <c r="C1330">
        <v>9</v>
      </c>
      <c r="D1330">
        <v>3</v>
      </c>
      <c r="E1330" t="s">
        <v>45</v>
      </c>
      <c r="F1330">
        <v>0</v>
      </c>
      <c r="G1330">
        <f>INDEX(weekly!$E$2:$E$188,MATCH('Marketing Campaigns 22.11.22'!L1330,weekly!$H$2:$H$188,0))</f>
        <v>6216.9333333333334</v>
      </c>
      <c r="H1330">
        <f>INDEX(weekly!$D$2:$D$188,MATCH('Marketing Campaigns 22.11.22'!L1330,weekly!$H$2:$H$188,0))</f>
        <v>9698.2666666666682</v>
      </c>
      <c r="I1330">
        <f>INDEX(weekly!$F$2:$F$188,MATCH('Marketing Campaigns 22.11.22'!L1330,weekly!$H$2:$H$188,0))</f>
        <v>3651.6666666666661</v>
      </c>
      <c r="J1330">
        <v>0</v>
      </c>
      <c r="K1330">
        <v>0</v>
      </c>
      <c r="L1330" t="str">
        <f t="shared" si="40"/>
        <v>36-9-2022</v>
      </c>
      <c r="M1330">
        <f t="shared" si="41"/>
        <v>2022</v>
      </c>
    </row>
    <row r="1331" spans="1:13" x14ac:dyDescent="0.2">
      <c r="A1331" s="1">
        <v>44809</v>
      </c>
      <c r="B1331">
        <v>36</v>
      </c>
      <c r="C1331">
        <v>9</v>
      </c>
      <c r="D1331">
        <v>3</v>
      </c>
      <c r="E1331" t="s">
        <v>46</v>
      </c>
      <c r="F1331">
        <v>0</v>
      </c>
      <c r="G1331">
        <f>INDEX(weekly!$E$2:$E$188,MATCH('Marketing Campaigns 22.11.22'!L1331,weekly!$H$2:$H$188,0))</f>
        <v>6216.9333333333334</v>
      </c>
      <c r="H1331">
        <f>INDEX(weekly!$D$2:$D$188,MATCH('Marketing Campaigns 22.11.22'!L1331,weekly!$H$2:$H$188,0))</f>
        <v>9698.2666666666682</v>
      </c>
      <c r="I1331">
        <f>INDEX(weekly!$F$2:$F$188,MATCH('Marketing Campaigns 22.11.22'!L1331,weekly!$H$2:$H$188,0))</f>
        <v>3651.6666666666661</v>
      </c>
      <c r="J1331">
        <v>0</v>
      </c>
      <c r="K1331">
        <v>0</v>
      </c>
      <c r="L1331" t="str">
        <f t="shared" si="40"/>
        <v>36-9-2022</v>
      </c>
      <c r="M1331">
        <f t="shared" si="41"/>
        <v>2022</v>
      </c>
    </row>
    <row r="1332" spans="1:13" x14ac:dyDescent="0.2">
      <c r="A1332" s="1">
        <v>44809</v>
      </c>
      <c r="B1332">
        <v>36</v>
      </c>
      <c r="C1332">
        <v>9</v>
      </c>
      <c r="D1332">
        <v>3</v>
      </c>
      <c r="E1332" t="s">
        <v>47</v>
      </c>
      <c r="F1332">
        <v>0</v>
      </c>
      <c r="G1332">
        <f>INDEX(weekly!$E$2:$E$188,MATCH('Marketing Campaigns 22.11.22'!L1332,weekly!$H$2:$H$188,0))</f>
        <v>6216.9333333333334</v>
      </c>
      <c r="H1332">
        <f>INDEX(weekly!$D$2:$D$188,MATCH('Marketing Campaigns 22.11.22'!L1332,weekly!$H$2:$H$188,0))</f>
        <v>9698.2666666666682</v>
      </c>
      <c r="I1332">
        <f>INDEX(weekly!$F$2:$F$188,MATCH('Marketing Campaigns 22.11.22'!L1332,weekly!$H$2:$H$188,0))</f>
        <v>3651.6666666666661</v>
      </c>
      <c r="J1332">
        <v>0</v>
      </c>
      <c r="K1332">
        <v>0</v>
      </c>
      <c r="L1332" t="str">
        <f t="shared" si="40"/>
        <v>36-9-2022</v>
      </c>
      <c r="M1332">
        <f t="shared" si="41"/>
        <v>2022</v>
      </c>
    </row>
    <row r="1333" spans="1:13" x14ac:dyDescent="0.2">
      <c r="A1333" s="1">
        <v>44809</v>
      </c>
      <c r="B1333">
        <v>36</v>
      </c>
      <c r="C1333">
        <v>9</v>
      </c>
      <c r="D1333">
        <v>3</v>
      </c>
      <c r="E1333" t="s">
        <v>48</v>
      </c>
      <c r="F1333">
        <v>0</v>
      </c>
      <c r="G1333">
        <f>INDEX(weekly!$E$2:$E$188,MATCH('Marketing Campaigns 22.11.22'!L1333,weekly!$H$2:$H$188,0))</f>
        <v>6216.9333333333334</v>
      </c>
      <c r="H1333">
        <f>INDEX(weekly!$D$2:$D$188,MATCH('Marketing Campaigns 22.11.22'!L1333,weekly!$H$2:$H$188,0))</f>
        <v>9698.2666666666682</v>
      </c>
      <c r="I1333">
        <f>INDEX(weekly!$F$2:$F$188,MATCH('Marketing Campaigns 22.11.22'!L1333,weekly!$H$2:$H$188,0))</f>
        <v>3651.6666666666661</v>
      </c>
      <c r="J1333">
        <v>0</v>
      </c>
      <c r="K1333">
        <v>0</v>
      </c>
      <c r="L1333" t="str">
        <f t="shared" si="40"/>
        <v>36-9-2022</v>
      </c>
      <c r="M1333">
        <f t="shared" si="41"/>
        <v>2022</v>
      </c>
    </row>
    <row r="1334" spans="1:13" x14ac:dyDescent="0.2">
      <c r="A1334" s="1">
        <v>44809</v>
      </c>
      <c r="B1334">
        <v>36</v>
      </c>
      <c r="C1334">
        <v>9</v>
      </c>
      <c r="D1334">
        <v>3</v>
      </c>
      <c r="E1334" t="s">
        <v>49</v>
      </c>
      <c r="F1334">
        <v>0</v>
      </c>
      <c r="G1334">
        <f>INDEX(weekly!$E$2:$E$188,MATCH('Marketing Campaigns 22.11.22'!L1334,weekly!$H$2:$H$188,0))</f>
        <v>6216.9333333333334</v>
      </c>
      <c r="H1334">
        <f>INDEX(weekly!$D$2:$D$188,MATCH('Marketing Campaigns 22.11.22'!L1334,weekly!$H$2:$H$188,0))</f>
        <v>9698.2666666666682</v>
      </c>
      <c r="I1334">
        <f>INDEX(weekly!$F$2:$F$188,MATCH('Marketing Campaigns 22.11.22'!L1334,weekly!$H$2:$H$188,0))</f>
        <v>3651.6666666666661</v>
      </c>
      <c r="J1334">
        <v>0</v>
      </c>
      <c r="K1334">
        <v>0</v>
      </c>
      <c r="L1334" t="str">
        <f t="shared" si="40"/>
        <v>36-9-2022</v>
      </c>
      <c r="M1334">
        <f t="shared" si="41"/>
        <v>2022</v>
      </c>
    </row>
    <row r="1335" spans="1:13" x14ac:dyDescent="0.2">
      <c r="A1335" s="1">
        <v>44809</v>
      </c>
      <c r="B1335">
        <v>36</v>
      </c>
      <c r="C1335">
        <v>9</v>
      </c>
      <c r="D1335">
        <v>3</v>
      </c>
      <c r="E1335" t="s">
        <v>50</v>
      </c>
      <c r="F1335">
        <v>0</v>
      </c>
      <c r="G1335">
        <f>INDEX(weekly!$E$2:$E$188,MATCH('Marketing Campaigns 22.11.22'!L1335,weekly!$H$2:$H$188,0))</f>
        <v>6216.9333333333334</v>
      </c>
      <c r="H1335">
        <f>INDEX(weekly!$D$2:$D$188,MATCH('Marketing Campaigns 22.11.22'!L1335,weekly!$H$2:$H$188,0))</f>
        <v>9698.2666666666682</v>
      </c>
      <c r="I1335">
        <f>INDEX(weekly!$F$2:$F$188,MATCH('Marketing Campaigns 22.11.22'!L1335,weekly!$H$2:$H$188,0))</f>
        <v>3651.6666666666661</v>
      </c>
      <c r="J1335">
        <v>0</v>
      </c>
      <c r="K1335">
        <v>0</v>
      </c>
      <c r="L1335" t="str">
        <f t="shared" si="40"/>
        <v>36-9-2022</v>
      </c>
      <c r="M1335">
        <f t="shared" si="41"/>
        <v>2022</v>
      </c>
    </row>
    <row r="1336" spans="1:13" x14ac:dyDescent="0.2">
      <c r="A1336" s="1">
        <v>44809</v>
      </c>
      <c r="B1336">
        <v>36</v>
      </c>
      <c r="C1336">
        <v>9</v>
      </c>
      <c r="D1336">
        <v>3</v>
      </c>
      <c r="E1336" t="s">
        <v>51</v>
      </c>
      <c r="F1336">
        <v>0</v>
      </c>
      <c r="G1336">
        <f>INDEX(weekly!$E$2:$E$188,MATCH('Marketing Campaigns 22.11.22'!L1336,weekly!$H$2:$H$188,0))</f>
        <v>6216.9333333333334</v>
      </c>
      <c r="H1336">
        <f>INDEX(weekly!$D$2:$D$188,MATCH('Marketing Campaigns 22.11.22'!L1336,weekly!$H$2:$H$188,0))</f>
        <v>9698.2666666666682</v>
      </c>
      <c r="I1336">
        <f>INDEX(weekly!$F$2:$F$188,MATCH('Marketing Campaigns 22.11.22'!L1336,weekly!$H$2:$H$188,0))</f>
        <v>3651.6666666666661</v>
      </c>
      <c r="J1336">
        <v>0</v>
      </c>
      <c r="K1336">
        <v>0</v>
      </c>
      <c r="L1336" t="str">
        <f t="shared" si="40"/>
        <v>36-9-2022</v>
      </c>
      <c r="M1336">
        <f t="shared" si="41"/>
        <v>2022</v>
      </c>
    </row>
    <row r="1337" spans="1:13" x14ac:dyDescent="0.2">
      <c r="A1337" s="1">
        <v>44809</v>
      </c>
      <c r="B1337">
        <v>36</v>
      </c>
      <c r="C1337">
        <v>9</v>
      </c>
      <c r="D1337">
        <v>3</v>
      </c>
      <c r="E1337" t="s">
        <v>52</v>
      </c>
      <c r="F1337">
        <v>0</v>
      </c>
      <c r="G1337">
        <f>INDEX(weekly!$E$2:$E$188,MATCH('Marketing Campaigns 22.11.22'!L1337,weekly!$H$2:$H$188,0))</f>
        <v>6216.9333333333334</v>
      </c>
      <c r="H1337">
        <f>INDEX(weekly!$D$2:$D$188,MATCH('Marketing Campaigns 22.11.22'!L1337,weekly!$H$2:$H$188,0))</f>
        <v>9698.2666666666682</v>
      </c>
      <c r="I1337">
        <f>INDEX(weekly!$F$2:$F$188,MATCH('Marketing Campaigns 22.11.22'!L1337,weekly!$H$2:$H$188,0))</f>
        <v>3651.6666666666661</v>
      </c>
      <c r="J1337">
        <v>0</v>
      </c>
      <c r="K1337">
        <v>0</v>
      </c>
      <c r="L1337" t="str">
        <f t="shared" si="40"/>
        <v>36-9-2022</v>
      </c>
      <c r="M1337">
        <f t="shared" si="41"/>
        <v>2022</v>
      </c>
    </row>
    <row r="1338" spans="1:13" x14ac:dyDescent="0.2">
      <c r="A1338" s="1">
        <v>44816</v>
      </c>
      <c r="B1338">
        <v>37</v>
      </c>
      <c r="C1338">
        <v>9</v>
      </c>
      <c r="D1338">
        <v>3</v>
      </c>
      <c r="E1338" t="s">
        <v>24</v>
      </c>
      <c r="F1338">
        <v>0</v>
      </c>
      <c r="G1338">
        <f>INDEX(weekly!$E$2:$E$188,MATCH('Marketing Campaigns 22.11.22'!L1338,weekly!$H$2:$H$188,0))</f>
        <v>6216.9333333333334</v>
      </c>
      <c r="H1338">
        <f>INDEX(weekly!$D$2:$D$188,MATCH('Marketing Campaigns 22.11.22'!L1338,weekly!$H$2:$H$188,0))</f>
        <v>9698.2666666666682</v>
      </c>
      <c r="I1338">
        <f>INDEX(weekly!$F$2:$F$188,MATCH('Marketing Campaigns 22.11.22'!L1338,weekly!$H$2:$H$188,0))</f>
        <v>3651.6666666666661</v>
      </c>
      <c r="J1338">
        <v>0</v>
      </c>
      <c r="K1338">
        <v>0</v>
      </c>
      <c r="L1338" t="str">
        <f t="shared" si="40"/>
        <v>37-9-2022</v>
      </c>
      <c r="M1338">
        <f t="shared" si="41"/>
        <v>2022</v>
      </c>
    </row>
    <row r="1339" spans="1:13" x14ac:dyDescent="0.2">
      <c r="A1339" s="1">
        <v>44816</v>
      </c>
      <c r="B1339">
        <v>37</v>
      </c>
      <c r="C1339">
        <v>9</v>
      </c>
      <c r="D1339">
        <v>3</v>
      </c>
      <c r="E1339" t="s">
        <v>39</v>
      </c>
      <c r="F1339">
        <v>0</v>
      </c>
      <c r="G1339">
        <f>INDEX(weekly!$E$2:$E$188,MATCH('Marketing Campaigns 22.11.22'!L1339,weekly!$H$2:$H$188,0))</f>
        <v>6216.9333333333334</v>
      </c>
      <c r="H1339">
        <f>INDEX(weekly!$D$2:$D$188,MATCH('Marketing Campaigns 22.11.22'!L1339,weekly!$H$2:$H$188,0))</f>
        <v>9698.2666666666682</v>
      </c>
      <c r="I1339">
        <f>INDEX(weekly!$F$2:$F$188,MATCH('Marketing Campaigns 22.11.22'!L1339,weekly!$H$2:$H$188,0))</f>
        <v>3651.6666666666661</v>
      </c>
      <c r="J1339">
        <v>0</v>
      </c>
      <c r="K1339">
        <v>0</v>
      </c>
      <c r="L1339" t="str">
        <f t="shared" si="40"/>
        <v>37-9-2022</v>
      </c>
      <c r="M1339">
        <f t="shared" si="41"/>
        <v>2022</v>
      </c>
    </row>
    <row r="1340" spans="1:13" x14ac:dyDescent="0.2">
      <c r="A1340" s="1">
        <v>44816</v>
      </c>
      <c r="B1340">
        <v>37</v>
      </c>
      <c r="C1340">
        <v>9</v>
      </c>
      <c r="D1340">
        <v>3</v>
      </c>
      <c r="E1340" t="s">
        <v>40</v>
      </c>
      <c r="F1340">
        <v>0</v>
      </c>
      <c r="G1340">
        <f>INDEX(weekly!$E$2:$E$188,MATCH('Marketing Campaigns 22.11.22'!L1340,weekly!$H$2:$H$188,0))</f>
        <v>6216.9333333333334</v>
      </c>
      <c r="H1340">
        <f>INDEX(weekly!$D$2:$D$188,MATCH('Marketing Campaigns 22.11.22'!L1340,weekly!$H$2:$H$188,0))</f>
        <v>9698.2666666666682</v>
      </c>
      <c r="I1340">
        <f>INDEX(weekly!$F$2:$F$188,MATCH('Marketing Campaigns 22.11.22'!L1340,weekly!$H$2:$H$188,0))</f>
        <v>3651.6666666666661</v>
      </c>
      <c r="J1340">
        <v>0</v>
      </c>
      <c r="K1340">
        <v>0</v>
      </c>
      <c r="L1340" t="str">
        <f t="shared" si="40"/>
        <v>37-9-2022</v>
      </c>
      <c r="M1340">
        <f t="shared" si="41"/>
        <v>2022</v>
      </c>
    </row>
    <row r="1341" spans="1:13" x14ac:dyDescent="0.2">
      <c r="A1341" s="1">
        <v>44816</v>
      </c>
      <c r="B1341">
        <v>37</v>
      </c>
      <c r="C1341">
        <v>9</v>
      </c>
      <c r="D1341">
        <v>3</v>
      </c>
      <c r="E1341" t="s">
        <v>41</v>
      </c>
      <c r="F1341">
        <v>0</v>
      </c>
      <c r="G1341">
        <f>INDEX(weekly!$E$2:$E$188,MATCH('Marketing Campaigns 22.11.22'!L1341,weekly!$H$2:$H$188,0))</f>
        <v>6216.9333333333334</v>
      </c>
      <c r="H1341">
        <f>INDEX(weekly!$D$2:$D$188,MATCH('Marketing Campaigns 22.11.22'!L1341,weekly!$H$2:$H$188,0))</f>
        <v>9698.2666666666682</v>
      </c>
      <c r="I1341">
        <f>INDEX(weekly!$F$2:$F$188,MATCH('Marketing Campaigns 22.11.22'!L1341,weekly!$H$2:$H$188,0))</f>
        <v>3651.6666666666661</v>
      </c>
      <c r="J1341">
        <v>0</v>
      </c>
      <c r="K1341">
        <v>0</v>
      </c>
      <c r="L1341" t="str">
        <f t="shared" si="40"/>
        <v>37-9-2022</v>
      </c>
      <c r="M1341">
        <f t="shared" si="41"/>
        <v>2022</v>
      </c>
    </row>
    <row r="1342" spans="1:13" x14ac:dyDescent="0.2">
      <c r="A1342" s="1">
        <v>44816</v>
      </c>
      <c r="B1342">
        <v>37</v>
      </c>
      <c r="C1342">
        <v>9</v>
      </c>
      <c r="D1342">
        <v>3</v>
      </c>
      <c r="E1342" t="s">
        <v>42</v>
      </c>
      <c r="F1342">
        <v>0</v>
      </c>
      <c r="G1342">
        <f>INDEX(weekly!$E$2:$E$188,MATCH('Marketing Campaigns 22.11.22'!L1342,weekly!$H$2:$H$188,0))</f>
        <v>6216.9333333333334</v>
      </c>
      <c r="H1342">
        <f>INDEX(weekly!$D$2:$D$188,MATCH('Marketing Campaigns 22.11.22'!L1342,weekly!$H$2:$H$188,0))</f>
        <v>9698.2666666666682</v>
      </c>
      <c r="I1342">
        <f>INDEX(weekly!$F$2:$F$188,MATCH('Marketing Campaigns 22.11.22'!L1342,weekly!$H$2:$H$188,0))</f>
        <v>3651.6666666666661</v>
      </c>
      <c r="J1342">
        <v>0</v>
      </c>
      <c r="K1342">
        <v>0</v>
      </c>
      <c r="L1342" t="str">
        <f t="shared" si="40"/>
        <v>37-9-2022</v>
      </c>
      <c r="M1342">
        <f t="shared" si="41"/>
        <v>2022</v>
      </c>
    </row>
    <row r="1343" spans="1:13" x14ac:dyDescent="0.2">
      <c r="A1343" s="1">
        <v>44816</v>
      </c>
      <c r="B1343">
        <v>37</v>
      </c>
      <c r="C1343">
        <v>9</v>
      </c>
      <c r="D1343">
        <v>3</v>
      </c>
      <c r="E1343" t="s">
        <v>43</v>
      </c>
      <c r="F1343">
        <v>0</v>
      </c>
      <c r="G1343">
        <f>INDEX(weekly!$E$2:$E$188,MATCH('Marketing Campaigns 22.11.22'!L1343,weekly!$H$2:$H$188,0))</f>
        <v>6216.9333333333334</v>
      </c>
      <c r="H1343">
        <f>INDEX(weekly!$D$2:$D$188,MATCH('Marketing Campaigns 22.11.22'!L1343,weekly!$H$2:$H$188,0))</f>
        <v>9698.2666666666682</v>
      </c>
      <c r="I1343">
        <f>INDEX(weekly!$F$2:$F$188,MATCH('Marketing Campaigns 22.11.22'!L1343,weekly!$H$2:$H$188,0))</f>
        <v>3651.6666666666661</v>
      </c>
      <c r="J1343">
        <v>0</v>
      </c>
      <c r="K1343">
        <v>0</v>
      </c>
      <c r="L1343" t="str">
        <f t="shared" si="40"/>
        <v>37-9-2022</v>
      </c>
      <c r="M1343">
        <f t="shared" si="41"/>
        <v>2022</v>
      </c>
    </row>
    <row r="1344" spans="1:13" x14ac:dyDescent="0.2">
      <c r="A1344" s="1">
        <v>44816</v>
      </c>
      <c r="B1344">
        <v>37</v>
      </c>
      <c r="C1344">
        <v>9</v>
      </c>
      <c r="D1344">
        <v>3</v>
      </c>
      <c r="E1344" t="s">
        <v>44</v>
      </c>
      <c r="F1344">
        <v>0</v>
      </c>
      <c r="G1344">
        <f>INDEX(weekly!$E$2:$E$188,MATCH('Marketing Campaigns 22.11.22'!L1344,weekly!$H$2:$H$188,0))</f>
        <v>6216.9333333333334</v>
      </c>
      <c r="H1344">
        <f>INDEX(weekly!$D$2:$D$188,MATCH('Marketing Campaigns 22.11.22'!L1344,weekly!$H$2:$H$188,0))</f>
        <v>9698.2666666666682</v>
      </c>
      <c r="I1344">
        <f>INDEX(weekly!$F$2:$F$188,MATCH('Marketing Campaigns 22.11.22'!L1344,weekly!$H$2:$H$188,0))</f>
        <v>3651.6666666666661</v>
      </c>
      <c r="J1344">
        <v>0</v>
      </c>
      <c r="K1344">
        <v>0</v>
      </c>
      <c r="L1344" t="str">
        <f t="shared" si="40"/>
        <v>37-9-2022</v>
      </c>
      <c r="M1344">
        <f t="shared" si="41"/>
        <v>2022</v>
      </c>
    </row>
    <row r="1345" spans="1:13" x14ac:dyDescent="0.2">
      <c r="A1345" s="1">
        <v>44816</v>
      </c>
      <c r="B1345">
        <v>37</v>
      </c>
      <c r="C1345">
        <v>9</v>
      </c>
      <c r="D1345">
        <v>3</v>
      </c>
      <c r="E1345" t="s">
        <v>45</v>
      </c>
      <c r="F1345">
        <v>0</v>
      </c>
      <c r="G1345">
        <f>INDEX(weekly!$E$2:$E$188,MATCH('Marketing Campaigns 22.11.22'!L1345,weekly!$H$2:$H$188,0))</f>
        <v>6216.9333333333334</v>
      </c>
      <c r="H1345">
        <f>INDEX(weekly!$D$2:$D$188,MATCH('Marketing Campaigns 22.11.22'!L1345,weekly!$H$2:$H$188,0))</f>
        <v>9698.2666666666682</v>
      </c>
      <c r="I1345">
        <f>INDEX(weekly!$F$2:$F$188,MATCH('Marketing Campaigns 22.11.22'!L1345,weekly!$H$2:$H$188,0))</f>
        <v>3651.6666666666661</v>
      </c>
      <c r="J1345">
        <v>0</v>
      </c>
      <c r="K1345">
        <v>0</v>
      </c>
      <c r="L1345" t="str">
        <f t="shared" si="40"/>
        <v>37-9-2022</v>
      </c>
      <c r="M1345">
        <f t="shared" si="41"/>
        <v>2022</v>
      </c>
    </row>
    <row r="1346" spans="1:13" x14ac:dyDescent="0.2">
      <c r="A1346" s="1">
        <v>44816</v>
      </c>
      <c r="B1346">
        <v>37</v>
      </c>
      <c r="C1346">
        <v>9</v>
      </c>
      <c r="D1346">
        <v>3</v>
      </c>
      <c r="E1346" t="s">
        <v>46</v>
      </c>
      <c r="F1346">
        <v>0</v>
      </c>
      <c r="G1346">
        <f>INDEX(weekly!$E$2:$E$188,MATCH('Marketing Campaigns 22.11.22'!L1346,weekly!$H$2:$H$188,0))</f>
        <v>6216.9333333333334</v>
      </c>
      <c r="H1346">
        <f>INDEX(weekly!$D$2:$D$188,MATCH('Marketing Campaigns 22.11.22'!L1346,weekly!$H$2:$H$188,0))</f>
        <v>9698.2666666666682</v>
      </c>
      <c r="I1346">
        <f>INDEX(weekly!$F$2:$F$188,MATCH('Marketing Campaigns 22.11.22'!L1346,weekly!$H$2:$H$188,0))</f>
        <v>3651.6666666666661</v>
      </c>
      <c r="J1346">
        <v>0</v>
      </c>
      <c r="K1346">
        <v>0</v>
      </c>
      <c r="L1346" t="str">
        <f t="shared" si="40"/>
        <v>37-9-2022</v>
      </c>
      <c r="M1346">
        <f t="shared" si="41"/>
        <v>2022</v>
      </c>
    </row>
    <row r="1347" spans="1:13" x14ac:dyDescent="0.2">
      <c r="A1347" s="1">
        <v>44816</v>
      </c>
      <c r="B1347">
        <v>37</v>
      </c>
      <c r="C1347">
        <v>9</v>
      </c>
      <c r="D1347">
        <v>3</v>
      </c>
      <c r="E1347" t="s">
        <v>47</v>
      </c>
      <c r="F1347">
        <v>0</v>
      </c>
      <c r="G1347">
        <f>INDEX(weekly!$E$2:$E$188,MATCH('Marketing Campaigns 22.11.22'!L1347,weekly!$H$2:$H$188,0))</f>
        <v>6216.9333333333334</v>
      </c>
      <c r="H1347">
        <f>INDEX(weekly!$D$2:$D$188,MATCH('Marketing Campaigns 22.11.22'!L1347,weekly!$H$2:$H$188,0))</f>
        <v>9698.2666666666682</v>
      </c>
      <c r="I1347">
        <f>INDEX(weekly!$F$2:$F$188,MATCH('Marketing Campaigns 22.11.22'!L1347,weekly!$H$2:$H$188,0))</f>
        <v>3651.6666666666661</v>
      </c>
      <c r="J1347">
        <v>0</v>
      </c>
      <c r="K1347">
        <v>0</v>
      </c>
      <c r="L1347" t="str">
        <f t="shared" si="40"/>
        <v>37-9-2022</v>
      </c>
      <c r="M1347">
        <f t="shared" si="41"/>
        <v>2022</v>
      </c>
    </row>
    <row r="1348" spans="1:13" x14ac:dyDescent="0.2">
      <c r="A1348" s="1">
        <v>44816</v>
      </c>
      <c r="B1348">
        <v>37</v>
      </c>
      <c r="C1348">
        <v>9</v>
      </c>
      <c r="D1348">
        <v>3</v>
      </c>
      <c r="E1348" t="s">
        <v>48</v>
      </c>
      <c r="F1348">
        <v>0</v>
      </c>
      <c r="G1348">
        <f>INDEX(weekly!$E$2:$E$188,MATCH('Marketing Campaigns 22.11.22'!L1348,weekly!$H$2:$H$188,0))</f>
        <v>6216.9333333333334</v>
      </c>
      <c r="H1348">
        <f>INDEX(weekly!$D$2:$D$188,MATCH('Marketing Campaigns 22.11.22'!L1348,weekly!$H$2:$H$188,0))</f>
        <v>9698.2666666666682</v>
      </c>
      <c r="I1348">
        <f>INDEX(weekly!$F$2:$F$188,MATCH('Marketing Campaigns 22.11.22'!L1348,weekly!$H$2:$H$188,0))</f>
        <v>3651.6666666666661</v>
      </c>
      <c r="J1348">
        <v>0</v>
      </c>
      <c r="K1348">
        <v>0</v>
      </c>
      <c r="L1348" t="str">
        <f t="shared" ref="L1348:L1411" si="42">B1348&amp;"-"&amp;C1348&amp;"-"&amp;M1348</f>
        <v>37-9-2022</v>
      </c>
      <c r="M1348">
        <f t="shared" ref="M1348:M1411" si="43">YEAR(A1348)</f>
        <v>2022</v>
      </c>
    </row>
    <row r="1349" spans="1:13" x14ac:dyDescent="0.2">
      <c r="A1349" s="1">
        <v>44816</v>
      </c>
      <c r="B1349">
        <v>37</v>
      </c>
      <c r="C1349">
        <v>9</v>
      </c>
      <c r="D1349">
        <v>3</v>
      </c>
      <c r="E1349" t="s">
        <v>49</v>
      </c>
      <c r="F1349">
        <v>0</v>
      </c>
      <c r="G1349">
        <f>INDEX(weekly!$E$2:$E$188,MATCH('Marketing Campaigns 22.11.22'!L1349,weekly!$H$2:$H$188,0))</f>
        <v>6216.9333333333334</v>
      </c>
      <c r="H1349">
        <f>INDEX(weekly!$D$2:$D$188,MATCH('Marketing Campaigns 22.11.22'!L1349,weekly!$H$2:$H$188,0))</f>
        <v>9698.2666666666682</v>
      </c>
      <c r="I1349">
        <f>INDEX(weekly!$F$2:$F$188,MATCH('Marketing Campaigns 22.11.22'!L1349,weekly!$H$2:$H$188,0))</f>
        <v>3651.6666666666661</v>
      </c>
      <c r="J1349">
        <v>0</v>
      </c>
      <c r="K1349">
        <v>0</v>
      </c>
      <c r="L1349" t="str">
        <f t="shared" si="42"/>
        <v>37-9-2022</v>
      </c>
      <c r="M1349">
        <f t="shared" si="43"/>
        <v>2022</v>
      </c>
    </row>
    <row r="1350" spans="1:13" x14ac:dyDescent="0.2">
      <c r="A1350" s="1">
        <v>44816</v>
      </c>
      <c r="B1350">
        <v>37</v>
      </c>
      <c r="C1350">
        <v>9</v>
      </c>
      <c r="D1350">
        <v>3</v>
      </c>
      <c r="E1350" t="s">
        <v>50</v>
      </c>
      <c r="F1350">
        <v>0</v>
      </c>
      <c r="G1350">
        <f>INDEX(weekly!$E$2:$E$188,MATCH('Marketing Campaigns 22.11.22'!L1350,weekly!$H$2:$H$188,0))</f>
        <v>6216.9333333333334</v>
      </c>
      <c r="H1350">
        <f>INDEX(weekly!$D$2:$D$188,MATCH('Marketing Campaigns 22.11.22'!L1350,weekly!$H$2:$H$188,0))</f>
        <v>9698.2666666666682</v>
      </c>
      <c r="I1350">
        <f>INDEX(weekly!$F$2:$F$188,MATCH('Marketing Campaigns 22.11.22'!L1350,weekly!$H$2:$H$188,0))</f>
        <v>3651.6666666666661</v>
      </c>
      <c r="J1350">
        <v>0</v>
      </c>
      <c r="K1350">
        <v>0</v>
      </c>
      <c r="L1350" t="str">
        <f t="shared" si="42"/>
        <v>37-9-2022</v>
      </c>
      <c r="M1350">
        <f t="shared" si="43"/>
        <v>2022</v>
      </c>
    </row>
    <row r="1351" spans="1:13" x14ac:dyDescent="0.2">
      <c r="A1351" s="1">
        <v>44816</v>
      </c>
      <c r="B1351">
        <v>37</v>
      </c>
      <c r="C1351">
        <v>9</v>
      </c>
      <c r="D1351">
        <v>3</v>
      </c>
      <c r="E1351" t="s">
        <v>51</v>
      </c>
      <c r="F1351">
        <v>0</v>
      </c>
      <c r="G1351">
        <f>INDEX(weekly!$E$2:$E$188,MATCH('Marketing Campaigns 22.11.22'!L1351,weekly!$H$2:$H$188,0))</f>
        <v>6216.9333333333334</v>
      </c>
      <c r="H1351">
        <f>INDEX(weekly!$D$2:$D$188,MATCH('Marketing Campaigns 22.11.22'!L1351,weekly!$H$2:$H$188,0))</f>
        <v>9698.2666666666682</v>
      </c>
      <c r="I1351">
        <f>INDEX(weekly!$F$2:$F$188,MATCH('Marketing Campaigns 22.11.22'!L1351,weekly!$H$2:$H$188,0))</f>
        <v>3651.6666666666661</v>
      </c>
      <c r="J1351">
        <v>0</v>
      </c>
      <c r="K1351">
        <v>0</v>
      </c>
      <c r="L1351" t="str">
        <f t="shared" si="42"/>
        <v>37-9-2022</v>
      </c>
      <c r="M1351">
        <f t="shared" si="43"/>
        <v>2022</v>
      </c>
    </row>
    <row r="1352" spans="1:13" x14ac:dyDescent="0.2">
      <c r="A1352" s="1">
        <v>44816</v>
      </c>
      <c r="B1352">
        <v>37</v>
      </c>
      <c r="C1352">
        <v>9</v>
      </c>
      <c r="D1352">
        <v>3</v>
      </c>
      <c r="E1352" t="s">
        <v>52</v>
      </c>
      <c r="F1352">
        <v>0</v>
      </c>
      <c r="G1352">
        <f>INDEX(weekly!$E$2:$E$188,MATCH('Marketing Campaigns 22.11.22'!L1352,weekly!$H$2:$H$188,0))</f>
        <v>6216.9333333333334</v>
      </c>
      <c r="H1352">
        <f>INDEX(weekly!$D$2:$D$188,MATCH('Marketing Campaigns 22.11.22'!L1352,weekly!$H$2:$H$188,0))</f>
        <v>9698.2666666666682</v>
      </c>
      <c r="I1352">
        <f>INDEX(weekly!$F$2:$F$188,MATCH('Marketing Campaigns 22.11.22'!L1352,weekly!$H$2:$H$188,0))</f>
        <v>3651.6666666666661</v>
      </c>
      <c r="J1352">
        <v>0</v>
      </c>
      <c r="K1352">
        <v>0</v>
      </c>
      <c r="L1352" t="str">
        <f t="shared" si="42"/>
        <v>37-9-2022</v>
      </c>
      <c r="M1352">
        <f t="shared" si="43"/>
        <v>2022</v>
      </c>
    </row>
    <row r="1353" spans="1:13" x14ac:dyDescent="0.2">
      <c r="A1353" s="1">
        <v>44823</v>
      </c>
      <c r="B1353">
        <v>38</v>
      </c>
      <c r="C1353">
        <v>9</v>
      </c>
      <c r="D1353">
        <v>3</v>
      </c>
      <c r="E1353" t="s">
        <v>24</v>
      </c>
      <c r="F1353">
        <v>0</v>
      </c>
      <c r="G1353">
        <f>INDEX(weekly!$E$2:$E$188,MATCH('Marketing Campaigns 22.11.22'!L1353,weekly!$H$2:$H$188,0))</f>
        <v>6216.9333333333334</v>
      </c>
      <c r="H1353">
        <f>INDEX(weekly!$D$2:$D$188,MATCH('Marketing Campaigns 22.11.22'!L1353,weekly!$H$2:$H$188,0))</f>
        <v>9698.2666666666682</v>
      </c>
      <c r="I1353">
        <f>INDEX(weekly!$F$2:$F$188,MATCH('Marketing Campaigns 22.11.22'!L1353,weekly!$H$2:$H$188,0))</f>
        <v>3651.6666666666661</v>
      </c>
      <c r="J1353">
        <v>0</v>
      </c>
      <c r="K1353">
        <v>0</v>
      </c>
      <c r="L1353" t="str">
        <f t="shared" si="42"/>
        <v>38-9-2022</v>
      </c>
      <c r="M1353">
        <f t="shared" si="43"/>
        <v>2022</v>
      </c>
    </row>
    <row r="1354" spans="1:13" x14ac:dyDescent="0.2">
      <c r="A1354" s="1">
        <v>44823</v>
      </c>
      <c r="B1354">
        <v>38</v>
      </c>
      <c r="C1354">
        <v>9</v>
      </c>
      <c r="D1354">
        <v>3</v>
      </c>
      <c r="E1354" t="s">
        <v>39</v>
      </c>
      <c r="F1354">
        <v>0</v>
      </c>
      <c r="G1354">
        <f>INDEX(weekly!$E$2:$E$188,MATCH('Marketing Campaigns 22.11.22'!L1354,weekly!$H$2:$H$188,0))</f>
        <v>6216.9333333333334</v>
      </c>
      <c r="H1354">
        <f>INDEX(weekly!$D$2:$D$188,MATCH('Marketing Campaigns 22.11.22'!L1354,weekly!$H$2:$H$188,0))</f>
        <v>9698.2666666666682</v>
      </c>
      <c r="I1354">
        <f>INDEX(weekly!$F$2:$F$188,MATCH('Marketing Campaigns 22.11.22'!L1354,weekly!$H$2:$H$188,0))</f>
        <v>3651.6666666666661</v>
      </c>
      <c r="J1354">
        <v>0</v>
      </c>
      <c r="K1354">
        <v>0</v>
      </c>
      <c r="L1354" t="str">
        <f t="shared" si="42"/>
        <v>38-9-2022</v>
      </c>
      <c r="M1354">
        <f t="shared" si="43"/>
        <v>2022</v>
      </c>
    </row>
    <row r="1355" spans="1:13" x14ac:dyDescent="0.2">
      <c r="A1355" s="1">
        <v>44823</v>
      </c>
      <c r="B1355">
        <v>38</v>
      </c>
      <c r="C1355">
        <v>9</v>
      </c>
      <c r="D1355">
        <v>3</v>
      </c>
      <c r="E1355" t="s">
        <v>40</v>
      </c>
      <c r="F1355">
        <v>0</v>
      </c>
      <c r="G1355">
        <f>INDEX(weekly!$E$2:$E$188,MATCH('Marketing Campaigns 22.11.22'!L1355,weekly!$H$2:$H$188,0))</f>
        <v>6216.9333333333334</v>
      </c>
      <c r="H1355">
        <f>INDEX(weekly!$D$2:$D$188,MATCH('Marketing Campaigns 22.11.22'!L1355,weekly!$H$2:$H$188,0))</f>
        <v>9698.2666666666682</v>
      </c>
      <c r="I1355">
        <f>INDEX(weekly!$F$2:$F$188,MATCH('Marketing Campaigns 22.11.22'!L1355,weekly!$H$2:$H$188,0))</f>
        <v>3651.6666666666661</v>
      </c>
      <c r="J1355">
        <v>0</v>
      </c>
      <c r="K1355">
        <v>0</v>
      </c>
      <c r="L1355" t="str">
        <f t="shared" si="42"/>
        <v>38-9-2022</v>
      </c>
      <c r="M1355">
        <f t="shared" si="43"/>
        <v>2022</v>
      </c>
    </row>
    <row r="1356" spans="1:13" x14ac:dyDescent="0.2">
      <c r="A1356" s="1">
        <v>44823</v>
      </c>
      <c r="B1356">
        <v>38</v>
      </c>
      <c r="C1356">
        <v>9</v>
      </c>
      <c r="D1356">
        <v>3</v>
      </c>
      <c r="E1356" t="s">
        <v>41</v>
      </c>
      <c r="F1356">
        <v>0</v>
      </c>
      <c r="G1356">
        <f>INDEX(weekly!$E$2:$E$188,MATCH('Marketing Campaigns 22.11.22'!L1356,weekly!$H$2:$H$188,0))</f>
        <v>6216.9333333333334</v>
      </c>
      <c r="H1356">
        <f>INDEX(weekly!$D$2:$D$188,MATCH('Marketing Campaigns 22.11.22'!L1356,weekly!$H$2:$H$188,0))</f>
        <v>9698.2666666666682</v>
      </c>
      <c r="I1356">
        <f>INDEX(weekly!$F$2:$F$188,MATCH('Marketing Campaigns 22.11.22'!L1356,weekly!$H$2:$H$188,0))</f>
        <v>3651.6666666666661</v>
      </c>
      <c r="J1356">
        <v>0</v>
      </c>
      <c r="K1356">
        <v>0</v>
      </c>
      <c r="L1356" t="str">
        <f t="shared" si="42"/>
        <v>38-9-2022</v>
      </c>
      <c r="M1356">
        <f t="shared" si="43"/>
        <v>2022</v>
      </c>
    </row>
    <row r="1357" spans="1:13" x14ac:dyDescent="0.2">
      <c r="A1357" s="1">
        <v>44823</v>
      </c>
      <c r="B1357">
        <v>38</v>
      </c>
      <c r="C1357">
        <v>9</v>
      </c>
      <c r="D1357">
        <v>3</v>
      </c>
      <c r="E1357" t="s">
        <v>42</v>
      </c>
      <c r="F1357">
        <v>0</v>
      </c>
      <c r="G1357">
        <f>INDEX(weekly!$E$2:$E$188,MATCH('Marketing Campaigns 22.11.22'!L1357,weekly!$H$2:$H$188,0))</f>
        <v>6216.9333333333334</v>
      </c>
      <c r="H1357">
        <f>INDEX(weekly!$D$2:$D$188,MATCH('Marketing Campaigns 22.11.22'!L1357,weekly!$H$2:$H$188,0))</f>
        <v>9698.2666666666682</v>
      </c>
      <c r="I1357">
        <f>INDEX(weekly!$F$2:$F$188,MATCH('Marketing Campaigns 22.11.22'!L1357,weekly!$H$2:$H$188,0))</f>
        <v>3651.6666666666661</v>
      </c>
      <c r="J1357">
        <v>0</v>
      </c>
      <c r="K1357">
        <v>0</v>
      </c>
      <c r="L1357" t="str">
        <f t="shared" si="42"/>
        <v>38-9-2022</v>
      </c>
      <c r="M1357">
        <f t="shared" si="43"/>
        <v>2022</v>
      </c>
    </row>
    <row r="1358" spans="1:13" x14ac:dyDescent="0.2">
      <c r="A1358" s="1">
        <v>44823</v>
      </c>
      <c r="B1358">
        <v>38</v>
      </c>
      <c r="C1358">
        <v>9</v>
      </c>
      <c r="D1358">
        <v>3</v>
      </c>
      <c r="E1358" t="s">
        <v>43</v>
      </c>
      <c r="F1358">
        <v>0</v>
      </c>
      <c r="G1358">
        <f>INDEX(weekly!$E$2:$E$188,MATCH('Marketing Campaigns 22.11.22'!L1358,weekly!$H$2:$H$188,0))</f>
        <v>6216.9333333333334</v>
      </c>
      <c r="H1358">
        <f>INDEX(weekly!$D$2:$D$188,MATCH('Marketing Campaigns 22.11.22'!L1358,weekly!$H$2:$H$188,0))</f>
        <v>9698.2666666666682</v>
      </c>
      <c r="I1358">
        <f>INDEX(weekly!$F$2:$F$188,MATCH('Marketing Campaigns 22.11.22'!L1358,weekly!$H$2:$H$188,0))</f>
        <v>3651.6666666666661</v>
      </c>
      <c r="J1358">
        <v>0</v>
      </c>
      <c r="K1358">
        <v>0</v>
      </c>
      <c r="L1358" t="str">
        <f t="shared" si="42"/>
        <v>38-9-2022</v>
      </c>
      <c r="M1358">
        <f t="shared" si="43"/>
        <v>2022</v>
      </c>
    </row>
    <row r="1359" spans="1:13" x14ac:dyDescent="0.2">
      <c r="A1359" s="1">
        <v>44823</v>
      </c>
      <c r="B1359">
        <v>38</v>
      </c>
      <c r="C1359">
        <v>9</v>
      </c>
      <c r="D1359">
        <v>3</v>
      </c>
      <c r="E1359" t="s">
        <v>44</v>
      </c>
      <c r="F1359">
        <v>0</v>
      </c>
      <c r="G1359">
        <f>INDEX(weekly!$E$2:$E$188,MATCH('Marketing Campaigns 22.11.22'!L1359,weekly!$H$2:$H$188,0))</f>
        <v>6216.9333333333334</v>
      </c>
      <c r="H1359">
        <f>INDEX(weekly!$D$2:$D$188,MATCH('Marketing Campaigns 22.11.22'!L1359,weekly!$H$2:$H$188,0))</f>
        <v>9698.2666666666682</v>
      </c>
      <c r="I1359">
        <f>INDEX(weekly!$F$2:$F$188,MATCH('Marketing Campaigns 22.11.22'!L1359,weekly!$H$2:$H$188,0))</f>
        <v>3651.6666666666661</v>
      </c>
      <c r="J1359">
        <v>0</v>
      </c>
      <c r="K1359">
        <v>0</v>
      </c>
      <c r="L1359" t="str">
        <f t="shared" si="42"/>
        <v>38-9-2022</v>
      </c>
      <c r="M1359">
        <f t="shared" si="43"/>
        <v>2022</v>
      </c>
    </row>
    <row r="1360" spans="1:13" x14ac:dyDescent="0.2">
      <c r="A1360" s="1">
        <v>44823</v>
      </c>
      <c r="B1360">
        <v>38</v>
      </c>
      <c r="C1360">
        <v>9</v>
      </c>
      <c r="D1360">
        <v>3</v>
      </c>
      <c r="E1360" t="s">
        <v>45</v>
      </c>
      <c r="F1360">
        <v>0</v>
      </c>
      <c r="G1360">
        <f>INDEX(weekly!$E$2:$E$188,MATCH('Marketing Campaigns 22.11.22'!L1360,weekly!$H$2:$H$188,0))</f>
        <v>6216.9333333333334</v>
      </c>
      <c r="H1360">
        <f>INDEX(weekly!$D$2:$D$188,MATCH('Marketing Campaigns 22.11.22'!L1360,weekly!$H$2:$H$188,0))</f>
        <v>9698.2666666666682</v>
      </c>
      <c r="I1360">
        <f>INDEX(weekly!$F$2:$F$188,MATCH('Marketing Campaigns 22.11.22'!L1360,weekly!$H$2:$H$188,0))</f>
        <v>3651.6666666666661</v>
      </c>
      <c r="J1360">
        <v>0</v>
      </c>
      <c r="K1360">
        <v>0</v>
      </c>
      <c r="L1360" t="str">
        <f t="shared" si="42"/>
        <v>38-9-2022</v>
      </c>
      <c r="M1360">
        <f t="shared" si="43"/>
        <v>2022</v>
      </c>
    </row>
    <row r="1361" spans="1:13" x14ac:dyDescent="0.2">
      <c r="A1361" s="1">
        <v>44823</v>
      </c>
      <c r="B1361">
        <v>38</v>
      </c>
      <c r="C1361">
        <v>9</v>
      </c>
      <c r="D1361">
        <v>3</v>
      </c>
      <c r="E1361" t="s">
        <v>46</v>
      </c>
      <c r="F1361">
        <v>0</v>
      </c>
      <c r="G1361">
        <f>INDEX(weekly!$E$2:$E$188,MATCH('Marketing Campaigns 22.11.22'!L1361,weekly!$H$2:$H$188,0))</f>
        <v>6216.9333333333334</v>
      </c>
      <c r="H1361">
        <f>INDEX(weekly!$D$2:$D$188,MATCH('Marketing Campaigns 22.11.22'!L1361,weekly!$H$2:$H$188,0))</f>
        <v>9698.2666666666682</v>
      </c>
      <c r="I1361">
        <f>INDEX(weekly!$F$2:$F$188,MATCH('Marketing Campaigns 22.11.22'!L1361,weekly!$H$2:$H$188,0))</f>
        <v>3651.6666666666661</v>
      </c>
      <c r="J1361">
        <v>0</v>
      </c>
      <c r="K1361">
        <v>0</v>
      </c>
      <c r="L1361" t="str">
        <f t="shared" si="42"/>
        <v>38-9-2022</v>
      </c>
      <c r="M1361">
        <f t="shared" si="43"/>
        <v>2022</v>
      </c>
    </row>
    <row r="1362" spans="1:13" x14ac:dyDescent="0.2">
      <c r="A1362" s="1">
        <v>44823</v>
      </c>
      <c r="B1362">
        <v>38</v>
      </c>
      <c r="C1362">
        <v>9</v>
      </c>
      <c r="D1362">
        <v>3</v>
      </c>
      <c r="E1362" t="s">
        <v>47</v>
      </c>
      <c r="F1362">
        <v>0</v>
      </c>
      <c r="G1362">
        <f>INDEX(weekly!$E$2:$E$188,MATCH('Marketing Campaigns 22.11.22'!L1362,weekly!$H$2:$H$188,0))</f>
        <v>6216.9333333333334</v>
      </c>
      <c r="H1362">
        <f>INDEX(weekly!$D$2:$D$188,MATCH('Marketing Campaigns 22.11.22'!L1362,weekly!$H$2:$H$188,0))</f>
        <v>9698.2666666666682</v>
      </c>
      <c r="I1362">
        <f>INDEX(weekly!$F$2:$F$188,MATCH('Marketing Campaigns 22.11.22'!L1362,weekly!$H$2:$H$188,0))</f>
        <v>3651.6666666666661</v>
      </c>
      <c r="J1362">
        <v>0</v>
      </c>
      <c r="K1362">
        <v>0</v>
      </c>
      <c r="L1362" t="str">
        <f t="shared" si="42"/>
        <v>38-9-2022</v>
      </c>
      <c r="M1362">
        <f t="shared" si="43"/>
        <v>2022</v>
      </c>
    </row>
    <row r="1363" spans="1:13" x14ac:dyDescent="0.2">
      <c r="A1363" s="1">
        <v>44823</v>
      </c>
      <c r="B1363">
        <v>38</v>
      </c>
      <c r="C1363">
        <v>9</v>
      </c>
      <c r="D1363">
        <v>3</v>
      </c>
      <c r="E1363" t="s">
        <v>48</v>
      </c>
      <c r="F1363">
        <v>0</v>
      </c>
      <c r="G1363">
        <f>INDEX(weekly!$E$2:$E$188,MATCH('Marketing Campaigns 22.11.22'!L1363,weekly!$H$2:$H$188,0))</f>
        <v>6216.9333333333334</v>
      </c>
      <c r="H1363">
        <f>INDEX(weekly!$D$2:$D$188,MATCH('Marketing Campaigns 22.11.22'!L1363,weekly!$H$2:$H$188,0))</f>
        <v>9698.2666666666682</v>
      </c>
      <c r="I1363">
        <f>INDEX(weekly!$F$2:$F$188,MATCH('Marketing Campaigns 22.11.22'!L1363,weekly!$H$2:$H$188,0))</f>
        <v>3651.6666666666661</v>
      </c>
      <c r="J1363">
        <v>0</v>
      </c>
      <c r="K1363">
        <v>0</v>
      </c>
      <c r="L1363" t="str">
        <f t="shared" si="42"/>
        <v>38-9-2022</v>
      </c>
      <c r="M1363">
        <f t="shared" si="43"/>
        <v>2022</v>
      </c>
    </row>
    <row r="1364" spans="1:13" x14ac:dyDescent="0.2">
      <c r="A1364" s="1">
        <v>44823</v>
      </c>
      <c r="B1364">
        <v>38</v>
      </c>
      <c r="C1364">
        <v>9</v>
      </c>
      <c r="D1364">
        <v>3</v>
      </c>
      <c r="E1364" t="s">
        <v>49</v>
      </c>
      <c r="F1364">
        <v>0</v>
      </c>
      <c r="G1364">
        <f>INDEX(weekly!$E$2:$E$188,MATCH('Marketing Campaigns 22.11.22'!L1364,weekly!$H$2:$H$188,0))</f>
        <v>6216.9333333333334</v>
      </c>
      <c r="H1364">
        <f>INDEX(weekly!$D$2:$D$188,MATCH('Marketing Campaigns 22.11.22'!L1364,weekly!$H$2:$H$188,0))</f>
        <v>9698.2666666666682</v>
      </c>
      <c r="I1364">
        <f>INDEX(weekly!$F$2:$F$188,MATCH('Marketing Campaigns 22.11.22'!L1364,weekly!$H$2:$H$188,0))</f>
        <v>3651.6666666666661</v>
      </c>
      <c r="J1364">
        <v>0</v>
      </c>
      <c r="K1364">
        <v>0</v>
      </c>
      <c r="L1364" t="str">
        <f t="shared" si="42"/>
        <v>38-9-2022</v>
      </c>
      <c r="M1364">
        <f t="shared" si="43"/>
        <v>2022</v>
      </c>
    </row>
    <row r="1365" spans="1:13" x14ac:dyDescent="0.2">
      <c r="A1365" s="1">
        <v>44823</v>
      </c>
      <c r="B1365">
        <v>38</v>
      </c>
      <c r="C1365">
        <v>9</v>
      </c>
      <c r="D1365">
        <v>3</v>
      </c>
      <c r="E1365" t="s">
        <v>50</v>
      </c>
      <c r="F1365">
        <v>0</v>
      </c>
      <c r="G1365">
        <f>INDEX(weekly!$E$2:$E$188,MATCH('Marketing Campaigns 22.11.22'!L1365,weekly!$H$2:$H$188,0))</f>
        <v>6216.9333333333334</v>
      </c>
      <c r="H1365">
        <f>INDEX(weekly!$D$2:$D$188,MATCH('Marketing Campaigns 22.11.22'!L1365,weekly!$H$2:$H$188,0))</f>
        <v>9698.2666666666682</v>
      </c>
      <c r="I1365">
        <f>INDEX(weekly!$F$2:$F$188,MATCH('Marketing Campaigns 22.11.22'!L1365,weekly!$H$2:$H$188,0))</f>
        <v>3651.6666666666661</v>
      </c>
      <c r="J1365">
        <v>0</v>
      </c>
      <c r="K1365">
        <v>0</v>
      </c>
      <c r="L1365" t="str">
        <f t="shared" si="42"/>
        <v>38-9-2022</v>
      </c>
      <c r="M1365">
        <f t="shared" si="43"/>
        <v>2022</v>
      </c>
    </row>
    <row r="1366" spans="1:13" x14ac:dyDescent="0.2">
      <c r="A1366" s="1">
        <v>44823</v>
      </c>
      <c r="B1366">
        <v>38</v>
      </c>
      <c r="C1366">
        <v>9</v>
      </c>
      <c r="D1366">
        <v>3</v>
      </c>
      <c r="E1366" t="s">
        <v>51</v>
      </c>
      <c r="F1366">
        <v>0</v>
      </c>
      <c r="G1366">
        <f>INDEX(weekly!$E$2:$E$188,MATCH('Marketing Campaigns 22.11.22'!L1366,weekly!$H$2:$H$188,0))</f>
        <v>6216.9333333333334</v>
      </c>
      <c r="H1366">
        <f>INDEX(weekly!$D$2:$D$188,MATCH('Marketing Campaigns 22.11.22'!L1366,weekly!$H$2:$H$188,0))</f>
        <v>9698.2666666666682</v>
      </c>
      <c r="I1366">
        <f>INDEX(weekly!$F$2:$F$188,MATCH('Marketing Campaigns 22.11.22'!L1366,weekly!$H$2:$H$188,0))</f>
        <v>3651.6666666666661</v>
      </c>
      <c r="J1366">
        <v>0</v>
      </c>
      <c r="K1366">
        <v>0</v>
      </c>
      <c r="L1366" t="str">
        <f t="shared" si="42"/>
        <v>38-9-2022</v>
      </c>
      <c r="M1366">
        <f t="shared" si="43"/>
        <v>2022</v>
      </c>
    </row>
    <row r="1367" spans="1:13" x14ac:dyDescent="0.2">
      <c r="A1367" s="1">
        <v>44823</v>
      </c>
      <c r="B1367">
        <v>38</v>
      </c>
      <c r="C1367">
        <v>9</v>
      </c>
      <c r="D1367">
        <v>3</v>
      </c>
      <c r="E1367" t="s">
        <v>52</v>
      </c>
      <c r="F1367">
        <v>0</v>
      </c>
      <c r="G1367">
        <f>INDEX(weekly!$E$2:$E$188,MATCH('Marketing Campaigns 22.11.22'!L1367,weekly!$H$2:$H$188,0))</f>
        <v>6216.9333333333334</v>
      </c>
      <c r="H1367">
        <f>INDEX(weekly!$D$2:$D$188,MATCH('Marketing Campaigns 22.11.22'!L1367,weekly!$H$2:$H$188,0))</f>
        <v>9698.2666666666682</v>
      </c>
      <c r="I1367">
        <f>INDEX(weekly!$F$2:$F$188,MATCH('Marketing Campaigns 22.11.22'!L1367,weekly!$H$2:$H$188,0))</f>
        <v>3651.6666666666661</v>
      </c>
      <c r="J1367">
        <v>0</v>
      </c>
      <c r="K1367">
        <v>0</v>
      </c>
      <c r="L1367" t="str">
        <f t="shared" si="42"/>
        <v>38-9-2022</v>
      </c>
      <c r="M1367">
        <f t="shared" si="43"/>
        <v>2022</v>
      </c>
    </row>
    <row r="1368" spans="1:13" x14ac:dyDescent="0.2">
      <c r="A1368" s="1">
        <v>44830</v>
      </c>
      <c r="B1368">
        <v>39</v>
      </c>
      <c r="C1368">
        <v>9</v>
      </c>
      <c r="D1368">
        <v>3</v>
      </c>
      <c r="E1368" t="s">
        <v>24</v>
      </c>
      <c r="F1368">
        <v>0</v>
      </c>
      <c r="G1368">
        <f>INDEX(weekly!$E$2:$E$188,MATCH('Marketing Campaigns 22.11.22'!L1368,weekly!$H$2:$H$188,0))</f>
        <v>4440.666666666667</v>
      </c>
      <c r="H1368">
        <f>INDEX(weekly!$D$2:$D$188,MATCH('Marketing Campaigns 22.11.22'!L1368,weekly!$H$2:$H$188,0))</f>
        <v>6927.3333333333339</v>
      </c>
      <c r="I1368">
        <f>INDEX(weekly!$F$2:$F$188,MATCH('Marketing Campaigns 22.11.22'!L1368,weekly!$H$2:$H$188,0))</f>
        <v>2608.333333333333</v>
      </c>
      <c r="J1368">
        <v>0</v>
      </c>
      <c r="K1368">
        <v>0</v>
      </c>
      <c r="L1368" t="str">
        <f t="shared" si="42"/>
        <v>39-9-2022</v>
      </c>
      <c r="M1368">
        <f t="shared" si="43"/>
        <v>2022</v>
      </c>
    </row>
    <row r="1369" spans="1:13" x14ac:dyDescent="0.2">
      <c r="A1369" s="1">
        <v>44830</v>
      </c>
      <c r="B1369">
        <v>39</v>
      </c>
      <c r="C1369">
        <v>9</v>
      </c>
      <c r="D1369">
        <v>3</v>
      </c>
      <c r="E1369" t="s">
        <v>39</v>
      </c>
      <c r="F1369">
        <v>0</v>
      </c>
      <c r="G1369">
        <f>INDEX(weekly!$E$2:$E$188,MATCH('Marketing Campaigns 22.11.22'!L1369,weekly!$H$2:$H$188,0))</f>
        <v>4440.666666666667</v>
      </c>
      <c r="H1369">
        <f>INDEX(weekly!$D$2:$D$188,MATCH('Marketing Campaigns 22.11.22'!L1369,weekly!$H$2:$H$188,0))</f>
        <v>6927.3333333333339</v>
      </c>
      <c r="I1369">
        <f>INDEX(weekly!$F$2:$F$188,MATCH('Marketing Campaigns 22.11.22'!L1369,weekly!$H$2:$H$188,0))</f>
        <v>2608.333333333333</v>
      </c>
      <c r="J1369">
        <v>0</v>
      </c>
      <c r="K1369">
        <v>0</v>
      </c>
      <c r="L1369" t="str">
        <f t="shared" si="42"/>
        <v>39-9-2022</v>
      </c>
      <c r="M1369">
        <f t="shared" si="43"/>
        <v>2022</v>
      </c>
    </row>
    <row r="1370" spans="1:13" x14ac:dyDescent="0.2">
      <c r="A1370" s="1">
        <v>44830</v>
      </c>
      <c r="B1370">
        <v>39</v>
      </c>
      <c r="C1370">
        <v>9</v>
      </c>
      <c r="D1370">
        <v>3</v>
      </c>
      <c r="E1370" t="s">
        <v>40</v>
      </c>
      <c r="F1370">
        <v>0</v>
      </c>
      <c r="G1370">
        <f>INDEX(weekly!$E$2:$E$188,MATCH('Marketing Campaigns 22.11.22'!L1370,weekly!$H$2:$H$188,0))</f>
        <v>4440.666666666667</v>
      </c>
      <c r="H1370">
        <f>INDEX(weekly!$D$2:$D$188,MATCH('Marketing Campaigns 22.11.22'!L1370,weekly!$H$2:$H$188,0))</f>
        <v>6927.3333333333339</v>
      </c>
      <c r="I1370">
        <f>INDEX(weekly!$F$2:$F$188,MATCH('Marketing Campaigns 22.11.22'!L1370,weekly!$H$2:$H$188,0))</f>
        <v>2608.333333333333</v>
      </c>
      <c r="J1370">
        <v>0</v>
      </c>
      <c r="K1370">
        <v>0</v>
      </c>
      <c r="L1370" t="str">
        <f t="shared" si="42"/>
        <v>39-9-2022</v>
      </c>
      <c r="M1370">
        <f t="shared" si="43"/>
        <v>2022</v>
      </c>
    </row>
    <row r="1371" spans="1:13" x14ac:dyDescent="0.2">
      <c r="A1371" s="1">
        <v>44830</v>
      </c>
      <c r="B1371">
        <v>39</v>
      </c>
      <c r="C1371">
        <v>9</v>
      </c>
      <c r="D1371">
        <v>3</v>
      </c>
      <c r="E1371" t="s">
        <v>41</v>
      </c>
      <c r="F1371">
        <v>0</v>
      </c>
      <c r="G1371">
        <f>INDEX(weekly!$E$2:$E$188,MATCH('Marketing Campaigns 22.11.22'!L1371,weekly!$H$2:$H$188,0))</f>
        <v>4440.666666666667</v>
      </c>
      <c r="H1371">
        <f>INDEX(weekly!$D$2:$D$188,MATCH('Marketing Campaigns 22.11.22'!L1371,weekly!$H$2:$H$188,0))</f>
        <v>6927.3333333333339</v>
      </c>
      <c r="I1371">
        <f>INDEX(weekly!$F$2:$F$188,MATCH('Marketing Campaigns 22.11.22'!L1371,weekly!$H$2:$H$188,0))</f>
        <v>2608.333333333333</v>
      </c>
      <c r="J1371">
        <v>0</v>
      </c>
      <c r="K1371">
        <v>0</v>
      </c>
      <c r="L1371" t="str">
        <f t="shared" si="42"/>
        <v>39-9-2022</v>
      </c>
      <c r="M1371">
        <f t="shared" si="43"/>
        <v>2022</v>
      </c>
    </row>
    <row r="1372" spans="1:13" x14ac:dyDescent="0.2">
      <c r="A1372" s="1">
        <v>44830</v>
      </c>
      <c r="B1372">
        <v>39</v>
      </c>
      <c r="C1372">
        <v>9</v>
      </c>
      <c r="D1372">
        <v>3</v>
      </c>
      <c r="E1372" t="s">
        <v>42</v>
      </c>
      <c r="F1372">
        <v>0</v>
      </c>
      <c r="G1372">
        <f>INDEX(weekly!$E$2:$E$188,MATCH('Marketing Campaigns 22.11.22'!L1372,weekly!$H$2:$H$188,0))</f>
        <v>4440.666666666667</v>
      </c>
      <c r="H1372">
        <f>INDEX(weekly!$D$2:$D$188,MATCH('Marketing Campaigns 22.11.22'!L1372,weekly!$H$2:$H$188,0))</f>
        <v>6927.3333333333339</v>
      </c>
      <c r="I1372">
        <f>INDEX(weekly!$F$2:$F$188,MATCH('Marketing Campaigns 22.11.22'!L1372,weekly!$H$2:$H$188,0))</f>
        <v>2608.333333333333</v>
      </c>
      <c r="J1372">
        <v>0</v>
      </c>
      <c r="K1372">
        <v>0</v>
      </c>
      <c r="L1372" t="str">
        <f t="shared" si="42"/>
        <v>39-9-2022</v>
      </c>
      <c r="M1372">
        <f t="shared" si="43"/>
        <v>2022</v>
      </c>
    </row>
    <row r="1373" spans="1:13" x14ac:dyDescent="0.2">
      <c r="A1373" s="1">
        <v>44830</v>
      </c>
      <c r="B1373">
        <v>39</v>
      </c>
      <c r="C1373">
        <v>9</v>
      </c>
      <c r="D1373">
        <v>3</v>
      </c>
      <c r="E1373" t="s">
        <v>43</v>
      </c>
      <c r="F1373">
        <v>0</v>
      </c>
      <c r="G1373">
        <f>INDEX(weekly!$E$2:$E$188,MATCH('Marketing Campaigns 22.11.22'!L1373,weekly!$H$2:$H$188,0))</f>
        <v>4440.666666666667</v>
      </c>
      <c r="H1373">
        <f>INDEX(weekly!$D$2:$D$188,MATCH('Marketing Campaigns 22.11.22'!L1373,weekly!$H$2:$H$188,0))</f>
        <v>6927.3333333333339</v>
      </c>
      <c r="I1373">
        <f>INDEX(weekly!$F$2:$F$188,MATCH('Marketing Campaigns 22.11.22'!L1373,weekly!$H$2:$H$188,0))</f>
        <v>2608.333333333333</v>
      </c>
      <c r="J1373">
        <v>0</v>
      </c>
      <c r="K1373">
        <v>0</v>
      </c>
      <c r="L1373" t="str">
        <f t="shared" si="42"/>
        <v>39-9-2022</v>
      </c>
      <c r="M1373">
        <f t="shared" si="43"/>
        <v>2022</v>
      </c>
    </row>
    <row r="1374" spans="1:13" x14ac:dyDescent="0.2">
      <c r="A1374" s="1">
        <v>44830</v>
      </c>
      <c r="B1374">
        <v>39</v>
      </c>
      <c r="C1374">
        <v>9</v>
      </c>
      <c r="D1374">
        <v>3</v>
      </c>
      <c r="E1374" t="s">
        <v>44</v>
      </c>
      <c r="F1374">
        <v>0</v>
      </c>
      <c r="G1374">
        <f>INDEX(weekly!$E$2:$E$188,MATCH('Marketing Campaigns 22.11.22'!L1374,weekly!$H$2:$H$188,0))</f>
        <v>4440.666666666667</v>
      </c>
      <c r="H1374">
        <f>INDEX(weekly!$D$2:$D$188,MATCH('Marketing Campaigns 22.11.22'!L1374,weekly!$H$2:$H$188,0))</f>
        <v>6927.3333333333339</v>
      </c>
      <c r="I1374">
        <f>INDEX(weekly!$F$2:$F$188,MATCH('Marketing Campaigns 22.11.22'!L1374,weekly!$H$2:$H$188,0))</f>
        <v>2608.333333333333</v>
      </c>
      <c r="J1374">
        <v>0</v>
      </c>
      <c r="K1374">
        <v>0</v>
      </c>
      <c r="L1374" t="str">
        <f t="shared" si="42"/>
        <v>39-9-2022</v>
      </c>
      <c r="M1374">
        <f t="shared" si="43"/>
        <v>2022</v>
      </c>
    </row>
    <row r="1375" spans="1:13" x14ac:dyDescent="0.2">
      <c r="A1375" s="1">
        <v>44830</v>
      </c>
      <c r="B1375">
        <v>39</v>
      </c>
      <c r="C1375">
        <v>9</v>
      </c>
      <c r="D1375">
        <v>3</v>
      </c>
      <c r="E1375" t="s">
        <v>45</v>
      </c>
      <c r="F1375">
        <v>0</v>
      </c>
      <c r="G1375">
        <f>INDEX(weekly!$E$2:$E$188,MATCH('Marketing Campaigns 22.11.22'!L1375,weekly!$H$2:$H$188,0))</f>
        <v>4440.666666666667</v>
      </c>
      <c r="H1375">
        <f>INDEX(weekly!$D$2:$D$188,MATCH('Marketing Campaigns 22.11.22'!L1375,weekly!$H$2:$H$188,0))</f>
        <v>6927.3333333333339</v>
      </c>
      <c r="I1375">
        <f>INDEX(weekly!$F$2:$F$188,MATCH('Marketing Campaigns 22.11.22'!L1375,weekly!$H$2:$H$188,0))</f>
        <v>2608.333333333333</v>
      </c>
      <c r="J1375">
        <v>0</v>
      </c>
      <c r="K1375">
        <v>0</v>
      </c>
      <c r="L1375" t="str">
        <f t="shared" si="42"/>
        <v>39-9-2022</v>
      </c>
      <c r="M1375">
        <f t="shared" si="43"/>
        <v>2022</v>
      </c>
    </row>
    <row r="1376" spans="1:13" x14ac:dyDescent="0.2">
      <c r="A1376" s="1">
        <v>44830</v>
      </c>
      <c r="B1376">
        <v>39</v>
      </c>
      <c r="C1376">
        <v>9</v>
      </c>
      <c r="D1376">
        <v>3</v>
      </c>
      <c r="E1376" t="s">
        <v>46</v>
      </c>
      <c r="F1376">
        <v>0</v>
      </c>
      <c r="G1376">
        <f>INDEX(weekly!$E$2:$E$188,MATCH('Marketing Campaigns 22.11.22'!L1376,weekly!$H$2:$H$188,0))</f>
        <v>4440.666666666667</v>
      </c>
      <c r="H1376">
        <f>INDEX(weekly!$D$2:$D$188,MATCH('Marketing Campaigns 22.11.22'!L1376,weekly!$H$2:$H$188,0))</f>
        <v>6927.3333333333339</v>
      </c>
      <c r="I1376">
        <f>INDEX(weekly!$F$2:$F$188,MATCH('Marketing Campaigns 22.11.22'!L1376,weekly!$H$2:$H$188,0))</f>
        <v>2608.333333333333</v>
      </c>
      <c r="J1376">
        <v>0</v>
      </c>
      <c r="K1376">
        <v>0</v>
      </c>
      <c r="L1376" t="str">
        <f t="shared" si="42"/>
        <v>39-9-2022</v>
      </c>
      <c r="M1376">
        <f t="shared" si="43"/>
        <v>2022</v>
      </c>
    </row>
    <row r="1377" spans="1:13" x14ac:dyDescent="0.2">
      <c r="A1377" s="1">
        <v>44830</v>
      </c>
      <c r="B1377">
        <v>39</v>
      </c>
      <c r="C1377">
        <v>9</v>
      </c>
      <c r="D1377">
        <v>3</v>
      </c>
      <c r="E1377" t="s">
        <v>47</v>
      </c>
      <c r="F1377">
        <v>0</v>
      </c>
      <c r="G1377">
        <f>INDEX(weekly!$E$2:$E$188,MATCH('Marketing Campaigns 22.11.22'!L1377,weekly!$H$2:$H$188,0))</f>
        <v>4440.666666666667</v>
      </c>
      <c r="H1377">
        <f>INDEX(weekly!$D$2:$D$188,MATCH('Marketing Campaigns 22.11.22'!L1377,weekly!$H$2:$H$188,0))</f>
        <v>6927.3333333333339</v>
      </c>
      <c r="I1377">
        <f>INDEX(weekly!$F$2:$F$188,MATCH('Marketing Campaigns 22.11.22'!L1377,weekly!$H$2:$H$188,0))</f>
        <v>2608.333333333333</v>
      </c>
      <c r="J1377">
        <v>0</v>
      </c>
      <c r="K1377">
        <v>0</v>
      </c>
      <c r="L1377" t="str">
        <f t="shared" si="42"/>
        <v>39-9-2022</v>
      </c>
      <c r="M1377">
        <f t="shared" si="43"/>
        <v>2022</v>
      </c>
    </row>
    <row r="1378" spans="1:13" x14ac:dyDescent="0.2">
      <c r="A1378" s="1">
        <v>44830</v>
      </c>
      <c r="B1378">
        <v>39</v>
      </c>
      <c r="C1378">
        <v>9</v>
      </c>
      <c r="D1378">
        <v>3</v>
      </c>
      <c r="E1378" t="s">
        <v>48</v>
      </c>
      <c r="F1378">
        <v>0</v>
      </c>
      <c r="G1378">
        <f>INDEX(weekly!$E$2:$E$188,MATCH('Marketing Campaigns 22.11.22'!L1378,weekly!$H$2:$H$188,0))</f>
        <v>4440.666666666667</v>
      </c>
      <c r="H1378">
        <f>INDEX(weekly!$D$2:$D$188,MATCH('Marketing Campaigns 22.11.22'!L1378,weekly!$H$2:$H$188,0))</f>
        <v>6927.3333333333339</v>
      </c>
      <c r="I1378">
        <f>INDEX(weekly!$F$2:$F$188,MATCH('Marketing Campaigns 22.11.22'!L1378,weekly!$H$2:$H$188,0))</f>
        <v>2608.333333333333</v>
      </c>
      <c r="J1378">
        <v>0</v>
      </c>
      <c r="K1378">
        <v>0</v>
      </c>
      <c r="L1378" t="str">
        <f t="shared" si="42"/>
        <v>39-9-2022</v>
      </c>
      <c r="M1378">
        <f t="shared" si="43"/>
        <v>2022</v>
      </c>
    </row>
    <row r="1379" spans="1:13" x14ac:dyDescent="0.2">
      <c r="A1379" s="1">
        <v>44830</v>
      </c>
      <c r="B1379">
        <v>39</v>
      </c>
      <c r="C1379">
        <v>9</v>
      </c>
      <c r="D1379">
        <v>3</v>
      </c>
      <c r="E1379" t="s">
        <v>49</v>
      </c>
      <c r="F1379">
        <v>0</v>
      </c>
      <c r="G1379">
        <f>INDEX(weekly!$E$2:$E$188,MATCH('Marketing Campaigns 22.11.22'!L1379,weekly!$H$2:$H$188,0))</f>
        <v>4440.666666666667</v>
      </c>
      <c r="H1379">
        <f>INDEX(weekly!$D$2:$D$188,MATCH('Marketing Campaigns 22.11.22'!L1379,weekly!$H$2:$H$188,0))</f>
        <v>6927.3333333333339</v>
      </c>
      <c r="I1379">
        <f>INDEX(weekly!$F$2:$F$188,MATCH('Marketing Campaigns 22.11.22'!L1379,weekly!$H$2:$H$188,0))</f>
        <v>2608.333333333333</v>
      </c>
      <c r="J1379">
        <v>0</v>
      </c>
      <c r="K1379">
        <v>0</v>
      </c>
      <c r="L1379" t="str">
        <f t="shared" si="42"/>
        <v>39-9-2022</v>
      </c>
      <c r="M1379">
        <f t="shared" si="43"/>
        <v>2022</v>
      </c>
    </row>
    <row r="1380" spans="1:13" x14ac:dyDescent="0.2">
      <c r="A1380" s="1">
        <v>44830</v>
      </c>
      <c r="B1380">
        <v>39</v>
      </c>
      <c r="C1380">
        <v>9</v>
      </c>
      <c r="D1380">
        <v>3</v>
      </c>
      <c r="E1380" t="s">
        <v>50</v>
      </c>
      <c r="F1380">
        <v>0</v>
      </c>
      <c r="G1380">
        <f>INDEX(weekly!$E$2:$E$188,MATCH('Marketing Campaigns 22.11.22'!L1380,weekly!$H$2:$H$188,0))</f>
        <v>4440.666666666667</v>
      </c>
      <c r="H1380">
        <f>INDEX(weekly!$D$2:$D$188,MATCH('Marketing Campaigns 22.11.22'!L1380,weekly!$H$2:$H$188,0))</f>
        <v>6927.3333333333339</v>
      </c>
      <c r="I1380">
        <f>INDEX(weekly!$F$2:$F$188,MATCH('Marketing Campaigns 22.11.22'!L1380,weekly!$H$2:$H$188,0))</f>
        <v>2608.333333333333</v>
      </c>
      <c r="J1380">
        <v>0</v>
      </c>
      <c r="K1380">
        <v>0</v>
      </c>
      <c r="L1380" t="str">
        <f t="shared" si="42"/>
        <v>39-9-2022</v>
      </c>
      <c r="M1380">
        <f t="shared" si="43"/>
        <v>2022</v>
      </c>
    </row>
    <row r="1381" spans="1:13" x14ac:dyDescent="0.2">
      <c r="A1381" s="1">
        <v>44830</v>
      </c>
      <c r="B1381">
        <v>39</v>
      </c>
      <c r="C1381">
        <v>9</v>
      </c>
      <c r="D1381">
        <v>3</v>
      </c>
      <c r="E1381" t="s">
        <v>51</v>
      </c>
      <c r="F1381">
        <v>0</v>
      </c>
      <c r="G1381">
        <f>INDEX(weekly!$E$2:$E$188,MATCH('Marketing Campaigns 22.11.22'!L1381,weekly!$H$2:$H$188,0))</f>
        <v>4440.666666666667</v>
      </c>
      <c r="H1381">
        <f>INDEX(weekly!$D$2:$D$188,MATCH('Marketing Campaigns 22.11.22'!L1381,weekly!$H$2:$H$188,0))</f>
        <v>6927.3333333333339</v>
      </c>
      <c r="I1381">
        <f>INDEX(weekly!$F$2:$F$188,MATCH('Marketing Campaigns 22.11.22'!L1381,weekly!$H$2:$H$188,0))</f>
        <v>2608.333333333333</v>
      </c>
      <c r="J1381">
        <v>0</v>
      </c>
      <c r="K1381">
        <v>0</v>
      </c>
      <c r="L1381" t="str">
        <f t="shared" si="42"/>
        <v>39-9-2022</v>
      </c>
      <c r="M1381">
        <f t="shared" si="43"/>
        <v>2022</v>
      </c>
    </row>
    <row r="1382" spans="1:13" x14ac:dyDescent="0.2">
      <c r="A1382" s="1">
        <v>44830</v>
      </c>
      <c r="B1382">
        <v>39</v>
      </c>
      <c r="C1382">
        <v>9</v>
      </c>
      <c r="D1382">
        <v>3</v>
      </c>
      <c r="E1382" t="s">
        <v>52</v>
      </c>
      <c r="F1382">
        <v>0</v>
      </c>
      <c r="G1382">
        <f>INDEX(weekly!$E$2:$E$188,MATCH('Marketing Campaigns 22.11.22'!L1382,weekly!$H$2:$H$188,0))</f>
        <v>4440.666666666667</v>
      </c>
      <c r="H1382">
        <f>INDEX(weekly!$D$2:$D$188,MATCH('Marketing Campaigns 22.11.22'!L1382,weekly!$H$2:$H$188,0))</f>
        <v>6927.3333333333339</v>
      </c>
      <c r="I1382">
        <f>INDEX(weekly!$F$2:$F$188,MATCH('Marketing Campaigns 22.11.22'!L1382,weekly!$H$2:$H$188,0))</f>
        <v>2608.333333333333</v>
      </c>
      <c r="J1382">
        <v>0</v>
      </c>
      <c r="K1382">
        <v>0</v>
      </c>
      <c r="L1382" t="str">
        <f t="shared" si="42"/>
        <v>39-9-2022</v>
      </c>
      <c r="M1382">
        <f t="shared" si="43"/>
        <v>2022</v>
      </c>
    </row>
    <row r="1383" spans="1:13" x14ac:dyDescent="0.2">
      <c r="A1383" s="1">
        <v>44837</v>
      </c>
      <c r="B1383">
        <v>40</v>
      </c>
      <c r="C1383">
        <v>10</v>
      </c>
      <c r="D1383">
        <v>3</v>
      </c>
      <c r="E1383" t="s">
        <v>24</v>
      </c>
      <c r="F1383">
        <v>0</v>
      </c>
      <c r="G1383">
        <f>INDEX(weekly!$E$2:$E$188,MATCH('Marketing Campaigns 22.11.22'!L1383,weekly!$H$2:$H$188,0))</f>
        <v>7037.4838709677415</v>
      </c>
      <c r="H1383">
        <f>INDEX(weekly!$D$2:$D$188,MATCH('Marketing Campaigns 22.11.22'!L1383,weekly!$H$2:$H$188,0))</f>
        <v>10434.967741935483</v>
      </c>
      <c r="I1383">
        <f>INDEX(weekly!$F$2:$F$188,MATCH('Marketing Campaigns 22.11.22'!L1383,weekly!$H$2:$H$188,0))</f>
        <v>1661.0322580645161</v>
      </c>
      <c r="J1383">
        <v>0</v>
      </c>
      <c r="K1383">
        <v>0</v>
      </c>
      <c r="L1383" t="str">
        <f t="shared" si="42"/>
        <v>40-10-2022</v>
      </c>
      <c r="M1383">
        <f t="shared" si="43"/>
        <v>2022</v>
      </c>
    </row>
    <row r="1384" spans="1:13" x14ac:dyDescent="0.2">
      <c r="A1384" s="1">
        <v>44837</v>
      </c>
      <c r="B1384">
        <v>40</v>
      </c>
      <c r="C1384">
        <v>10</v>
      </c>
      <c r="D1384">
        <v>3</v>
      </c>
      <c r="E1384" t="s">
        <v>39</v>
      </c>
      <c r="F1384">
        <v>0</v>
      </c>
      <c r="G1384">
        <f>INDEX(weekly!$E$2:$E$188,MATCH('Marketing Campaigns 22.11.22'!L1384,weekly!$H$2:$H$188,0))</f>
        <v>7037.4838709677415</v>
      </c>
      <c r="H1384">
        <f>INDEX(weekly!$D$2:$D$188,MATCH('Marketing Campaigns 22.11.22'!L1384,weekly!$H$2:$H$188,0))</f>
        <v>10434.967741935483</v>
      </c>
      <c r="I1384">
        <f>INDEX(weekly!$F$2:$F$188,MATCH('Marketing Campaigns 22.11.22'!L1384,weekly!$H$2:$H$188,0))</f>
        <v>1661.0322580645161</v>
      </c>
      <c r="J1384">
        <v>0</v>
      </c>
      <c r="K1384">
        <v>0</v>
      </c>
      <c r="L1384" t="str">
        <f t="shared" si="42"/>
        <v>40-10-2022</v>
      </c>
      <c r="M1384">
        <f t="shared" si="43"/>
        <v>2022</v>
      </c>
    </row>
    <row r="1385" spans="1:13" x14ac:dyDescent="0.2">
      <c r="A1385" s="1">
        <v>44837</v>
      </c>
      <c r="B1385">
        <v>40</v>
      </c>
      <c r="C1385">
        <v>10</v>
      </c>
      <c r="D1385">
        <v>3</v>
      </c>
      <c r="E1385" t="s">
        <v>40</v>
      </c>
      <c r="F1385">
        <v>0</v>
      </c>
      <c r="G1385">
        <f>INDEX(weekly!$E$2:$E$188,MATCH('Marketing Campaigns 22.11.22'!L1385,weekly!$H$2:$H$188,0))</f>
        <v>7037.4838709677415</v>
      </c>
      <c r="H1385">
        <f>INDEX(weekly!$D$2:$D$188,MATCH('Marketing Campaigns 22.11.22'!L1385,weekly!$H$2:$H$188,0))</f>
        <v>10434.967741935483</v>
      </c>
      <c r="I1385">
        <f>INDEX(weekly!$F$2:$F$188,MATCH('Marketing Campaigns 22.11.22'!L1385,weekly!$H$2:$H$188,0))</f>
        <v>1661.0322580645161</v>
      </c>
      <c r="J1385">
        <v>0</v>
      </c>
      <c r="K1385">
        <v>0</v>
      </c>
      <c r="L1385" t="str">
        <f t="shared" si="42"/>
        <v>40-10-2022</v>
      </c>
      <c r="M1385">
        <f t="shared" si="43"/>
        <v>2022</v>
      </c>
    </row>
    <row r="1386" spans="1:13" x14ac:dyDescent="0.2">
      <c r="A1386" s="1">
        <v>44837</v>
      </c>
      <c r="B1386">
        <v>40</v>
      </c>
      <c r="C1386">
        <v>10</v>
      </c>
      <c r="D1386">
        <v>3</v>
      </c>
      <c r="E1386" t="s">
        <v>41</v>
      </c>
      <c r="F1386">
        <v>0</v>
      </c>
      <c r="G1386">
        <f>INDEX(weekly!$E$2:$E$188,MATCH('Marketing Campaigns 22.11.22'!L1386,weekly!$H$2:$H$188,0))</f>
        <v>7037.4838709677415</v>
      </c>
      <c r="H1386">
        <f>INDEX(weekly!$D$2:$D$188,MATCH('Marketing Campaigns 22.11.22'!L1386,weekly!$H$2:$H$188,0))</f>
        <v>10434.967741935483</v>
      </c>
      <c r="I1386">
        <f>INDEX(weekly!$F$2:$F$188,MATCH('Marketing Campaigns 22.11.22'!L1386,weekly!$H$2:$H$188,0))</f>
        <v>1661.0322580645161</v>
      </c>
      <c r="J1386">
        <v>0</v>
      </c>
      <c r="K1386">
        <v>0</v>
      </c>
      <c r="L1386" t="str">
        <f t="shared" si="42"/>
        <v>40-10-2022</v>
      </c>
      <c r="M1386">
        <f t="shared" si="43"/>
        <v>2022</v>
      </c>
    </row>
    <row r="1387" spans="1:13" x14ac:dyDescent="0.2">
      <c r="A1387" s="1">
        <v>44837</v>
      </c>
      <c r="B1387">
        <v>40</v>
      </c>
      <c r="C1387">
        <v>10</v>
      </c>
      <c r="D1387">
        <v>3</v>
      </c>
      <c r="E1387" t="s">
        <v>42</v>
      </c>
      <c r="F1387">
        <v>0</v>
      </c>
      <c r="G1387">
        <f>INDEX(weekly!$E$2:$E$188,MATCH('Marketing Campaigns 22.11.22'!L1387,weekly!$H$2:$H$188,0))</f>
        <v>7037.4838709677415</v>
      </c>
      <c r="H1387">
        <f>INDEX(weekly!$D$2:$D$188,MATCH('Marketing Campaigns 22.11.22'!L1387,weekly!$H$2:$H$188,0))</f>
        <v>10434.967741935483</v>
      </c>
      <c r="I1387">
        <f>INDEX(weekly!$F$2:$F$188,MATCH('Marketing Campaigns 22.11.22'!L1387,weekly!$H$2:$H$188,0))</f>
        <v>1661.0322580645161</v>
      </c>
      <c r="J1387">
        <v>0</v>
      </c>
      <c r="K1387">
        <v>0</v>
      </c>
      <c r="L1387" t="str">
        <f t="shared" si="42"/>
        <v>40-10-2022</v>
      </c>
      <c r="M1387">
        <f t="shared" si="43"/>
        <v>2022</v>
      </c>
    </row>
    <row r="1388" spans="1:13" x14ac:dyDescent="0.2">
      <c r="A1388" s="1">
        <v>44837</v>
      </c>
      <c r="B1388">
        <v>40</v>
      </c>
      <c r="C1388">
        <v>10</v>
      </c>
      <c r="D1388">
        <v>3</v>
      </c>
      <c r="E1388" t="s">
        <v>43</v>
      </c>
      <c r="F1388">
        <v>0</v>
      </c>
      <c r="G1388">
        <f>INDEX(weekly!$E$2:$E$188,MATCH('Marketing Campaigns 22.11.22'!L1388,weekly!$H$2:$H$188,0))</f>
        <v>7037.4838709677415</v>
      </c>
      <c r="H1388">
        <f>INDEX(weekly!$D$2:$D$188,MATCH('Marketing Campaigns 22.11.22'!L1388,weekly!$H$2:$H$188,0))</f>
        <v>10434.967741935483</v>
      </c>
      <c r="I1388">
        <f>INDEX(weekly!$F$2:$F$188,MATCH('Marketing Campaigns 22.11.22'!L1388,weekly!$H$2:$H$188,0))</f>
        <v>1661.0322580645161</v>
      </c>
      <c r="J1388">
        <v>0</v>
      </c>
      <c r="K1388">
        <v>0</v>
      </c>
      <c r="L1388" t="str">
        <f t="shared" si="42"/>
        <v>40-10-2022</v>
      </c>
      <c r="M1388">
        <f t="shared" si="43"/>
        <v>2022</v>
      </c>
    </row>
    <row r="1389" spans="1:13" x14ac:dyDescent="0.2">
      <c r="A1389" s="1">
        <v>44837</v>
      </c>
      <c r="B1389">
        <v>40</v>
      </c>
      <c r="C1389">
        <v>10</v>
      </c>
      <c r="D1389">
        <v>3</v>
      </c>
      <c r="E1389" t="s">
        <v>44</v>
      </c>
      <c r="F1389">
        <v>0</v>
      </c>
      <c r="G1389">
        <f>INDEX(weekly!$E$2:$E$188,MATCH('Marketing Campaigns 22.11.22'!L1389,weekly!$H$2:$H$188,0))</f>
        <v>7037.4838709677415</v>
      </c>
      <c r="H1389">
        <f>INDEX(weekly!$D$2:$D$188,MATCH('Marketing Campaigns 22.11.22'!L1389,weekly!$H$2:$H$188,0))</f>
        <v>10434.967741935483</v>
      </c>
      <c r="I1389">
        <f>INDEX(weekly!$F$2:$F$188,MATCH('Marketing Campaigns 22.11.22'!L1389,weekly!$H$2:$H$188,0))</f>
        <v>1661.0322580645161</v>
      </c>
      <c r="J1389">
        <v>0</v>
      </c>
      <c r="K1389">
        <v>0</v>
      </c>
      <c r="L1389" t="str">
        <f t="shared" si="42"/>
        <v>40-10-2022</v>
      </c>
      <c r="M1389">
        <f t="shared" si="43"/>
        <v>2022</v>
      </c>
    </row>
    <row r="1390" spans="1:13" x14ac:dyDescent="0.2">
      <c r="A1390" s="1">
        <v>44837</v>
      </c>
      <c r="B1390">
        <v>40</v>
      </c>
      <c r="C1390">
        <v>10</v>
      </c>
      <c r="D1390">
        <v>3</v>
      </c>
      <c r="E1390" t="s">
        <v>45</v>
      </c>
      <c r="F1390">
        <v>0</v>
      </c>
      <c r="G1390">
        <f>INDEX(weekly!$E$2:$E$188,MATCH('Marketing Campaigns 22.11.22'!L1390,weekly!$H$2:$H$188,0))</f>
        <v>7037.4838709677415</v>
      </c>
      <c r="H1390">
        <f>INDEX(weekly!$D$2:$D$188,MATCH('Marketing Campaigns 22.11.22'!L1390,weekly!$H$2:$H$188,0))</f>
        <v>10434.967741935483</v>
      </c>
      <c r="I1390">
        <f>INDEX(weekly!$F$2:$F$188,MATCH('Marketing Campaigns 22.11.22'!L1390,weekly!$H$2:$H$188,0))</f>
        <v>1661.0322580645161</v>
      </c>
      <c r="J1390">
        <v>0</v>
      </c>
      <c r="K1390">
        <v>0</v>
      </c>
      <c r="L1390" t="str">
        <f t="shared" si="42"/>
        <v>40-10-2022</v>
      </c>
      <c r="M1390">
        <f t="shared" si="43"/>
        <v>2022</v>
      </c>
    </row>
    <row r="1391" spans="1:13" x14ac:dyDescent="0.2">
      <c r="A1391" s="1">
        <v>44837</v>
      </c>
      <c r="B1391">
        <v>40</v>
      </c>
      <c r="C1391">
        <v>10</v>
      </c>
      <c r="D1391">
        <v>3</v>
      </c>
      <c r="E1391" t="s">
        <v>46</v>
      </c>
      <c r="F1391">
        <v>0</v>
      </c>
      <c r="G1391">
        <f>INDEX(weekly!$E$2:$E$188,MATCH('Marketing Campaigns 22.11.22'!L1391,weekly!$H$2:$H$188,0))</f>
        <v>7037.4838709677415</v>
      </c>
      <c r="H1391">
        <f>INDEX(weekly!$D$2:$D$188,MATCH('Marketing Campaigns 22.11.22'!L1391,weekly!$H$2:$H$188,0))</f>
        <v>10434.967741935483</v>
      </c>
      <c r="I1391">
        <f>INDEX(weekly!$F$2:$F$188,MATCH('Marketing Campaigns 22.11.22'!L1391,weekly!$H$2:$H$188,0))</f>
        <v>1661.0322580645161</v>
      </c>
      <c r="J1391">
        <v>0</v>
      </c>
      <c r="K1391">
        <v>0</v>
      </c>
      <c r="L1391" t="str">
        <f t="shared" si="42"/>
        <v>40-10-2022</v>
      </c>
      <c r="M1391">
        <f t="shared" si="43"/>
        <v>2022</v>
      </c>
    </row>
    <row r="1392" spans="1:13" x14ac:dyDescent="0.2">
      <c r="A1392" s="1">
        <v>44837</v>
      </c>
      <c r="B1392">
        <v>40</v>
      </c>
      <c r="C1392">
        <v>10</v>
      </c>
      <c r="D1392">
        <v>3</v>
      </c>
      <c r="E1392" t="s">
        <v>47</v>
      </c>
      <c r="F1392">
        <v>0</v>
      </c>
      <c r="G1392">
        <f>INDEX(weekly!$E$2:$E$188,MATCH('Marketing Campaigns 22.11.22'!L1392,weekly!$H$2:$H$188,0))</f>
        <v>7037.4838709677415</v>
      </c>
      <c r="H1392">
        <f>INDEX(weekly!$D$2:$D$188,MATCH('Marketing Campaigns 22.11.22'!L1392,weekly!$H$2:$H$188,0))</f>
        <v>10434.967741935483</v>
      </c>
      <c r="I1392">
        <f>INDEX(weekly!$F$2:$F$188,MATCH('Marketing Campaigns 22.11.22'!L1392,weekly!$H$2:$H$188,0))</f>
        <v>1661.0322580645161</v>
      </c>
      <c r="J1392">
        <v>0</v>
      </c>
      <c r="K1392">
        <v>0</v>
      </c>
      <c r="L1392" t="str">
        <f t="shared" si="42"/>
        <v>40-10-2022</v>
      </c>
      <c r="M1392">
        <f t="shared" si="43"/>
        <v>2022</v>
      </c>
    </row>
    <row r="1393" spans="1:13" x14ac:dyDescent="0.2">
      <c r="A1393" s="1">
        <v>44837</v>
      </c>
      <c r="B1393">
        <v>40</v>
      </c>
      <c r="C1393">
        <v>10</v>
      </c>
      <c r="D1393">
        <v>3</v>
      </c>
      <c r="E1393" t="s">
        <v>48</v>
      </c>
      <c r="F1393">
        <v>0</v>
      </c>
      <c r="G1393">
        <f>INDEX(weekly!$E$2:$E$188,MATCH('Marketing Campaigns 22.11.22'!L1393,weekly!$H$2:$H$188,0))</f>
        <v>7037.4838709677415</v>
      </c>
      <c r="H1393">
        <f>INDEX(weekly!$D$2:$D$188,MATCH('Marketing Campaigns 22.11.22'!L1393,weekly!$H$2:$H$188,0))</f>
        <v>10434.967741935483</v>
      </c>
      <c r="I1393">
        <f>INDEX(weekly!$F$2:$F$188,MATCH('Marketing Campaigns 22.11.22'!L1393,weekly!$H$2:$H$188,0))</f>
        <v>1661.0322580645161</v>
      </c>
      <c r="J1393">
        <v>0</v>
      </c>
      <c r="K1393">
        <v>0</v>
      </c>
      <c r="L1393" t="str">
        <f t="shared" si="42"/>
        <v>40-10-2022</v>
      </c>
      <c r="M1393">
        <f t="shared" si="43"/>
        <v>2022</v>
      </c>
    </row>
    <row r="1394" spans="1:13" x14ac:dyDescent="0.2">
      <c r="A1394" s="1">
        <v>44837</v>
      </c>
      <c r="B1394">
        <v>40</v>
      </c>
      <c r="C1394">
        <v>10</v>
      </c>
      <c r="D1394">
        <v>3</v>
      </c>
      <c r="E1394" t="s">
        <v>49</v>
      </c>
      <c r="F1394">
        <v>0</v>
      </c>
      <c r="G1394">
        <f>INDEX(weekly!$E$2:$E$188,MATCH('Marketing Campaigns 22.11.22'!L1394,weekly!$H$2:$H$188,0))</f>
        <v>7037.4838709677415</v>
      </c>
      <c r="H1394">
        <f>INDEX(weekly!$D$2:$D$188,MATCH('Marketing Campaigns 22.11.22'!L1394,weekly!$H$2:$H$188,0))</f>
        <v>10434.967741935483</v>
      </c>
      <c r="I1394">
        <f>INDEX(weekly!$F$2:$F$188,MATCH('Marketing Campaigns 22.11.22'!L1394,weekly!$H$2:$H$188,0))</f>
        <v>1661.0322580645161</v>
      </c>
      <c r="J1394">
        <v>0</v>
      </c>
      <c r="K1394">
        <v>0</v>
      </c>
      <c r="L1394" t="str">
        <f t="shared" si="42"/>
        <v>40-10-2022</v>
      </c>
      <c r="M1394">
        <f t="shared" si="43"/>
        <v>2022</v>
      </c>
    </row>
    <row r="1395" spans="1:13" x14ac:dyDescent="0.2">
      <c r="A1395" s="1">
        <v>44837</v>
      </c>
      <c r="B1395">
        <v>40</v>
      </c>
      <c r="C1395">
        <v>10</v>
      </c>
      <c r="D1395">
        <v>3</v>
      </c>
      <c r="E1395" t="s">
        <v>50</v>
      </c>
      <c r="F1395">
        <v>0</v>
      </c>
      <c r="G1395">
        <f>INDEX(weekly!$E$2:$E$188,MATCH('Marketing Campaigns 22.11.22'!L1395,weekly!$H$2:$H$188,0))</f>
        <v>7037.4838709677415</v>
      </c>
      <c r="H1395">
        <f>INDEX(weekly!$D$2:$D$188,MATCH('Marketing Campaigns 22.11.22'!L1395,weekly!$H$2:$H$188,0))</f>
        <v>10434.967741935483</v>
      </c>
      <c r="I1395">
        <f>INDEX(weekly!$F$2:$F$188,MATCH('Marketing Campaigns 22.11.22'!L1395,weekly!$H$2:$H$188,0))</f>
        <v>1661.0322580645161</v>
      </c>
      <c r="J1395">
        <v>0</v>
      </c>
      <c r="K1395">
        <v>0</v>
      </c>
      <c r="L1395" t="str">
        <f t="shared" si="42"/>
        <v>40-10-2022</v>
      </c>
      <c r="M1395">
        <f t="shared" si="43"/>
        <v>2022</v>
      </c>
    </row>
    <row r="1396" spans="1:13" x14ac:dyDescent="0.2">
      <c r="A1396" s="1">
        <v>44837</v>
      </c>
      <c r="B1396">
        <v>40</v>
      </c>
      <c r="C1396">
        <v>10</v>
      </c>
      <c r="D1396">
        <v>3</v>
      </c>
      <c r="E1396" t="s">
        <v>51</v>
      </c>
      <c r="F1396">
        <v>0</v>
      </c>
      <c r="G1396">
        <f>INDEX(weekly!$E$2:$E$188,MATCH('Marketing Campaigns 22.11.22'!L1396,weekly!$H$2:$H$188,0))</f>
        <v>7037.4838709677415</v>
      </c>
      <c r="H1396">
        <f>INDEX(weekly!$D$2:$D$188,MATCH('Marketing Campaigns 22.11.22'!L1396,weekly!$H$2:$H$188,0))</f>
        <v>10434.967741935483</v>
      </c>
      <c r="I1396">
        <f>INDEX(weekly!$F$2:$F$188,MATCH('Marketing Campaigns 22.11.22'!L1396,weekly!$H$2:$H$188,0))</f>
        <v>1661.0322580645161</v>
      </c>
      <c r="J1396">
        <v>0</v>
      </c>
      <c r="K1396">
        <v>0</v>
      </c>
      <c r="L1396" t="str">
        <f t="shared" si="42"/>
        <v>40-10-2022</v>
      </c>
      <c r="M1396">
        <f t="shared" si="43"/>
        <v>2022</v>
      </c>
    </row>
    <row r="1397" spans="1:13" x14ac:dyDescent="0.2">
      <c r="A1397" s="1">
        <v>44837</v>
      </c>
      <c r="B1397">
        <v>40</v>
      </c>
      <c r="C1397">
        <v>10</v>
      </c>
      <c r="D1397">
        <v>3</v>
      </c>
      <c r="E1397" t="s">
        <v>52</v>
      </c>
      <c r="F1397">
        <v>0</v>
      </c>
      <c r="G1397">
        <f>INDEX(weekly!$E$2:$E$188,MATCH('Marketing Campaigns 22.11.22'!L1397,weekly!$H$2:$H$188,0))</f>
        <v>7037.4838709677415</v>
      </c>
      <c r="H1397">
        <f>INDEX(weekly!$D$2:$D$188,MATCH('Marketing Campaigns 22.11.22'!L1397,weekly!$H$2:$H$188,0))</f>
        <v>10434.967741935483</v>
      </c>
      <c r="I1397">
        <f>INDEX(weekly!$F$2:$F$188,MATCH('Marketing Campaigns 22.11.22'!L1397,weekly!$H$2:$H$188,0))</f>
        <v>1661.0322580645161</v>
      </c>
      <c r="J1397">
        <v>0</v>
      </c>
      <c r="K1397">
        <v>0</v>
      </c>
      <c r="L1397" t="str">
        <f t="shared" si="42"/>
        <v>40-10-2022</v>
      </c>
      <c r="M1397">
        <f t="shared" si="43"/>
        <v>2022</v>
      </c>
    </row>
    <row r="1398" spans="1:13" x14ac:dyDescent="0.2">
      <c r="A1398" s="1">
        <v>44844</v>
      </c>
      <c r="B1398">
        <v>41</v>
      </c>
      <c r="C1398">
        <v>10</v>
      </c>
      <c r="D1398">
        <v>4</v>
      </c>
      <c r="E1398" t="s">
        <v>24</v>
      </c>
      <c r="F1398">
        <v>0</v>
      </c>
      <c r="G1398">
        <f>INDEX(weekly!$E$2:$E$188,MATCH('Marketing Campaigns 22.11.22'!L1398,weekly!$H$2:$H$188,0))</f>
        <v>7037.4838709677415</v>
      </c>
      <c r="H1398">
        <f>INDEX(weekly!$D$2:$D$188,MATCH('Marketing Campaigns 22.11.22'!L1398,weekly!$H$2:$H$188,0))</f>
        <v>10434.967741935483</v>
      </c>
      <c r="I1398">
        <f>INDEX(weekly!$F$2:$F$188,MATCH('Marketing Campaigns 22.11.22'!L1398,weekly!$H$2:$H$188,0))</f>
        <v>1661.0322580645161</v>
      </c>
      <c r="J1398">
        <v>0</v>
      </c>
      <c r="K1398">
        <v>0</v>
      </c>
      <c r="L1398" t="str">
        <f t="shared" si="42"/>
        <v>41-10-2022</v>
      </c>
      <c r="M1398">
        <f t="shared" si="43"/>
        <v>2022</v>
      </c>
    </row>
    <row r="1399" spans="1:13" x14ac:dyDescent="0.2">
      <c r="A1399" s="1">
        <v>44844</v>
      </c>
      <c r="B1399">
        <v>41</v>
      </c>
      <c r="C1399">
        <v>10</v>
      </c>
      <c r="D1399">
        <v>4</v>
      </c>
      <c r="E1399" t="s">
        <v>39</v>
      </c>
      <c r="F1399">
        <v>0</v>
      </c>
      <c r="G1399">
        <f>INDEX(weekly!$E$2:$E$188,MATCH('Marketing Campaigns 22.11.22'!L1399,weekly!$H$2:$H$188,0))</f>
        <v>7037.4838709677415</v>
      </c>
      <c r="H1399">
        <f>INDEX(weekly!$D$2:$D$188,MATCH('Marketing Campaigns 22.11.22'!L1399,weekly!$H$2:$H$188,0))</f>
        <v>10434.967741935483</v>
      </c>
      <c r="I1399">
        <f>INDEX(weekly!$F$2:$F$188,MATCH('Marketing Campaigns 22.11.22'!L1399,weekly!$H$2:$H$188,0))</f>
        <v>1661.0322580645161</v>
      </c>
      <c r="J1399">
        <v>0</v>
      </c>
      <c r="K1399">
        <v>0</v>
      </c>
      <c r="L1399" t="str">
        <f t="shared" si="42"/>
        <v>41-10-2022</v>
      </c>
      <c r="M1399">
        <f t="shared" si="43"/>
        <v>2022</v>
      </c>
    </row>
    <row r="1400" spans="1:13" x14ac:dyDescent="0.2">
      <c r="A1400" s="1">
        <v>44844</v>
      </c>
      <c r="B1400">
        <v>41</v>
      </c>
      <c r="C1400">
        <v>10</v>
      </c>
      <c r="D1400">
        <v>4</v>
      </c>
      <c r="E1400" t="s">
        <v>40</v>
      </c>
      <c r="F1400">
        <v>0</v>
      </c>
      <c r="G1400">
        <f>INDEX(weekly!$E$2:$E$188,MATCH('Marketing Campaigns 22.11.22'!L1400,weekly!$H$2:$H$188,0))</f>
        <v>7037.4838709677415</v>
      </c>
      <c r="H1400">
        <f>INDEX(weekly!$D$2:$D$188,MATCH('Marketing Campaigns 22.11.22'!L1400,weekly!$H$2:$H$188,0))</f>
        <v>10434.967741935483</v>
      </c>
      <c r="I1400">
        <f>INDEX(weekly!$F$2:$F$188,MATCH('Marketing Campaigns 22.11.22'!L1400,weekly!$H$2:$H$188,0))</f>
        <v>1661.0322580645161</v>
      </c>
      <c r="J1400">
        <v>0</v>
      </c>
      <c r="K1400">
        <v>0</v>
      </c>
      <c r="L1400" t="str">
        <f t="shared" si="42"/>
        <v>41-10-2022</v>
      </c>
      <c r="M1400">
        <f t="shared" si="43"/>
        <v>2022</v>
      </c>
    </row>
    <row r="1401" spans="1:13" x14ac:dyDescent="0.2">
      <c r="A1401" s="1">
        <v>44844</v>
      </c>
      <c r="B1401">
        <v>41</v>
      </c>
      <c r="C1401">
        <v>10</v>
      </c>
      <c r="D1401">
        <v>4</v>
      </c>
      <c r="E1401" t="s">
        <v>41</v>
      </c>
      <c r="F1401">
        <v>0</v>
      </c>
      <c r="G1401">
        <f>INDEX(weekly!$E$2:$E$188,MATCH('Marketing Campaigns 22.11.22'!L1401,weekly!$H$2:$H$188,0))</f>
        <v>7037.4838709677415</v>
      </c>
      <c r="H1401">
        <f>INDEX(weekly!$D$2:$D$188,MATCH('Marketing Campaigns 22.11.22'!L1401,weekly!$H$2:$H$188,0))</f>
        <v>10434.967741935483</v>
      </c>
      <c r="I1401">
        <f>INDEX(weekly!$F$2:$F$188,MATCH('Marketing Campaigns 22.11.22'!L1401,weekly!$H$2:$H$188,0))</f>
        <v>1661.0322580645161</v>
      </c>
      <c r="J1401">
        <v>0</v>
      </c>
      <c r="K1401">
        <v>0</v>
      </c>
      <c r="L1401" t="str">
        <f t="shared" si="42"/>
        <v>41-10-2022</v>
      </c>
      <c r="M1401">
        <f t="shared" si="43"/>
        <v>2022</v>
      </c>
    </row>
    <row r="1402" spans="1:13" x14ac:dyDescent="0.2">
      <c r="A1402" s="1">
        <v>44844</v>
      </c>
      <c r="B1402">
        <v>41</v>
      </c>
      <c r="C1402">
        <v>10</v>
      </c>
      <c r="D1402">
        <v>4</v>
      </c>
      <c r="E1402" t="s">
        <v>42</v>
      </c>
      <c r="F1402">
        <v>0</v>
      </c>
      <c r="G1402">
        <f>INDEX(weekly!$E$2:$E$188,MATCH('Marketing Campaigns 22.11.22'!L1402,weekly!$H$2:$H$188,0))</f>
        <v>7037.4838709677415</v>
      </c>
      <c r="H1402">
        <f>INDEX(weekly!$D$2:$D$188,MATCH('Marketing Campaigns 22.11.22'!L1402,weekly!$H$2:$H$188,0))</f>
        <v>10434.967741935483</v>
      </c>
      <c r="I1402">
        <f>INDEX(weekly!$F$2:$F$188,MATCH('Marketing Campaigns 22.11.22'!L1402,weekly!$H$2:$H$188,0))</f>
        <v>1661.0322580645161</v>
      </c>
      <c r="J1402">
        <v>0</v>
      </c>
      <c r="K1402">
        <v>0</v>
      </c>
      <c r="L1402" t="str">
        <f t="shared" si="42"/>
        <v>41-10-2022</v>
      </c>
      <c r="M1402">
        <f t="shared" si="43"/>
        <v>2022</v>
      </c>
    </row>
    <row r="1403" spans="1:13" x14ac:dyDescent="0.2">
      <c r="A1403" s="1">
        <v>44844</v>
      </c>
      <c r="B1403">
        <v>41</v>
      </c>
      <c r="C1403">
        <v>10</v>
      </c>
      <c r="D1403">
        <v>4</v>
      </c>
      <c r="E1403" t="s">
        <v>43</v>
      </c>
      <c r="F1403">
        <v>0</v>
      </c>
      <c r="G1403">
        <f>INDEX(weekly!$E$2:$E$188,MATCH('Marketing Campaigns 22.11.22'!L1403,weekly!$H$2:$H$188,0))</f>
        <v>7037.4838709677415</v>
      </c>
      <c r="H1403">
        <f>INDEX(weekly!$D$2:$D$188,MATCH('Marketing Campaigns 22.11.22'!L1403,weekly!$H$2:$H$188,0))</f>
        <v>10434.967741935483</v>
      </c>
      <c r="I1403">
        <f>INDEX(weekly!$F$2:$F$188,MATCH('Marketing Campaigns 22.11.22'!L1403,weekly!$H$2:$H$188,0))</f>
        <v>1661.0322580645161</v>
      </c>
      <c r="J1403">
        <v>0</v>
      </c>
      <c r="K1403">
        <v>0</v>
      </c>
      <c r="L1403" t="str">
        <f t="shared" si="42"/>
        <v>41-10-2022</v>
      </c>
      <c r="M1403">
        <f t="shared" si="43"/>
        <v>2022</v>
      </c>
    </row>
    <row r="1404" spans="1:13" x14ac:dyDescent="0.2">
      <c r="A1404" s="1">
        <v>44844</v>
      </c>
      <c r="B1404">
        <v>41</v>
      </c>
      <c r="C1404">
        <v>10</v>
      </c>
      <c r="D1404">
        <v>4</v>
      </c>
      <c r="E1404" t="s">
        <v>44</v>
      </c>
      <c r="F1404">
        <v>0</v>
      </c>
      <c r="G1404">
        <f>INDEX(weekly!$E$2:$E$188,MATCH('Marketing Campaigns 22.11.22'!L1404,weekly!$H$2:$H$188,0))</f>
        <v>7037.4838709677415</v>
      </c>
      <c r="H1404">
        <f>INDEX(weekly!$D$2:$D$188,MATCH('Marketing Campaigns 22.11.22'!L1404,weekly!$H$2:$H$188,0))</f>
        <v>10434.967741935483</v>
      </c>
      <c r="I1404">
        <f>INDEX(weekly!$F$2:$F$188,MATCH('Marketing Campaigns 22.11.22'!L1404,weekly!$H$2:$H$188,0))</f>
        <v>1661.0322580645161</v>
      </c>
      <c r="J1404">
        <v>0</v>
      </c>
      <c r="K1404">
        <v>0</v>
      </c>
      <c r="L1404" t="str">
        <f t="shared" si="42"/>
        <v>41-10-2022</v>
      </c>
      <c r="M1404">
        <f t="shared" si="43"/>
        <v>2022</v>
      </c>
    </row>
    <row r="1405" spans="1:13" x14ac:dyDescent="0.2">
      <c r="A1405" s="1">
        <v>44844</v>
      </c>
      <c r="B1405">
        <v>41</v>
      </c>
      <c r="C1405">
        <v>10</v>
      </c>
      <c r="D1405">
        <v>4</v>
      </c>
      <c r="E1405" t="s">
        <v>45</v>
      </c>
      <c r="F1405">
        <v>0</v>
      </c>
      <c r="G1405">
        <f>INDEX(weekly!$E$2:$E$188,MATCH('Marketing Campaigns 22.11.22'!L1405,weekly!$H$2:$H$188,0))</f>
        <v>7037.4838709677415</v>
      </c>
      <c r="H1405">
        <f>INDEX(weekly!$D$2:$D$188,MATCH('Marketing Campaigns 22.11.22'!L1405,weekly!$H$2:$H$188,0))</f>
        <v>10434.967741935483</v>
      </c>
      <c r="I1405">
        <f>INDEX(weekly!$F$2:$F$188,MATCH('Marketing Campaigns 22.11.22'!L1405,weekly!$H$2:$H$188,0))</f>
        <v>1661.0322580645161</v>
      </c>
      <c r="J1405">
        <v>0</v>
      </c>
      <c r="K1405">
        <v>0</v>
      </c>
      <c r="L1405" t="str">
        <f t="shared" si="42"/>
        <v>41-10-2022</v>
      </c>
      <c r="M1405">
        <f t="shared" si="43"/>
        <v>2022</v>
      </c>
    </row>
    <row r="1406" spans="1:13" x14ac:dyDescent="0.2">
      <c r="A1406" s="1">
        <v>44844</v>
      </c>
      <c r="B1406">
        <v>41</v>
      </c>
      <c r="C1406">
        <v>10</v>
      </c>
      <c r="D1406">
        <v>4</v>
      </c>
      <c r="E1406" t="s">
        <v>46</v>
      </c>
      <c r="F1406">
        <v>0</v>
      </c>
      <c r="G1406">
        <f>INDEX(weekly!$E$2:$E$188,MATCH('Marketing Campaigns 22.11.22'!L1406,weekly!$H$2:$H$188,0))</f>
        <v>7037.4838709677415</v>
      </c>
      <c r="H1406">
        <f>INDEX(weekly!$D$2:$D$188,MATCH('Marketing Campaigns 22.11.22'!L1406,weekly!$H$2:$H$188,0))</f>
        <v>10434.967741935483</v>
      </c>
      <c r="I1406">
        <f>INDEX(weekly!$F$2:$F$188,MATCH('Marketing Campaigns 22.11.22'!L1406,weekly!$H$2:$H$188,0))</f>
        <v>1661.0322580645161</v>
      </c>
      <c r="J1406">
        <v>0</v>
      </c>
      <c r="K1406">
        <v>0</v>
      </c>
      <c r="L1406" t="str">
        <f t="shared" si="42"/>
        <v>41-10-2022</v>
      </c>
      <c r="M1406">
        <f t="shared" si="43"/>
        <v>2022</v>
      </c>
    </row>
    <row r="1407" spans="1:13" x14ac:dyDescent="0.2">
      <c r="A1407" s="1">
        <v>44844</v>
      </c>
      <c r="B1407">
        <v>41</v>
      </c>
      <c r="C1407">
        <v>10</v>
      </c>
      <c r="D1407">
        <v>4</v>
      </c>
      <c r="E1407" t="s">
        <v>47</v>
      </c>
      <c r="F1407">
        <v>0</v>
      </c>
      <c r="G1407">
        <f>INDEX(weekly!$E$2:$E$188,MATCH('Marketing Campaigns 22.11.22'!L1407,weekly!$H$2:$H$188,0))</f>
        <v>7037.4838709677415</v>
      </c>
      <c r="H1407">
        <f>INDEX(weekly!$D$2:$D$188,MATCH('Marketing Campaigns 22.11.22'!L1407,weekly!$H$2:$H$188,0))</f>
        <v>10434.967741935483</v>
      </c>
      <c r="I1407">
        <f>INDEX(weekly!$F$2:$F$188,MATCH('Marketing Campaigns 22.11.22'!L1407,weekly!$H$2:$H$188,0))</f>
        <v>1661.0322580645161</v>
      </c>
      <c r="J1407">
        <v>0</v>
      </c>
      <c r="K1407">
        <v>0</v>
      </c>
      <c r="L1407" t="str">
        <f t="shared" si="42"/>
        <v>41-10-2022</v>
      </c>
      <c r="M1407">
        <f t="shared" si="43"/>
        <v>2022</v>
      </c>
    </row>
    <row r="1408" spans="1:13" x14ac:dyDescent="0.2">
      <c r="A1408" s="1">
        <v>44844</v>
      </c>
      <c r="B1408">
        <v>41</v>
      </c>
      <c r="C1408">
        <v>10</v>
      </c>
      <c r="D1408">
        <v>4</v>
      </c>
      <c r="E1408" t="s">
        <v>48</v>
      </c>
      <c r="F1408">
        <v>0</v>
      </c>
      <c r="G1408">
        <f>INDEX(weekly!$E$2:$E$188,MATCH('Marketing Campaigns 22.11.22'!L1408,weekly!$H$2:$H$188,0))</f>
        <v>7037.4838709677415</v>
      </c>
      <c r="H1408">
        <f>INDEX(weekly!$D$2:$D$188,MATCH('Marketing Campaigns 22.11.22'!L1408,weekly!$H$2:$H$188,0))</f>
        <v>10434.967741935483</v>
      </c>
      <c r="I1408">
        <f>INDEX(weekly!$F$2:$F$188,MATCH('Marketing Campaigns 22.11.22'!L1408,weekly!$H$2:$H$188,0))</f>
        <v>1661.0322580645161</v>
      </c>
      <c r="J1408">
        <v>0</v>
      </c>
      <c r="K1408">
        <v>0</v>
      </c>
      <c r="L1408" t="str">
        <f t="shared" si="42"/>
        <v>41-10-2022</v>
      </c>
      <c r="M1408">
        <f t="shared" si="43"/>
        <v>2022</v>
      </c>
    </row>
    <row r="1409" spans="1:13" x14ac:dyDescent="0.2">
      <c r="A1409" s="1">
        <v>44844</v>
      </c>
      <c r="B1409">
        <v>41</v>
      </c>
      <c r="C1409">
        <v>10</v>
      </c>
      <c r="D1409">
        <v>4</v>
      </c>
      <c r="E1409" t="s">
        <v>49</v>
      </c>
      <c r="F1409">
        <v>0</v>
      </c>
      <c r="G1409">
        <f>INDEX(weekly!$E$2:$E$188,MATCH('Marketing Campaigns 22.11.22'!L1409,weekly!$H$2:$H$188,0))</f>
        <v>7037.4838709677415</v>
      </c>
      <c r="H1409">
        <f>INDEX(weekly!$D$2:$D$188,MATCH('Marketing Campaigns 22.11.22'!L1409,weekly!$H$2:$H$188,0))</f>
        <v>10434.967741935483</v>
      </c>
      <c r="I1409">
        <f>INDEX(weekly!$F$2:$F$188,MATCH('Marketing Campaigns 22.11.22'!L1409,weekly!$H$2:$H$188,0))</f>
        <v>1661.0322580645161</v>
      </c>
      <c r="J1409">
        <v>0</v>
      </c>
      <c r="K1409">
        <v>0</v>
      </c>
      <c r="L1409" t="str">
        <f t="shared" si="42"/>
        <v>41-10-2022</v>
      </c>
      <c r="M1409">
        <f t="shared" si="43"/>
        <v>2022</v>
      </c>
    </row>
    <row r="1410" spans="1:13" x14ac:dyDescent="0.2">
      <c r="A1410" s="1">
        <v>44844</v>
      </c>
      <c r="B1410">
        <v>41</v>
      </c>
      <c r="C1410">
        <v>10</v>
      </c>
      <c r="D1410">
        <v>4</v>
      </c>
      <c r="E1410" t="s">
        <v>50</v>
      </c>
      <c r="F1410">
        <v>0</v>
      </c>
      <c r="G1410">
        <f>INDEX(weekly!$E$2:$E$188,MATCH('Marketing Campaigns 22.11.22'!L1410,weekly!$H$2:$H$188,0))</f>
        <v>7037.4838709677415</v>
      </c>
      <c r="H1410">
        <f>INDEX(weekly!$D$2:$D$188,MATCH('Marketing Campaigns 22.11.22'!L1410,weekly!$H$2:$H$188,0))</f>
        <v>10434.967741935483</v>
      </c>
      <c r="I1410">
        <f>INDEX(weekly!$F$2:$F$188,MATCH('Marketing Campaigns 22.11.22'!L1410,weekly!$H$2:$H$188,0))</f>
        <v>1661.0322580645161</v>
      </c>
      <c r="J1410">
        <v>0</v>
      </c>
      <c r="K1410">
        <v>0</v>
      </c>
      <c r="L1410" t="str">
        <f t="shared" si="42"/>
        <v>41-10-2022</v>
      </c>
      <c r="M1410">
        <f t="shared" si="43"/>
        <v>2022</v>
      </c>
    </row>
    <row r="1411" spans="1:13" x14ac:dyDescent="0.2">
      <c r="A1411" s="1">
        <v>44844</v>
      </c>
      <c r="B1411">
        <v>41</v>
      </c>
      <c r="C1411">
        <v>10</v>
      </c>
      <c r="D1411">
        <v>4</v>
      </c>
      <c r="E1411" t="s">
        <v>51</v>
      </c>
      <c r="F1411">
        <v>0</v>
      </c>
      <c r="G1411">
        <f>INDEX(weekly!$E$2:$E$188,MATCH('Marketing Campaigns 22.11.22'!L1411,weekly!$H$2:$H$188,0))</f>
        <v>7037.4838709677415</v>
      </c>
      <c r="H1411">
        <f>INDEX(weekly!$D$2:$D$188,MATCH('Marketing Campaigns 22.11.22'!L1411,weekly!$H$2:$H$188,0))</f>
        <v>10434.967741935483</v>
      </c>
      <c r="I1411">
        <f>INDEX(weekly!$F$2:$F$188,MATCH('Marketing Campaigns 22.11.22'!L1411,weekly!$H$2:$H$188,0))</f>
        <v>1661.0322580645161</v>
      </c>
      <c r="J1411">
        <v>0</v>
      </c>
      <c r="K1411">
        <v>0</v>
      </c>
      <c r="L1411" t="str">
        <f t="shared" si="42"/>
        <v>41-10-2022</v>
      </c>
      <c r="M1411">
        <f t="shared" si="43"/>
        <v>2022</v>
      </c>
    </row>
    <row r="1412" spans="1:13" x14ac:dyDescent="0.2">
      <c r="A1412" s="1">
        <v>44844</v>
      </c>
      <c r="B1412">
        <v>41</v>
      </c>
      <c r="C1412">
        <v>10</v>
      </c>
      <c r="D1412">
        <v>4</v>
      </c>
      <c r="E1412" t="s">
        <v>52</v>
      </c>
      <c r="F1412">
        <v>0</v>
      </c>
      <c r="G1412">
        <f>INDEX(weekly!$E$2:$E$188,MATCH('Marketing Campaigns 22.11.22'!L1412,weekly!$H$2:$H$188,0))</f>
        <v>7037.4838709677415</v>
      </c>
      <c r="H1412">
        <f>INDEX(weekly!$D$2:$D$188,MATCH('Marketing Campaigns 22.11.22'!L1412,weekly!$H$2:$H$188,0))</f>
        <v>10434.967741935483</v>
      </c>
      <c r="I1412">
        <f>INDEX(weekly!$F$2:$F$188,MATCH('Marketing Campaigns 22.11.22'!L1412,weekly!$H$2:$H$188,0))</f>
        <v>1661.0322580645161</v>
      </c>
      <c r="J1412">
        <v>0</v>
      </c>
      <c r="K1412">
        <v>0</v>
      </c>
      <c r="L1412" t="str">
        <f t="shared" ref="L1412:L1475" si="44">B1412&amp;"-"&amp;C1412&amp;"-"&amp;M1412</f>
        <v>41-10-2022</v>
      </c>
      <c r="M1412">
        <f t="shared" ref="M1412:M1475" si="45">YEAR(A1412)</f>
        <v>2022</v>
      </c>
    </row>
    <row r="1413" spans="1:13" x14ac:dyDescent="0.2">
      <c r="A1413" s="1">
        <v>44851</v>
      </c>
      <c r="B1413">
        <v>42</v>
      </c>
      <c r="C1413">
        <v>10</v>
      </c>
      <c r="D1413">
        <v>4</v>
      </c>
      <c r="E1413" t="s">
        <v>24</v>
      </c>
      <c r="F1413">
        <v>0</v>
      </c>
      <c r="G1413">
        <f>INDEX(weekly!$E$2:$E$188,MATCH('Marketing Campaigns 22.11.22'!L1413,weekly!$H$2:$H$188,0))</f>
        <v>7037.4838709677415</v>
      </c>
      <c r="H1413">
        <f>INDEX(weekly!$D$2:$D$188,MATCH('Marketing Campaigns 22.11.22'!L1413,weekly!$H$2:$H$188,0))</f>
        <v>10434.967741935483</v>
      </c>
      <c r="I1413">
        <f>INDEX(weekly!$F$2:$F$188,MATCH('Marketing Campaigns 22.11.22'!L1413,weekly!$H$2:$H$188,0))</f>
        <v>1661.0322580645161</v>
      </c>
      <c r="J1413">
        <v>0</v>
      </c>
      <c r="K1413">
        <v>0</v>
      </c>
      <c r="L1413" t="str">
        <f t="shared" si="44"/>
        <v>42-10-2022</v>
      </c>
      <c r="M1413">
        <f t="shared" si="45"/>
        <v>2022</v>
      </c>
    </row>
    <row r="1414" spans="1:13" x14ac:dyDescent="0.2">
      <c r="A1414" s="1">
        <v>44851</v>
      </c>
      <c r="B1414">
        <v>42</v>
      </c>
      <c r="C1414">
        <v>10</v>
      </c>
      <c r="D1414">
        <v>4</v>
      </c>
      <c r="E1414" t="s">
        <v>39</v>
      </c>
      <c r="F1414">
        <v>0</v>
      </c>
      <c r="G1414">
        <f>INDEX(weekly!$E$2:$E$188,MATCH('Marketing Campaigns 22.11.22'!L1414,weekly!$H$2:$H$188,0))</f>
        <v>7037.4838709677415</v>
      </c>
      <c r="H1414">
        <f>INDEX(weekly!$D$2:$D$188,MATCH('Marketing Campaigns 22.11.22'!L1414,weekly!$H$2:$H$188,0))</f>
        <v>10434.967741935483</v>
      </c>
      <c r="I1414">
        <f>INDEX(weekly!$F$2:$F$188,MATCH('Marketing Campaigns 22.11.22'!L1414,weekly!$H$2:$H$188,0))</f>
        <v>1661.0322580645161</v>
      </c>
      <c r="J1414">
        <v>0</v>
      </c>
      <c r="K1414">
        <v>0</v>
      </c>
      <c r="L1414" t="str">
        <f t="shared" si="44"/>
        <v>42-10-2022</v>
      </c>
      <c r="M1414">
        <f t="shared" si="45"/>
        <v>2022</v>
      </c>
    </row>
    <row r="1415" spans="1:13" x14ac:dyDescent="0.2">
      <c r="A1415" s="1">
        <v>44851</v>
      </c>
      <c r="B1415">
        <v>42</v>
      </c>
      <c r="C1415">
        <v>10</v>
      </c>
      <c r="D1415">
        <v>4</v>
      </c>
      <c r="E1415" t="s">
        <v>40</v>
      </c>
      <c r="F1415">
        <v>0</v>
      </c>
      <c r="G1415">
        <f>INDEX(weekly!$E$2:$E$188,MATCH('Marketing Campaigns 22.11.22'!L1415,weekly!$H$2:$H$188,0))</f>
        <v>7037.4838709677415</v>
      </c>
      <c r="H1415">
        <f>INDEX(weekly!$D$2:$D$188,MATCH('Marketing Campaigns 22.11.22'!L1415,weekly!$H$2:$H$188,0))</f>
        <v>10434.967741935483</v>
      </c>
      <c r="I1415">
        <f>INDEX(weekly!$F$2:$F$188,MATCH('Marketing Campaigns 22.11.22'!L1415,weekly!$H$2:$H$188,0))</f>
        <v>1661.0322580645161</v>
      </c>
      <c r="J1415">
        <v>0</v>
      </c>
      <c r="K1415">
        <v>0</v>
      </c>
      <c r="L1415" t="str">
        <f t="shared" si="44"/>
        <v>42-10-2022</v>
      </c>
      <c r="M1415">
        <f t="shared" si="45"/>
        <v>2022</v>
      </c>
    </row>
    <row r="1416" spans="1:13" x14ac:dyDescent="0.2">
      <c r="A1416" s="1">
        <v>44851</v>
      </c>
      <c r="B1416">
        <v>42</v>
      </c>
      <c r="C1416">
        <v>10</v>
      </c>
      <c r="D1416">
        <v>4</v>
      </c>
      <c r="E1416" t="s">
        <v>41</v>
      </c>
      <c r="F1416">
        <v>0</v>
      </c>
      <c r="G1416">
        <f>INDEX(weekly!$E$2:$E$188,MATCH('Marketing Campaigns 22.11.22'!L1416,weekly!$H$2:$H$188,0))</f>
        <v>7037.4838709677415</v>
      </c>
      <c r="H1416">
        <f>INDEX(weekly!$D$2:$D$188,MATCH('Marketing Campaigns 22.11.22'!L1416,weekly!$H$2:$H$188,0))</f>
        <v>10434.967741935483</v>
      </c>
      <c r="I1416">
        <f>INDEX(weekly!$F$2:$F$188,MATCH('Marketing Campaigns 22.11.22'!L1416,weekly!$H$2:$H$188,0))</f>
        <v>1661.0322580645161</v>
      </c>
      <c r="J1416">
        <v>0</v>
      </c>
      <c r="K1416">
        <v>0</v>
      </c>
      <c r="L1416" t="str">
        <f t="shared" si="44"/>
        <v>42-10-2022</v>
      </c>
      <c r="M1416">
        <f t="shared" si="45"/>
        <v>2022</v>
      </c>
    </row>
    <row r="1417" spans="1:13" x14ac:dyDescent="0.2">
      <c r="A1417" s="1">
        <v>44851</v>
      </c>
      <c r="B1417">
        <v>42</v>
      </c>
      <c r="C1417">
        <v>10</v>
      </c>
      <c r="D1417">
        <v>4</v>
      </c>
      <c r="E1417" t="s">
        <v>42</v>
      </c>
      <c r="F1417">
        <v>0</v>
      </c>
      <c r="G1417">
        <f>INDEX(weekly!$E$2:$E$188,MATCH('Marketing Campaigns 22.11.22'!L1417,weekly!$H$2:$H$188,0))</f>
        <v>7037.4838709677415</v>
      </c>
      <c r="H1417">
        <f>INDEX(weekly!$D$2:$D$188,MATCH('Marketing Campaigns 22.11.22'!L1417,weekly!$H$2:$H$188,0))</f>
        <v>10434.967741935483</v>
      </c>
      <c r="I1417">
        <f>INDEX(weekly!$F$2:$F$188,MATCH('Marketing Campaigns 22.11.22'!L1417,weekly!$H$2:$H$188,0))</f>
        <v>1661.0322580645161</v>
      </c>
      <c r="J1417">
        <v>0</v>
      </c>
      <c r="K1417">
        <v>0</v>
      </c>
      <c r="L1417" t="str">
        <f t="shared" si="44"/>
        <v>42-10-2022</v>
      </c>
      <c r="M1417">
        <f t="shared" si="45"/>
        <v>2022</v>
      </c>
    </row>
    <row r="1418" spans="1:13" x14ac:dyDescent="0.2">
      <c r="A1418" s="1">
        <v>44851</v>
      </c>
      <c r="B1418">
        <v>42</v>
      </c>
      <c r="C1418">
        <v>10</v>
      </c>
      <c r="D1418">
        <v>4</v>
      </c>
      <c r="E1418" t="s">
        <v>43</v>
      </c>
      <c r="F1418">
        <v>0</v>
      </c>
      <c r="G1418">
        <f>INDEX(weekly!$E$2:$E$188,MATCH('Marketing Campaigns 22.11.22'!L1418,weekly!$H$2:$H$188,0))</f>
        <v>7037.4838709677415</v>
      </c>
      <c r="H1418">
        <f>INDEX(weekly!$D$2:$D$188,MATCH('Marketing Campaigns 22.11.22'!L1418,weekly!$H$2:$H$188,0))</f>
        <v>10434.967741935483</v>
      </c>
      <c r="I1418">
        <f>INDEX(weekly!$F$2:$F$188,MATCH('Marketing Campaigns 22.11.22'!L1418,weekly!$H$2:$H$188,0))</f>
        <v>1661.0322580645161</v>
      </c>
      <c r="J1418">
        <v>0</v>
      </c>
      <c r="K1418">
        <v>0</v>
      </c>
      <c r="L1418" t="str">
        <f t="shared" si="44"/>
        <v>42-10-2022</v>
      </c>
      <c r="M1418">
        <f t="shared" si="45"/>
        <v>2022</v>
      </c>
    </row>
    <row r="1419" spans="1:13" x14ac:dyDescent="0.2">
      <c r="A1419" s="1">
        <v>44851</v>
      </c>
      <c r="B1419">
        <v>42</v>
      </c>
      <c r="C1419">
        <v>10</v>
      </c>
      <c r="D1419">
        <v>4</v>
      </c>
      <c r="E1419" t="s">
        <v>44</v>
      </c>
      <c r="F1419">
        <v>0</v>
      </c>
      <c r="G1419">
        <f>INDEX(weekly!$E$2:$E$188,MATCH('Marketing Campaigns 22.11.22'!L1419,weekly!$H$2:$H$188,0))</f>
        <v>7037.4838709677415</v>
      </c>
      <c r="H1419">
        <f>INDEX(weekly!$D$2:$D$188,MATCH('Marketing Campaigns 22.11.22'!L1419,weekly!$H$2:$H$188,0))</f>
        <v>10434.967741935483</v>
      </c>
      <c r="I1419">
        <f>INDEX(weekly!$F$2:$F$188,MATCH('Marketing Campaigns 22.11.22'!L1419,weekly!$H$2:$H$188,0))</f>
        <v>1661.0322580645161</v>
      </c>
      <c r="J1419">
        <v>0</v>
      </c>
      <c r="K1419">
        <v>0</v>
      </c>
      <c r="L1419" t="str">
        <f t="shared" si="44"/>
        <v>42-10-2022</v>
      </c>
      <c r="M1419">
        <f t="shared" si="45"/>
        <v>2022</v>
      </c>
    </row>
    <row r="1420" spans="1:13" x14ac:dyDescent="0.2">
      <c r="A1420" s="1">
        <v>44851</v>
      </c>
      <c r="B1420">
        <v>42</v>
      </c>
      <c r="C1420">
        <v>10</v>
      </c>
      <c r="D1420">
        <v>4</v>
      </c>
      <c r="E1420" t="s">
        <v>45</v>
      </c>
      <c r="F1420">
        <v>0</v>
      </c>
      <c r="G1420">
        <f>INDEX(weekly!$E$2:$E$188,MATCH('Marketing Campaigns 22.11.22'!L1420,weekly!$H$2:$H$188,0))</f>
        <v>7037.4838709677415</v>
      </c>
      <c r="H1420">
        <f>INDEX(weekly!$D$2:$D$188,MATCH('Marketing Campaigns 22.11.22'!L1420,weekly!$H$2:$H$188,0))</f>
        <v>10434.967741935483</v>
      </c>
      <c r="I1420">
        <f>INDEX(weekly!$F$2:$F$188,MATCH('Marketing Campaigns 22.11.22'!L1420,weekly!$H$2:$H$188,0))</f>
        <v>1661.0322580645161</v>
      </c>
      <c r="J1420">
        <v>0</v>
      </c>
      <c r="K1420">
        <v>0</v>
      </c>
      <c r="L1420" t="str">
        <f t="shared" si="44"/>
        <v>42-10-2022</v>
      </c>
      <c r="M1420">
        <f t="shared" si="45"/>
        <v>2022</v>
      </c>
    </row>
    <row r="1421" spans="1:13" x14ac:dyDescent="0.2">
      <c r="A1421" s="1">
        <v>44851</v>
      </c>
      <c r="B1421">
        <v>42</v>
      </c>
      <c r="C1421">
        <v>10</v>
      </c>
      <c r="D1421">
        <v>4</v>
      </c>
      <c r="E1421" t="s">
        <v>46</v>
      </c>
      <c r="F1421">
        <v>0</v>
      </c>
      <c r="G1421">
        <f>INDEX(weekly!$E$2:$E$188,MATCH('Marketing Campaigns 22.11.22'!L1421,weekly!$H$2:$H$188,0))</f>
        <v>7037.4838709677415</v>
      </c>
      <c r="H1421">
        <f>INDEX(weekly!$D$2:$D$188,MATCH('Marketing Campaigns 22.11.22'!L1421,weekly!$H$2:$H$188,0))</f>
        <v>10434.967741935483</v>
      </c>
      <c r="I1421">
        <f>INDEX(weekly!$F$2:$F$188,MATCH('Marketing Campaigns 22.11.22'!L1421,weekly!$H$2:$H$188,0))</f>
        <v>1661.0322580645161</v>
      </c>
      <c r="J1421">
        <v>0</v>
      </c>
      <c r="K1421">
        <v>0</v>
      </c>
      <c r="L1421" t="str">
        <f t="shared" si="44"/>
        <v>42-10-2022</v>
      </c>
      <c r="M1421">
        <f t="shared" si="45"/>
        <v>2022</v>
      </c>
    </row>
    <row r="1422" spans="1:13" x14ac:dyDescent="0.2">
      <c r="A1422" s="1">
        <v>44851</v>
      </c>
      <c r="B1422">
        <v>42</v>
      </c>
      <c r="C1422">
        <v>10</v>
      </c>
      <c r="D1422">
        <v>4</v>
      </c>
      <c r="E1422" t="s">
        <v>47</v>
      </c>
      <c r="F1422">
        <v>0</v>
      </c>
      <c r="G1422">
        <f>INDEX(weekly!$E$2:$E$188,MATCH('Marketing Campaigns 22.11.22'!L1422,weekly!$H$2:$H$188,0))</f>
        <v>7037.4838709677415</v>
      </c>
      <c r="H1422">
        <f>INDEX(weekly!$D$2:$D$188,MATCH('Marketing Campaigns 22.11.22'!L1422,weekly!$H$2:$H$188,0))</f>
        <v>10434.967741935483</v>
      </c>
      <c r="I1422">
        <f>INDEX(weekly!$F$2:$F$188,MATCH('Marketing Campaigns 22.11.22'!L1422,weekly!$H$2:$H$188,0))</f>
        <v>1661.0322580645161</v>
      </c>
      <c r="J1422">
        <v>0</v>
      </c>
      <c r="K1422">
        <v>0</v>
      </c>
      <c r="L1422" t="str">
        <f t="shared" si="44"/>
        <v>42-10-2022</v>
      </c>
      <c r="M1422">
        <f t="shared" si="45"/>
        <v>2022</v>
      </c>
    </row>
    <row r="1423" spans="1:13" x14ac:dyDescent="0.2">
      <c r="A1423" s="1">
        <v>44851</v>
      </c>
      <c r="B1423">
        <v>42</v>
      </c>
      <c r="C1423">
        <v>10</v>
      </c>
      <c r="D1423">
        <v>4</v>
      </c>
      <c r="E1423" t="s">
        <v>48</v>
      </c>
      <c r="F1423">
        <v>0</v>
      </c>
      <c r="G1423">
        <f>INDEX(weekly!$E$2:$E$188,MATCH('Marketing Campaigns 22.11.22'!L1423,weekly!$H$2:$H$188,0))</f>
        <v>7037.4838709677415</v>
      </c>
      <c r="H1423">
        <f>INDEX(weekly!$D$2:$D$188,MATCH('Marketing Campaigns 22.11.22'!L1423,weekly!$H$2:$H$188,0))</f>
        <v>10434.967741935483</v>
      </c>
      <c r="I1423">
        <f>INDEX(weekly!$F$2:$F$188,MATCH('Marketing Campaigns 22.11.22'!L1423,weekly!$H$2:$H$188,0))</f>
        <v>1661.0322580645161</v>
      </c>
      <c r="J1423">
        <v>0</v>
      </c>
      <c r="K1423">
        <v>0</v>
      </c>
      <c r="L1423" t="str">
        <f t="shared" si="44"/>
        <v>42-10-2022</v>
      </c>
      <c r="M1423">
        <f t="shared" si="45"/>
        <v>2022</v>
      </c>
    </row>
    <row r="1424" spans="1:13" x14ac:dyDescent="0.2">
      <c r="A1424" s="1">
        <v>44851</v>
      </c>
      <c r="B1424">
        <v>42</v>
      </c>
      <c r="C1424">
        <v>10</v>
      </c>
      <c r="D1424">
        <v>4</v>
      </c>
      <c r="E1424" t="s">
        <v>49</v>
      </c>
      <c r="F1424">
        <v>0</v>
      </c>
      <c r="G1424">
        <f>INDEX(weekly!$E$2:$E$188,MATCH('Marketing Campaigns 22.11.22'!L1424,weekly!$H$2:$H$188,0))</f>
        <v>7037.4838709677415</v>
      </c>
      <c r="H1424">
        <f>INDEX(weekly!$D$2:$D$188,MATCH('Marketing Campaigns 22.11.22'!L1424,weekly!$H$2:$H$188,0))</f>
        <v>10434.967741935483</v>
      </c>
      <c r="I1424">
        <f>INDEX(weekly!$F$2:$F$188,MATCH('Marketing Campaigns 22.11.22'!L1424,weekly!$H$2:$H$188,0))</f>
        <v>1661.0322580645161</v>
      </c>
      <c r="J1424">
        <v>0</v>
      </c>
      <c r="K1424">
        <v>0</v>
      </c>
      <c r="L1424" t="str">
        <f t="shared" si="44"/>
        <v>42-10-2022</v>
      </c>
      <c r="M1424">
        <f t="shared" si="45"/>
        <v>2022</v>
      </c>
    </row>
    <row r="1425" spans="1:13" x14ac:dyDescent="0.2">
      <c r="A1425" s="1">
        <v>44851</v>
      </c>
      <c r="B1425">
        <v>42</v>
      </c>
      <c r="C1425">
        <v>10</v>
      </c>
      <c r="D1425">
        <v>4</v>
      </c>
      <c r="E1425" t="s">
        <v>50</v>
      </c>
      <c r="F1425">
        <v>0</v>
      </c>
      <c r="G1425">
        <f>INDEX(weekly!$E$2:$E$188,MATCH('Marketing Campaigns 22.11.22'!L1425,weekly!$H$2:$H$188,0))</f>
        <v>7037.4838709677415</v>
      </c>
      <c r="H1425">
        <f>INDEX(weekly!$D$2:$D$188,MATCH('Marketing Campaigns 22.11.22'!L1425,weekly!$H$2:$H$188,0))</f>
        <v>10434.967741935483</v>
      </c>
      <c r="I1425">
        <f>INDEX(weekly!$F$2:$F$188,MATCH('Marketing Campaigns 22.11.22'!L1425,weekly!$H$2:$H$188,0))</f>
        <v>1661.0322580645161</v>
      </c>
      <c r="J1425">
        <v>0</v>
      </c>
      <c r="K1425">
        <v>0</v>
      </c>
      <c r="L1425" t="str">
        <f t="shared" si="44"/>
        <v>42-10-2022</v>
      </c>
      <c r="M1425">
        <f t="shared" si="45"/>
        <v>2022</v>
      </c>
    </row>
    <row r="1426" spans="1:13" x14ac:dyDescent="0.2">
      <c r="A1426" s="1">
        <v>44851</v>
      </c>
      <c r="B1426">
        <v>42</v>
      </c>
      <c r="C1426">
        <v>10</v>
      </c>
      <c r="D1426">
        <v>4</v>
      </c>
      <c r="E1426" t="s">
        <v>51</v>
      </c>
      <c r="F1426">
        <v>0</v>
      </c>
      <c r="G1426">
        <f>INDEX(weekly!$E$2:$E$188,MATCH('Marketing Campaigns 22.11.22'!L1426,weekly!$H$2:$H$188,0))</f>
        <v>7037.4838709677415</v>
      </c>
      <c r="H1426">
        <f>INDEX(weekly!$D$2:$D$188,MATCH('Marketing Campaigns 22.11.22'!L1426,weekly!$H$2:$H$188,0))</f>
        <v>10434.967741935483</v>
      </c>
      <c r="I1426">
        <f>INDEX(weekly!$F$2:$F$188,MATCH('Marketing Campaigns 22.11.22'!L1426,weekly!$H$2:$H$188,0))</f>
        <v>1661.0322580645161</v>
      </c>
      <c r="J1426">
        <v>0</v>
      </c>
      <c r="K1426">
        <v>0</v>
      </c>
      <c r="L1426" t="str">
        <f t="shared" si="44"/>
        <v>42-10-2022</v>
      </c>
      <c r="M1426">
        <f t="shared" si="45"/>
        <v>2022</v>
      </c>
    </row>
    <row r="1427" spans="1:13" x14ac:dyDescent="0.2">
      <c r="A1427" s="1">
        <v>44851</v>
      </c>
      <c r="B1427">
        <v>42</v>
      </c>
      <c r="C1427">
        <v>10</v>
      </c>
      <c r="D1427">
        <v>4</v>
      </c>
      <c r="E1427" t="s">
        <v>52</v>
      </c>
      <c r="F1427">
        <v>0</v>
      </c>
      <c r="G1427">
        <f>INDEX(weekly!$E$2:$E$188,MATCH('Marketing Campaigns 22.11.22'!L1427,weekly!$H$2:$H$188,0))</f>
        <v>7037.4838709677415</v>
      </c>
      <c r="H1427">
        <f>INDEX(weekly!$D$2:$D$188,MATCH('Marketing Campaigns 22.11.22'!L1427,weekly!$H$2:$H$188,0))</f>
        <v>10434.967741935483</v>
      </c>
      <c r="I1427">
        <f>INDEX(weekly!$F$2:$F$188,MATCH('Marketing Campaigns 22.11.22'!L1427,weekly!$H$2:$H$188,0))</f>
        <v>1661.0322580645161</v>
      </c>
      <c r="J1427">
        <v>0</v>
      </c>
      <c r="K1427">
        <v>0</v>
      </c>
      <c r="L1427" t="str">
        <f t="shared" si="44"/>
        <v>42-10-2022</v>
      </c>
      <c r="M1427">
        <f t="shared" si="45"/>
        <v>2022</v>
      </c>
    </row>
    <row r="1428" spans="1:13" x14ac:dyDescent="0.2">
      <c r="A1428" s="1">
        <v>44858</v>
      </c>
      <c r="B1428">
        <v>43</v>
      </c>
      <c r="C1428">
        <v>10</v>
      </c>
      <c r="D1428">
        <v>4</v>
      </c>
      <c r="E1428" t="s">
        <v>24</v>
      </c>
      <c r="F1428">
        <v>0</v>
      </c>
      <c r="G1428">
        <f>INDEX(weekly!$E$2:$E$188,MATCH('Marketing Campaigns 22.11.22'!L1428,weekly!$H$2:$H$188,0))</f>
        <v>7037.4838709677415</v>
      </c>
      <c r="H1428">
        <f>INDEX(weekly!$D$2:$D$188,MATCH('Marketing Campaigns 22.11.22'!L1428,weekly!$H$2:$H$188,0))</f>
        <v>10434.967741935483</v>
      </c>
      <c r="I1428">
        <f>INDEX(weekly!$F$2:$F$188,MATCH('Marketing Campaigns 22.11.22'!L1428,weekly!$H$2:$H$188,0))</f>
        <v>1661.0322580645161</v>
      </c>
      <c r="J1428">
        <v>0</v>
      </c>
      <c r="K1428">
        <v>0</v>
      </c>
      <c r="L1428" t="str">
        <f t="shared" si="44"/>
        <v>43-10-2022</v>
      </c>
      <c r="M1428">
        <f t="shared" si="45"/>
        <v>2022</v>
      </c>
    </row>
    <row r="1429" spans="1:13" x14ac:dyDescent="0.2">
      <c r="A1429" s="1">
        <v>44858</v>
      </c>
      <c r="B1429">
        <v>43</v>
      </c>
      <c r="C1429">
        <v>10</v>
      </c>
      <c r="D1429">
        <v>4</v>
      </c>
      <c r="E1429" t="s">
        <v>39</v>
      </c>
      <c r="F1429">
        <v>0</v>
      </c>
      <c r="G1429">
        <f>INDEX(weekly!$E$2:$E$188,MATCH('Marketing Campaigns 22.11.22'!L1429,weekly!$H$2:$H$188,0))</f>
        <v>7037.4838709677415</v>
      </c>
      <c r="H1429">
        <f>INDEX(weekly!$D$2:$D$188,MATCH('Marketing Campaigns 22.11.22'!L1429,weekly!$H$2:$H$188,0))</f>
        <v>10434.967741935483</v>
      </c>
      <c r="I1429">
        <f>INDEX(weekly!$F$2:$F$188,MATCH('Marketing Campaigns 22.11.22'!L1429,weekly!$H$2:$H$188,0))</f>
        <v>1661.0322580645161</v>
      </c>
      <c r="J1429">
        <v>0</v>
      </c>
      <c r="K1429">
        <v>0</v>
      </c>
      <c r="L1429" t="str">
        <f t="shared" si="44"/>
        <v>43-10-2022</v>
      </c>
      <c r="M1429">
        <f t="shared" si="45"/>
        <v>2022</v>
      </c>
    </row>
    <row r="1430" spans="1:13" x14ac:dyDescent="0.2">
      <c r="A1430" s="1">
        <v>44858</v>
      </c>
      <c r="B1430">
        <v>43</v>
      </c>
      <c r="C1430">
        <v>10</v>
      </c>
      <c r="D1430">
        <v>4</v>
      </c>
      <c r="E1430" t="s">
        <v>40</v>
      </c>
      <c r="F1430">
        <v>0</v>
      </c>
      <c r="G1430">
        <f>INDEX(weekly!$E$2:$E$188,MATCH('Marketing Campaigns 22.11.22'!L1430,weekly!$H$2:$H$188,0))</f>
        <v>7037.4838709677415</v>
      </c>
      <c r="H1430">
        <f>INDEX(weekly!$D$2:$D$188,MATCH('Marketing Campaigns 22.11.22'!L1430,weekly!$H$2:$H$188,0))</f>
        <v>10434.967741935483</v>
      </c>
      <c r="I1430">
        <f>INDEX(weekly!$F$2:$F$188,MATCH('Marketing Campaigns 22.11.22'!L1430,weekly!$H$2:$H$188,0))</f>
        <v>1661.0322580645161</v>
      </c>
      <c r="J1430">
        <v>0</v>
      </c>
      <c r="K1430">
        <v>0</v>
      </c>
      <c r="L1430" t="str">
        <f t="shared" si="44"/>
        <v>43-10-2022</v>
      </c>
      <c r="M1430">
        <f t="shared" si="45"/>
        <v>2022</v>
      </c>
    </row>
    <row r="1431" spans="1:13" x14ac:dyDescent="0.2">
      <c r="A1431" s="1">
        <v>44858</v>
      </c>
      <c r="B1431">
        <v>43</v>
      </c>
      <c r="C1431">
        <v>10</v>
      </c>
      <c r="D1431">
        <v>4</v>
      </c>
      <c r="E1431" t="s">
        <v>41</v>
      </c>
      <c r="F1431">
        <v>0</v>
      </c>
      <c r="G1431">
        <f>INDEX(weekly!$E$2:$E$188,MATCH('Marketing Campaigns 22.11.22'!L1431,weekly!$H$2:$H$188,0))</f>
        <v>7037.4838709677415</v>
      </c>
      <c r="H1431">
        <f>INDEX(weekly!$D$2:$D$188,MATCH('Marketing Campaigns 22.11.22'!L1431,weekly!$H$2:$H$188,0))</f>
        <v>10434.967741935483</v>
      </c>
      <c r="I1431">
        <f>INDEX(weekly!$F$2:$F$188,MATCH('Marketing Campaigns 22.11.22'!L1431,weekly!$H$2:$H$188,0))</f>
        <v>1661.0322580645161</v>
      </c>
      <c r="J1431">
        <v>0</v>
      </c>
      <c r="K1431">
        <v>0</v>
      </c>
      <c r="L1431" t="str">
        <f t="shared" si="44"/>
        <v>43-10-2022</v>
      </c>
      <c r="M1431">
        <f t="shared" si="45"/>
        <v>2022</v>
      </c>
    </row>
    <row r="1432" spans="1:13" x14ac:dyDescent="0.2">
      <c r="A1432" s="1">
        <v>44858</v>
      </c>
      <c r="B1432">
        <v>43</v>
      </c>
      <c r="C1432">
        <v>10</v>
      </c>
      <c r="D1432">
        <v>4</v>
      </c>
      <c r="E1432" t="s">
        <v>42</v>
      </c>
      <c r="F1432">
        <v>0</v>
      </c>
      <c r="G1432">
        <f>INDEX(weekly!$E$2:$E$188,MATCH('Marketing Campaigns 22.11.22'!L1432,weekly!$H$2:$H$188,0))</f>
        <v>7037.4838709677415</v>
      </c>
      <c r="H1432">
        <f>INDEX(weekly!$D$2:$D$188,MATCH('Marketing Campaigns 22.11.22'!L1432,weekly!$H$2:$H$188,0))</f>
        <v>10434.967741935483</v>
      </c>
      <c r="I1432">
        <f>INDEX(weekly!$F$2:$F$188,MATCH('Marketing Campaigns 22.11.22'!L1432,weekly!$H$2:$H$188,0))</f>
        <v>1661.0322580645161</v>
      </c>
      <c r="J1432">
        <v>0</v>
      </c>
      <c r="K1432">
        <v>0</v>
      </c>
      <c r="L1432" t="str">
        <f t="shared" si="44"/>
        <v>43-10-2022</v>
      </c>
      <c r="M1432">
        <f t="shared" si="45"/>
        <v>2022</v>
      </c>
    </row>
    <row r="1433" spans="1:13" x14ac:dyDescent="0.2">
      <c r="A1433" s="1">
        <v>44858</v>
      </c>
      <c r="B1433">
        <v>43</v>
      </c>
      <c r="C1433">
        <v>10</v>
      </c>
      <c r="D1433">
        <v>4</v>
      </c>
      <c r="E1433" t="s">
        <v>43</v>
      </c>
      <c r="F1433">
        <v>0</v>
      </c>
      <c r="G1433">
        <f>INDEX(weekly!$E$2:$E$188,MATCH('Marketing Campaigns 22.11.22'!L1433,weekly!$H$2:$H$188,0))</f>
        <v>7037.4838709677415</v>
      </c>
      <c r="H1433">
        <f>INDEX(weekly!$D$2:$D$188,MATCH('Marketing Campaigns 22.11.22'!L1433,weekly!$H$2:$H$188,0))</f>
        <v>10434.967741935483</v>
      </c>
      <c r="I1433">
        <f>INDEX(weekly!$F$2:$F$188,MATCH('Marketing Campaigns 22.11.22'!L1433,weekly!$H$2:$H$188,0))</f>
        <v>1661.0322580645161</v>
      </c>
      <c r="J1433">
        <v>0</v>
      </c>
      <c r="K1433">
        <v>0</v>
      </c>
      <c r="L1433" t="str">
        <f t="shared" si="44"/>
        <v>43-10-2022</v>
      </c>
      <c r="M1433">
        <f t="shared" si="45"/>
        <v>2022</v>
      </c>
    </row>
    <row r="1434" spans="1:13" x14ac:dyDescent="0.2">
      <c r="A1434" s="1">
        <v>44858</v>
      </c>
      <c r="B1434">
        <v>43</v>
      </c>
      <c r="C1434">
        <v>10</v>
      </c>
      <c r="D1434">
        <v>4</v>
      </c>
      <c r="E1434" t="s">
        <v>44</v>
      </c>
      <c r="F1434">
        <v>0</v>
      </c>
      <c r="G1434">
        <f>INDEX(weekly!$E$2:$E$188,MATCH('Marketing Campaigns 22.11.22'!L1434,weekly!$H$2:$H$188,0))</f>
        <v>7037.4838709677415</v>
      </c>
      <c r="H1434">
        <f>INDEX(weekly!$D$2:$D$188,MATCH('Marketing Campaigns 22.11.22'!L1434,weekly!$H$2:$H$188,0))</f>
        <v>10434.967741935483</v>
      </c>
      <c r="I1434">
        <f>INDEX(weekly!$F$2:$F$188,MATCH('Marketing Campaigns 22.11.22'!L1434,weekly!$H$2:$H$188,0))</f>
        <v>1661.0322580645161</v>
      </c>
      <c r="J1434">
        <v>0</v>
      </c>
      <c r="K1434">
        <v>0</v>
      </c>
      <c r="L1434" t="str">
        <f t="shared" si="44"/>
        <v>43-10-2022</v>
      </c>
      <c r="M1434">
        <f t="shared" si="45"/>
        <v>2022</v>
      </c>
    </row>
    <row r="1435" spans="1:13" x14ac:dyDescent="0.2">
      <c r="A1435" s="1">
        <v>44858</v>
      </c>
      <c r="B1435">
        <v>43</v>
      </c>
      <c r="C1435">
        <v>10</v>
      </c>
      <c r="D1435">
        <v>4</v>
      </c>
      <c r="E1435" t="s">
        <v>45</v>
      </c>
      <c r="F1435">
        <v>0</v>
      </c>
      <c r="G1435">
        <f>INDEX(weekly!$E$2:$E$188,MATCH('Marketing Campaigns 22.11.22'!L1435,weekly!$H$2:$H$188,0))</f>
        <v>7037.4838709677415</v>
      </c>
      <c r="H1435">
        <f>INDEX(weekly!$D$2:$D$188,MATCH('Marketing Campaigns 22.11.22'!L1435,weekly!$H$2:$H$188,0))</f>
        <v>10434.967741935483</v>
      </c>
      <c r="I1435">
        <f>INDEX(weekly!$F$2:$F$188,MATCH('Marketing Campaigns 22.11.22'!L1435,weekly!$H$2:$H$188,0))</f>
        <v>1661.0322580645161</v>
      </c>
      <c r="J1435">
        <v>0</v>
      </c>
      <c r="K1435">
        <v>0</v>
      </c>
      <c r="L1435" t="str">
        <f t="shared" si="44"/>
        <v>43-10-2022</v>
      </c>
      <c r="M1435">
        <f t="shared" si="45"/>
        <v>2022</v>
      </c>
    </row>
    <row r="1436" spans="1:13" x14ac:dyDescent="0.2">
      <c r="A1436" s="1">
        <v>44858</v>
      </c>
      <c r="B1436">
        <v>43</v>
      </c>
      <c r="C1436">
        <v>10</v>
      </c>
      <c r="D1436">
        <v>4</v>
      </c>
      <c r="E1436" t="s">
        <v>46</v>
      </c>
      <c r="F1436">
        <v>0</v>
      </c>
      <c r="G1436">
        <f>INDEX(weekly!$E$2:$E$188,MATCH('Marketing Campaigns 22.11.22'!L1436,weekly!$H$2:$H$188,0))</f>
        <v>7037.4838709677415</v>
      </c>
      <c r="H1436">
        <f>INDEX(weekly!$D$2:$D$188,MATCH('Marketing Campaigns 22.11.22'!L1436,weekly!$H$2:$H$188,0))</f>
        <v>10434.967741935483</v>
      </c>
      <c r="I1436">
        <f>INDEX(weekly!$F$2:$F$188,MATCH('Marketing Campaigns 22.11.22'!L1436,weekly!$H$2:$H$188,0))</f>
        <v>1661.0322580645161</v>
      </c>
      <c r="J1436">
        <v>0</v>
      </c>
      <c r="K1436">
        <v>0</v>
      </c>
      <c r="L1436" t="str">
        <f t="shared" si="44"/>
        <v>43-10-2022</v>
      </c>
      <c r="M1436">
        <f t="shared" si="45"/>
        <v>2022</v>
      </c>
    </row>
    <row r="1437" spans="1:13" x14ac:dyDescent="0.2">
      <c r="A1437" s="1">
        <v>44858</v>
      </c>
      <c r="B1437">
        <v>43</v>
      </c>
      <c r="C1437">
        <v>10</v>
      </c>
      <c r="D1437">
        <v>4</v>
      </c>
      <c r="E1437" t="s">
        <v>47</v>
      </c>
      <c r="F1437">
        <v>0</v>
      </c>
      <c r="G1437">
        <f>INDEX(weekly!$E$2:$E$188,MATCH('Marketing Campaigns 22.11.22'!L1437,weekly!$H$2:$H$188,0))</f>
        <v>7037.4838709677415</v>
      </c>
      <c r="H1437">
        <f>INDEX(weekly!$D$2:$D$188,MATCH('Marketing Campaigns 22.11.22'!L1437,weekly!$H$2:$H$188,0))</f>
        <v>10434.967741935483</v>
      </c>
      <c r="I1437">
        <f>INDEX(weekly!$F$2:$F$188,MATCH('Marketing Campaigns 22.11.22'!L1437,weekly!$H$2:$H$188,0))</f>
        <v>1661.0322580645161</v>
      </c>
      <c r="J1437">
        <v>0</v>
      </c>
      <c r="K1437">
        <v>0</v>
      </c>
      <c r="L1437" t="str">
        <f t="shared" si="44"/>
        <v>43-10-2022</v>
      </c>
      <c r="M1437">
        <f t="shared" si="45"/>
        <v>2022</v>
      </c>
    </row>
    <row r="1438" spans="1:13" x14ac:dyDescent="0.2">
      <c r="A1438" s="1">
        <v>44858</v>
      </c>
      <c r="B1438">
        <v>43</v>
      </c>
      <c r="C1438">
        <v>10</v>
      </c>
      <c r="D1438">
        <v>4</v>
      </c>
      <c r="E1438" t="s">
        <v>48</v>
      </c>
      <c r="F1438">
        <v>0</v>
      </c>
      <c r="G1438">
        <f>INDEX(weekly!$E$2:$E$188,MATCH('Marketing Campaigns 22.11.22'!L1438,weekly!$H$2:$H$188,0))</f>
        <v>7037.4838709677415</v>
      </c>
      <c r="H1438">
        <f>INDEX(weekly!$D$2:$D$188,MATCH('Marketing Campaigns 22.11.22'!L1438,weekly!$H$2:$H$188,0))</f>
        <v>10434.967741935483</v>
      </c>
      <c r="I1438">
        <f>INDEX(weekly!$F$2:$F$188,MATCH('Marketing Campaigns 22.11.22'!L1438,weekly!$H$2:$H$188,0))</f>
        <v>1661.0322580645161</v>
      </c>
      <c r="J1438">
        <v>0</v>
      </c>
      <c r="K1438">
        <v>0</v>
      </c>
      <c r="L1438" t="str">
        <f t="shared" si="44"/>
        <v>43-10-2022</v>
      </c>
      <c r="M1438">
        <f t="shared" si="45"/>
        <v>2022</v>
      </c>
    </row>
    <row r="1439" spans="1:13" x14ac:dyDescent="0.2">
      <c r="A1439" s="1">
        <v>44858</v>
      </c>
      <c r="B1439">
        <v>43</v>
      </c>
      <c r="C1439">
        <v>10</v>
      </c>
      <c r="D1439">
        <v>4</v>
      </c>
      <c r="E1439" t="s">
        <v>49</v>
      </c>
      <c r="F1439">
        <v>0</v>
      </c>
      <c r="G1439">
        <f>INDEX(weekly!$E$2:$E$188,MATCH('Marketing Campaigns 22.11.22'!L1439,weekly!$H$2:$H$188,0))</f>
        <v>7037.4838709677415</v>
      </c>
      <c r="H1439">
        <f>INDEX(weekly!$D$2:$D$188,MATCH('Marketing Campaigns 22.11.22'!L1439,weekly!$H$2:$H$188,0))</f>
        <v>10434.967741935483</v>
      </c>
      <c r="I1439">
        <f>INDEX(weekly!$F$2:$F$188,MATCH('Marketing Campaigns 22.11.22'!L1439,weekly!$H$2:$H$188,0))</f>
        <v>1661.0322580645161</v>
      </c>
      <c r="J1439">
        <v>0</v>
      </c>
      <c r="K1439">
        <v>0</v>
      </c>
      <c r="L1439" t="str">
        <f t="shared" si="44"/>
        <v>43-10-2022</v>
      </c>
      <c r="M1439">
        <f t="shared" si="45"/>
        <v>2022</v>
      </c>
    </row>
    <row r="1440" spans="1:13" x14ac:dyDescent="0.2">
      <c r="A1440" s="1">
        <v>44858</v>
      </c>
      <c r="B1440">
        <v>43</v>
      </c>
      <c r="C1440">
        <v>10</v>
      </c>
      <c r="D1440">
        <v>4</v>
      </c>
      <c r="E1440" t="s">
        <v>50</v>
      </c>
      <c r="F1440">
        <v>0</v>
      </c>
      <c r="G1440">
        <f>INDEX(weekly!$E$2:$E$188,MATCH('Marketing Campaigns 22.11.22'!L1440,weekly!$H$2:$H$188,0))</f>
        <v>7037.4838709677415</v>
      </c>
      <c r="H1440">
        <f>INDEX(weekly!$D$2:$D$188,MATCH('Marketing Campaigns 22.11.22'!L1440,weekly!$H$2:$H$188,0))</f>
        <v>10434.967741935483</v>
      </c>
      <c r="I1440">
        <f>INDEX(weekly!$F$2:$F$188,MATCH('Marketing Campaigns 22.11.22'!L1440,weekly!$H$2:$H$188,0))</f>
        <v>1661.0322580645161</v>
      </c>
      <c r="J1440">
        <v>0</v>
      </c>
      <c r="K1440">
        <v>0</v>
      </c>
      <c r="L1440" t="str">
        <f t="shared" si="44"/>
        <v>43-10-2022</v>
      </c>
      <c r="M1440">
        <f t="shared" si="45"/>
        <v>2022</v>
      </c>
    </row>
    <row r="1441" spans="1:13" x14ac:dyDescent="0.2">
      <c r="A1441" s="1">
        <v>44858</v>
      </c>
      <c r="B1441">
        <v>43</v>
      </c>
      <c r="C1441">
        <v>10</v>
      </c>
      <c r="D1441">
        <v>4</v>
      </c>
      <c r="E1441" t="s">
        <v>51</v>
      </c>
      <c r="F1441">
        <v>0</v>
      </c>
      <c r="G1441">
        <f>INDEX(weekly!$E$2:$E$188,MATCH('Marketing Campaigns 22.11.22'!L1441,weekly!$H$2:$H$188,0))</f>
        <v>7037.4838709677415</v>
      </c>
      <c r="H1441">
        <f>INDEX(weekly!$D$2:$D$188,MATCH('Marketing Campaigns 22.11.22'!L1441,weekly!$H$2:$H$188,0))</f>
        <v>10434.967741935483</v>
      </c>
      <c r="I1441">
        <f>INDEX(weekly!$F$2:$F$188,MATCH('Marketing Campaigns 22.11.22'!L1441,weekly!$H$2:$H$188,0))</f>
        <v>1661.0322580645161</v>
      </c>
      <c r="J1441">
        <v>0</v>
      </c>
      <c r="K1441">
        <v>0</v>
      </c>
      <c r="L1441" t="str">
        <f t="shared" si="44"/>
        <v>43-10-2022</v>
      </c>
      <c r="M1441">
        <f t="shared" si="45"/>
        <v>2022</v>
      </c>
    </row>
    <row r="1442" spans="1:13" x14ac:dyDescent="0.2">
      <c r="A1442" s="1">
        <v>44858</v>
      </c>
      <c r="B1442">
        <v>43</v>
      </c>
      <c r="C1442">
        <v>10</v>
      </c>
      <c r="D1442">
        <v>4</v>
      </c>
      <c r="E1442" t="s">
        <v>52</v>
      </c>
      <c r="F1442">
        <v>0</v>
      </c>
      <c r="G1442">
        <f>INDEX(weekly!$E$2:$E$188,MATCH('Marketing Campaigns 22.11.22'!L1442,weekly!$H$2:$H$188,0))</f>
        <v>7037.4838709677415</v>
      </c>
      <c r="H1442">
        <f>INDEX(weekly!$D$2:$D$188,MATCH('Marketing Campaigns 22.11.22'!L1442,weekly!$H$2:$H$188,0))</f>
        <v>10434.967741935483</v>
      </c>
      <c r="I1442">
        <f>INDEX(weekly!$F$2:$F$188,MATCH('Marketing Campaigns 22.11.22'!L1442,weekly!$H$2:$H$188,0))</f>
        <v>1661.0322580645161</v>
      </c>
      <c r="J1442">
        <v>0</v>
      </c>
      <c r="K1442">
        <v>0</v>
      </c>
      <c r="L1442" t="str">
        <f t="shared" si="44"/>
        <v>43-10-2022</v>
      </c>
      <c r="M1442">
        <f t="shared" si="45"/>
        <v>2022</v>
      </c>
    </row>
    <row r="1443" spans="1:13" x14ac:dyDescent="0.2">
      <c r="A1443" s="1">
        <v>44865</v>
      </c>
      <c r="B1443">
        <v>44</v>
      </c>
      <c r="C1443">
        <v>10</v>
      </c>
      <c r="D1443">
        <v>4</v>
      </c>
      <c r="E1443" t="s">
        <v>24</v>
      </c>
      <c r="F1443">
        <v>0</v>
      </c>
      <c r="G1443">
        <f>INDEX(weekly!$E$2:$E$188,MATCH('Marketing Campaigns 22.11.22'!L1443,weekly!$H$2:$H$188,0))</f>
        <v>1005.3548387096774</v>
      </c>
      <c r="H1443">
        <f>INDEX(weekly!$D$2:$D$188,MATCH('Marketing Campaigns 22.11.22'!L1443,weekly!$H$2:$H$188,0))</f>
        <v>1490.7096774193549</v>
      </c>
      <c r="I1443">
        <f>INDEX(weekly!$F$2:$F$188,MATCH('Marketing Campaigns 22.11.22'!L1443,weekly!$H$2:$H$188,0))</f>
        <v>237.29032258064515</v>
      </c>
      <c r="J1443">
        <v>0</v>
      </c>
      <c r="K1443">
        <v>0</v>
      </c>
      <c r="L1443" t="str">
        <f t="shared" si="44"/>
        <v>44-10-2022</v>
      </c>
      <c r="M1443">
        <f t="shared" si="45"/>
        <v>2022</v>
      </c>
    </row>
    <row r="1444" spans="1:13" x14ac:dyDescent="0.2">
      <c r="A1444" s="1">
        <v>44865</v>
      </c>
      <c r="B1444">
        <v>44</v>
      </c>
      <c r="C1444">
        <v>10</v>
      </c>
      <c r="D1444">
        <v>4</v>
      </c>
      <c r="E1444" t="s">
        <v>39</v>
      </c>
      <c r="F1444">
        <v>0</v>
      </c>
      <c r="G1444">
        <f>INDEX(weekly!$E$2:$E$188,MATCH('Marketing Campaigns 22.11.22'!L1444,weekly!$H$2:$H$188,0))</f>
        <v>1005.3548387096774</v>
      </c>
      <c r="H1444">
        <f>INDEX(weekly!$D$2:$D$188,MATCH('Marketing Campaigns 22.11.22'!L1444,weekly!$H$2:$H$188,0))</f>
        <v>1490.7096774193549</v>
      </c>
      <c r="I1444">
        <f>INDEX(weekly!$F$2:$F$188,MATCH('Marketing Campaigns 22.11.22'!L1444,weekly!$H$2:$H$188,0))</f>
        <v>237.29032258064515</v>
      </c>
      <c r="J1444">
        <v>0</v>
      </c>
      <c r="K1444">
        <v>0</v>
      </c>
      <c r="L1444" t="str">
        <f t="shared" si="44"/>
        <v>44-10-2022</v>
      </c>
      <c r="M1444">
        <f t="shared" si="45"/>
        <v>2022</v>
      </c>
    </row>
    <row r="1445" spans="1:13" x14ac:dyDescent="0.2">
      <c r="A1445" s="1">
        <v>44865</v>
      </c>
      <c r="B1445">
        <v>44</v>
      </c>
      <c r="C1445">
        <v>10</v>
      </c>
      <c r="D1445">
        <v>4</v>
      </c>
      <c r="E1445" t="s">
        <v>40</v>
      </c>
      <c r="F1445">
        <v>0</v>
      </c>
      <c r="G1445">
        <f>INDEX(weekly!$E$2:$E$188,MATCH('Marketing Campaigns 22.11.22'!L1445,weekly!$H$2:$H$188,0))</f>
        <v>1005.3548387096774</v>
      </c>
      <c r="H1445">
        <f>INDEX(weekly!$D$2:$D$188,MATCH('Marketing Campaigns 22.11.22'!L1445,weekly!$H$2:$H$188,0))</f>
        <v>1490.7096774193549</v>
      </c>
      <c r="I1445">
        <f>INDEX(weekly!$F$2:$F$188,MATCH('Marketing Campaigns 22.11.22'!L1445,weekly!$H$2:$H$188,0))</f>
        <v>237.29032258064515</v>
      </c>
      <c r="J1445">
        <v>0</v>
      </c>
      <c r="K1445">
        <v>0</v>
      </c>
      <c r="L1445" t="str">
        <f t="shared" si="44"/>
        <v>44-10-2022</v>
      </c>
      <c r="M1445">
        <f t="shared" si="45"/>
        <v>2022</v>
      </c>
    </row>
    <row r="1446" spans="1:13" x14ac:dyDescent="0.2">
      <c r="A1446" s="1">
        <v>44865</v>
      </c>
      <c r="B1446">
        <v>44</v>
      </c>
      <c r="C1446">
        <v>10</v>
      </c>
      <c r="D1446">
        <v>4</v>
      </c>
      <c r="E1446" t="s">
        <v>41</v>
      </c>
      <c r="F1446">
        <v>0</v>
      </c>
      <c r="G1446">
        <f>INDEX(weekly!$E$2:$E$188,MATCH('Marketing Campaigns 22.11.22'!L1446,weekly!$H$2:$H$188,0))</f>
        <v>1005.3548387096774</v>
      </c>
      <c r="H1446">
        <f>INDEX(weekly!$D$2:$D$188,MATCH('Marketing Campaigns 22.11.22'!L1446,weekly!$H$2:$H$188,0))</f>
        <v>1490.7096774193549</v>
      </c>
      <c r="I1446">
        <f>INDEX(weekly!$F$2:$F$188,MATCH('Marketing Campaigns 22.11.22'!L1446,weekly!$H$2:$H$188,0))</f>
        <v>237.29032258064515</v>
      </c>
      <c r="J1446">
        <v>0</v>
      </c>
      <c r="K1446">
        <v>0</v>
      </c>
      <c r="L1446" t="str">
        <f t="shared" si="44"/>
        <v>44-10-2022</v>
      </c>
      <c r="M1446">
        <f t="shared" si="45"/>
        <v>2022</v>
      </c>
    </row>
    <row r="1447" spans="1:13" x14ac:dyDescent="0.2">
      <c r="A1447" s="1">
        <v>44865</v>
      </c>
      <c r="B1447">
        <v>44</v>
      </c>
      <c r="C1447">
        <v>10</v>
      </c>
      <c r="D1447">
        <v>4</v>
      </c>
      <c r="E1447" t="s">
        <v>42</v>
      </c>
      <c r="F1447">
        <v>0</v>
      </c>
      <c r="G1447">
        <f>INDEX(weekly!$E$2:$E$188,MATCH('Marketing Campaigns 22.11.22'!L1447,weekly!$H$2:$H$188,0))</f>
        <v>1005.3548387096774</v>
      </c>
      <c r="H1447">
        <f>INDEX(weekly!$D$2:$D$188,MATCH('Marketing Campaigns 22.11.22'!L1447,weekly!$H$2:$H$188,0))</f>
        <v>1490.7096774193549</v>
      </c>
      <c r="I1447">
        <f>INDEX(weekly!$F$2:$F$188,MATCH('Marketing Campaigns 22.11.22'!L1447,weekly!$H$2:$H$188,0))</f>
        <v>237.29032258064515</v>
      </c>
      <c r="J1447">
        <v>0</v>
      </c>
      <c r="K1447">
        <v>0</v>
      </c>
      <c r="L1447" t="str">
        <f t="shared" si="44"/>
        <v>44-10-2022</v>
      </c>
      <c r="M1447">
        <f t="shared" si="45"/>
        <v>2022</v>
      </c>
    </row>
    <row r="1448" spans="1:13" x14ac:dyDescent="0.2">
      <c r="A1448" s="1">
        <v>44865</v>
      </c>
      <c r="B1448">
        <v>44</v>
      </c>
      <c r="C1448">
        <v>10</v>
      </c>
      <c r="D1448">
        <v>4</v>
      </c>
      <c r="E1448" t="s">
        <v>43</v>
      </c>
      <c r="F1448">
        <v>0</v>
      </c>
      <c r="G1448">
        <f>INDEX(weekly!$E$2:$E$188,MATCH('Marketing Campaigns 22.11.22'!L1448,weekly!$H$2:$H$188,0))</f>
        <v>1005.3548387096774</v>
      </c>
      <c r="H1448">
        <f>INDEX(weekly!$D$2:$D$188,MATCH('Marketing Campaigns 22.11.22'!L1448,weekly!$H$2:$H$188,0))</f>
        <v>1490.7096774193549</v>
      </c>
      <c r="I1448">
        <f>INDEX(weekly!$F$2:$F$188,MATCH('Marketing Campaigns 22.11.22'!L1448,weekly!$H$2:$H$188,0))</f>
        <v>237.29032258064515</v>
      </c>
      <c r="J1448">
        <v>0</v>
      </c>
      <c r="K1448">
        <v>0</v>
      </c>
      <c r="L1448" t="str">
        <f t="shared" si="44"/>
        <v>44-10-2022</v>
      </c>
      <c r="M1448">
        <f t="shared" si="45"/>
        <v>2022</v>
      </c>
    </row>
    <row r="1449" spans="1:13" x14ac:dyDescent="0.2">
      <c r="A1449" s="1">
        <v>44865</v>
      </c>
      <c r="B1449">
        <v>44</v>
      </c>
      <c r="C1449">
        <v>10</v>
      </c>
      <c r="D1449">
        <v>4</v>
      </c>
      <c r="E1449" t="s">
        <v>44</v>
      </c>
      <c r="F1449">
        <v>0</v>
      </c>
      <c r="G1449">
        <f>INDEX(weekly!$E$2:$E$188,MATCH('Marketing Campaigns 22.11.22'!L1449,weekly!$H$2:$H$188,0))</f>
        <v>1005.3548387096774</v>
      </c>
      <c r="H1449">
        <f>INDEX(weekly!$D$2:$D$188,MATCH('Marketing Campaigns 22.11.22'!L1449,weekly!$H$2:$H$188,0))</f>
        <v>1490.7096774193549</v>
      </c>
      <c r="I1449">
        <f>INDEX(weekly!$F$2:$F$188,MATCH('Marketing Campaigns 22.11.22'!L1449,weekly!$H$2:$H$188,0))</f>
        <v>237.29032258064515</v>
      </c>
      <c r="J1449">
        <v>0</v>
      </c>
      <c r="K1449">
        <v>0</v>
      </c>
      <c r="L1449" t="str">
        <f t="shared" si="44"/>
        <v>44-10-2022</v>
      </c>
      <c r="M1449">
        <f t="shared" si="45"/>
        <v>2022</v>
      </c>
    </row>
    <row r="1450" spans="1:13" x14ac:dyDescent="0.2">
      <c r="A1450" s="1">
        <v>44865</v>
      </c>
      <c r="B1450">
        <v>44</v>
      </c>
      <c r="C1450">
        <v>10</v>
      </c>
      <c r="D1450">
        <v>4</v>
      </c>
      <c r="E1450" t="s">
        <v>45</v>
      </c>
      <c r="F1450">
        <v>0</v>
      </c>
      <c r="G1450">
        <f>INDEX(weekly!$E$2:$E$188,MATCH('Marketing Campaigns 22.11.22'!L1450,weekly!$H$2:$H$188,0))</f>
        <v>1005.3548387096774</v>
      </c>
      <c r="H1450">
        <f>INDEX(weekly!$D$2:$D$188,MATCH('Marketing Campaigns 22.11.22'!L1450,weekly!$H$2:$H$188,0))</f>
        <v>1490.7096774193549</v>
      </c>
      <c r="I1450">
        <f>INDEX(weekly!$F$2:$F$188,MATCH('Marketing Campaigns 22.11.22'!L1450,weekly!$H$2:$H$188,0))</f>
        <v>237.29032258064515</v>
      </c>
      <c r="J1450">
        <v>0</v>
      </c>
      <c r="K1450">
        <v>0</v>
      </c>
      <c r="L1450" t="str">
        <f t="shared" si="44"/>
        <v>44-10-2022</v>
      </c>
      <c r="M1450">
        <f t="shared" si="45"/>
        <v>2022</v>
      </c>
    </row>
    <row r="1451" spans="1:13" x14ac:dyDescent="0.2">
      <c r="A1451" s="1">
        <v>44865</v>
      </c>
      <c r="B1451">
        <v>44</v>
      </c>
      <c r="C1451">
        <v>10</v>
      </c>
      <c r="D1451">
        <v>4</v>
      </c>
      <c r="E1451" t="s">
        <v>46</v>
      </c>
      <c r="F1451">
        <v>0</v>
      </c>
      <c r="G1451">
        <f>INDEX(weekly!$E$2:$E$188,MATCH('Marketing Campaigns 22.11.22'!L1451,weekly!$H$2:$H$188,0))</f>
        <v>1005.3548387096774</v>
      </c>
      <c r="H1451">
        <f>INDEX(weekly!$D$2:$D$188,MATCH('Marketing Campaigns 22.11.22'!L1451,weekly!$H$2:$H$188,0))</f>
        <v>1490.7096774193549</v>
      </c>
      <c r="I1451">
        <f>INDEX(weekly!$F$2:$F$188,MATCH('Marketing Campaigns 22.11.22'!L1451,weekly!$H$2:$H$188,0))</f>
        <v>237.29032258064515</v>
      </c>
      <c r="J1451">
        <v>0</v>
      </c>
      <c r="K1451">
        <v>0</v>
      </c>
      <c r="L1451" t="str">
        <f t="shared" si="44"/>
        <v>44-10-2022</v>
      </c>
      <c r="M1451">
        <f t="shared" si="45"/>
        <v>2022</v>
      </c>
    </row>
    <row r="1452" spans="1:13" x14ac:dyDescent="0.2">
      <c r="A1452" s="1">
        <v>44865</v>
      </c>
      <c r="B1452">
        <v>44</v>
      </c>
      <c r="C1452">
        <v>10</v>
      </c>
      <c r="D1452">
        <v>4</v>
      </c>
      <c r="E1452" t="s">
        <v>47</v>
      </c>
      <c r="F1452">
        <v>0</v>
      </c>
      <c r="G1452">
        <f>INDEX(weekly!$E$2:$E$188,MATCH('Marketing Campaigns 22.11.22'!L1452,weekly!$H$2:$H$188,0))</f>
        <v>1005.3548387096774</v>
      </c>
      <c r="H1452">
        <f>INDEX(weekly!$D$2:$D$188,MATCH('Marketing Campaigns 22.11.22'!L1452,weekly!$H$2:$H$188,0))</f>
        <v>1490.7096774193549</v>
      </c>
      <c r="I1452">
        <f>INDEX(weekly!$F$2:$F$188,MATCH('Marketing Campaigns 22.11.22'!L1452,weekly!$H$2:$H$188,0))</f>
        <v>237.29032258064515</v>
      </c>
      <c r="J1452">
        <v>0</v>
      </c>
      <c r="K1452">
        <v>0</v>
      </c>
      <c r="L1452" t="str">
        <f t="shared" si="44"/>
        <v>44-10-2022</v>
      </c>
      <c r="M1452">
        <f t="shared" si="45"/>
        <v>2022</v>
      </c>
    </row>
    <row r="1453" spans="1:13" x14ac:dyDescent="0.2">
      <c r="A1453" s="1">
        <v>44865</v>
      </c>
      <c r="B1453">
        <v>44</v>
      </c>
      <c r="C1453">
        <v>10</v>
      </c>
      <c r="D1453">
        <v>4</v>
      </c>
      <c r="E1453" t="s">
        <v>48</v>
      </c>
      <c r="F1453">
        <v>0</v>
      </c>
      <c r="G1453">
        <f>INDEX(weekly!$E$2:$E$188,MATCH('Marketing Campaigns 22.11.22'!L1453,weekly!$H$2:$H$188,0))</f>
        <v>1005.3548387096774</v>
      </c>
      <c r="H1453">
        <f>INDEX(weekly!$D$2:$D$188,MATCH('Marketing Campaigns 22.11.22'!L1453,weekly!$H$2:$H$188,0))</f>
        <v>1490.7096774193549</v>
      </c>
      <c r="I1453">
        <f>INDEX(weekly!$F$2:$F$188,MATCH('Marketing Campaigns 22.11.22'!L1453,weekly!$H$2:$H$188,0))</f>
        <v>237.29032258064515</v>
      </c>
      <c r="J1453">
        <v>0</v>
      </c>
      <c r="K1453">
        <v>0</v>
      </c>
      <c r="L1453" t="str">
        <f t="shared" si="44"/>
        <v>44-10-2022</v>
      </c>
      <c r="M1453">
        <f t="shared" si="45"/>
        <v>2022</v>
      </c>
    </row>
    <row r="1454" spans="1:13" x14ac:dyDescent="0.2">
      <c r="A1454" s="1">
        <v>44865</v>
      </c>
      <c r="B1454">
        <v>44</v>
      </c>
      <c r="C1454">
        <v>10</v>
      </c>
      <c r="D1454">
        <v>4</v>
      </c>
      <c r="E1454" t="s">
        <v>49</v>
      </c>
      <c r="F1454">
        <v>0</v>
      </c>
      <c r="G1454">
        <f>INDEX(weekly!$E$2:$E$188,MATCH('Marketing Campaigns 22.11.22'!L1454,weekly!$H$2:$H$188,0))</f>
        <v>1005.3548387096774</v>
      </c>
      <c r="H1454">
        <f>INDEX(weekly!$D$2:$D$188,MATCH('Marketing Campaigns 22.11.22'!L1454,weekly!$H$2:$H$188,0))</f>
        <v>1490.7096774193549</v>
      </c>
      <c r="I1454">
        <f>INDEX(weekly!$F$2:$F$188,MATCH('Marketing Campaigns 22.11.22'!L1454,weekly!$H$2:$H$188,0))</f>
        <v>237.29032258064515</v>
      </c>
      <c r="J1454">
        <v>0</v>
      </c>
      <c r="K1454">
        <v>0</v>
      </c>
      <c r="L1454" t="str">
        <f t="shared" si="44"/>
        <v>44-10-2022</v>
      </c>
      <c r="M1454">
        <f t="shared" si="45"/>
        <v>2022</v>
      </c>
    </row>
    <row r="1455" spans="1:13" x14ac:dyDescent="0.2">
      <c r="A1455" s="1">
        <v>44865</v>
      </c>
      <c r="B1455">
        <v>44</v>
      </c>
      <c r="C1455">
        <v>10</v>
      </c>
      <c r="D1455">
        <v>4</v>
      </c>
      <c r="E1455" t="s">
        <v>50</v>
      </c>
      <c r="F1455">
        <v>0</v>
      </c>
      <c r="G1455">
        <f>INDEX(weekly!$E$2:$E$188,MATCH('Marketing Campaigns 22.11.22'!L1455,weekly!$H$2:$H$188,0))</f>
        <v>1005.3548387096774</v>
      </c>
      <c r="H1455">
        <f>INDEX(weekly!$D$2:$D$188,MATCH('Marketing Campaigns 22.11.22'!L1455,weekly!$H$2:$H$188,0))</f>
        <v>1490.7096774193549</v>
      </c>
      <c r="I1455">
        <f>INDEX(weekly!$F$2:$F$188,MATCH('Marketing Campaigns 22.11.22'!L1455,weekly!$H$2:$H$188,0))</f>
        <v>237.29032258064515</v>
      </c>
      <c r="J1455">
        <v>0</v>
      </c>
      <c r="K1455">
        <v>0</v>
      </c>
      <c r="L1455" t="str">
        <f t="shared" si="44"/>
        <v>44-10-2022</v>
      </c>
      <c r="M1455">
        <f t="shared" si="45"/>
        <v>2022</v>
      </c>
    </row>
    <row r="1456" spans="1:13" x14ac:dyDescent="0.2">
      <c r="A1456" s="1">
        <v>44865</v>
      </c>
      <c r="B1456">
        <v>44</v>
      </c>
      <c r="C1456">
        <v>10</v>
      </c>
      <c r="D1456">
        <v>4</v>
      </c>
      <c r="E1456" t="s">
        <v>51</v>
      </c>
      <c r="F1456">
        <v>0</v>
      </c>
      <c r="G1456">
        <f>INDEX(weekly!$E$2:$E$188,MATCH('Marketing Campaigns 22.11.22'!L1456,weekly!$H$2:$H$188,0))</f>
        <v>1005.3548387096774</v>
      </c>
      <c r="H1456">
        <f>INDEX(weekly!$D$2:$D$188,MATCH('Marketing Campaigns 22.11.22'!L1456,weekly!$H$2:$H$188,0))</f>
        <v>1490.7096774193549</v>
      </c>
      <c r="I1456">
        <f>INDEX(weekly!$F$2:$F$188,MATCH('Marketing Campaigns 22.11.22'!L1456,weekly!$H$2:$H$188,0))</f>
        <v>237.29032258064515</v>
      </c>
      <c r="J1456">
        <v>0</v>
      </c>
      <c r="K1456">
        <v>0</v>
      </c>
      <c r="L1456" t="str">
        <f t="shared" si="44"/>
        <v>44-10-2022</v>
      </c>
      <c r="M1456">
        <f t="shared" si="45"/>
        <v>2022</v>
      </c>
    </row>
    <row r="1457" spans="1:13" x14ac:dyDescent="0.2">
      <c r="A1457" s="1">
        <v>44865</v>
      </c>
      <c r="B1457">
        <v>44</v>
      </c>
      <c r="C1457">
        <v>10</v>
      </c>
      <c r="D1457">
        <v>4</v>
      </c>
      <c r="E1457" t="s">
        <v>52</v>
      </c>
      <c r="F1457">
        <v>0</v>
      </c>
      <c r="G1457">
        <f>INDEX(weekly!$E$2:$E$188,MATCH('Marketing Campaigns 22.11.22'!L1457,weekly!$H$2:$H$188,0))</f>
        <v>1005.3548387096774</v>
      </c>
      <c r="H1457">
        <f>INDEX(weekly!$D$2:$D$188,MATCH('Marketing Campaigns 22.11.22'!L1457,weekly!$H$2:$H$188,0))</f>
        <v>1490.7096774193549</v>
      </c>
      <c r="I1457">
        <f>INDEX(weekly!$F$2:$F$188,MATCH('Marketing Campaigns 22.11.22'!L1457,weekly!$H$2:$H$188,0))</f>
        <v>237.29032258064515</v>
      </c>
      <c r="J1457">
        <v>0</v>
      </c>
      <c r="K1457">
        <v>0</v>
      </c>
      <c r="L1457" t="str">
        <f t="shared" si="44"/>
        <v>44-10-2022</v>
      </c>
      <c r="M1457">
        <f t="shared" si="45"/>
        <v>2022</v>
      </c>
    </row>
    <row r="1458" spans="1:13" x14ac:dyDescent="0.2">
      <c r="A1458" s="1">
        <v>44872</v>
      </c>
      <c r="B1458">
        <v>45</v>
      </c>
      <c r="C1458">
        <v>11</v>
      </c>
      <c r="D1458">
        <v>4</v>
      </c>
      <c r="E1458" t="s">
        <v>24</v>
      </c>
      <c r="F1458">
        <v>0</v>
      </c>
      <c r="G1458">
        <f>INDEX(weekly!$E$2:$E$188,MATCH('Marketing Campaigns 22.11.22'!L1458,weekly!$H$2:$H$188,0))</f>
        <v>4289.1333333333341</v>
      </c>
      <c r="H1458">
        <f>INDEX(weekly!$D$2:$D$188,MATCH('Marketing Campaigns 22.11.22'!L1458,weekly!$H$2:$H$188,0))</f>
        <v>9704.3333333333339</v>
      </c>
      <c r="I1458">
        <f>INDEX(weekly!$F$2:$F$188,MATCH('Marketing Campaigns 22.11.22'!L1458,weekly!$H$2:$H$188,0))</f>
        <v>2240</v>
      </c>
      <c r="J1458">
        <v>0</v>
      </c>
      <c r="K1458">
        <v>0</v>
      </c>
      <c r="L1458" t="str">
        <f t="shared" si="44"/>
        <v>45-11-2022</v>
      </c>
      <c r="M1458">
        <f t="shared" si="45"/>
        <v>2022</v>
      </c>
    </row>
    <row r="1459" spans="1:13" x14ac:dyDescent="0.2">
      <c r="A1459" s="1">
        <v>44872</v>
      </c>
      <c r="B1459">
        <v>45</v>
      </c>
      <c r="C1459">
        <v>11</v>
      </c>
      <c r="D1459">
        <v>4</v>
      </c>
      <c r="E1459" t="s">
        <v>39</v>
      </c>
      <c r="F1459">
        <v>0</v>
      </c>
      <c r="G1459">
        <f>INDEX(weekly!$E$2:$E$188,MATCH('Marketing Campaigns 22.11.22'!L1459,weekly!$H$2:$H$188,0))</f>
        <v>4289.1333333333341</v>
      </c>
      <c r="H1459">
        <f>INDEX(weekly!$D$2:$D$188,MATCH('Marketing Campaigns 22.11.22'!L1459,weekly!$H$2:$H$188,0))</f>
        <v>9704.3333333333339</v>
      </c>
      <c r="I1459">
        <f>INDEX(weekly!$F$2:$F$188,MATCH('Marketing Campaigns 22.11.22'!L1459,weekly!$H$2:$H$188,0))</f>
        <v>2240</v>
      </c>
      <c r="J1459">
        <v>0</v>
      </c>
      <c r="K1459">
        <v>0</v>
      </c>
      <c r="L1459" t="str">
        <f t="shared" si="44"/>
        <v>45-11-2022</v>
      </c>
      <c r="M1459">
        <f t="shared" si="45"/>
        <v>2022</v>
      </c>
    </row>
    <row r="1460" spans="1:13" x14ac:dyDescent="0.2">
      <c r="A1460" s="1">
        <v>44872</v>
      </c>
      <c r="B1460">
        <v>45</v>
      </c>
      <c r="C1460">
        <v>11</v>
      </c>
      <c r="D1460">
        <v>4</v>
      </c>
      <c r="E1460" t="s">
        <v>40</v>
      </c>
      <c r="F1460">
        <v>0</v>
      </c>
      <c r="G1460">
        <f>INDEX(weekly!$E$2:$E$188,MATCH('Marketing Campaigns 22.11.22'!L1460,weekly!$H$2:$H$188,0))</f>
        <v>4289.1333333333341</v>
      </c>
      <c r="H1460">
        <f>INDEX(weekly!$D$2:$D$188,MATCH('Marketing Campaigns 22.11.22'!L1460,weekly!$H$2:$H$188,0))</f>
        <v>9704.3333333333339</v>
      </c>
      <c r="I1460">
        <f>INDEX(weekly!$F$2:$F$188,MATCH('Marketing Campaigns 22.11.22'!L1460,weekly!$H$2:$H$188,0))</f>
        <v>2240</v>
      </c>
      <c r="J1460">
        <v>0</v>
      </c>
      <c r="K1460">
        <v>0</v>
      </c>
      <c r="L1460" t="str">
        <f t="shared" si="44"/>
        <v>45-11-2022</v>
      </c>
      <c r="M1460">
        <f t="shared" si="45"/>
        <v>2022</v>
      </c>
    </row>
    <row r="1461" spans="1:13" x14ac:dyDescent="0.2">
      <c r="A1461" s="1">
        <v>44872</v>
      </c>
      <c r="B1461">
        <v>45</v>
      </c>
      <c r="C1461">
        <v>11</v>
      </c>
      <c r="D1461">
        <v>4</v>
      </c>
      <c r="E1461" t="s">
        <v>41</v>
      </c>
      <c r="F1461">
        <v>0</v>
      </c>
      <c r="G1461">
        <f>INDEX(weekly!$E$2:$E$188,MATCH('Marketing Campaigns 22.11.22'!L1461,weekly!$H$2:$H$188,0))</f>
        <v>4289.1333333333341</v>
      </c>
      <c r="H1461">
        <f>INDEX(weekly!$D$2:$D$188,MATCH('Marketing Campaigns 22.11.22'!L1461,weekly!$H$2:$H$188,0))</f>
        <v>9704.3333333333339</v>
      </c>
      <c r="I1461">
        <f>INDEX(weekly!$F$2:$F$188,MATCH('Marketing Campaigns 22.11.22'!L1461,weekly!$H$2:$H$188,0))</f>
        <v>2240</v>
      </c>
      <c r="J1461">
        <v>0</v>
      </c>
      <c r="K1461">
        <v>0</v>
      </c>
      <c r="L1461" t="str">
        <f t="shared" si="44"/>
        <v>45-11-2022</v>
      </c>
      <c r="M1461">
        <f t="shared" si="45"/>
        <v>2022</v>
      </c>
    </row>
    <row r="1462" spans="1:13" x14ac:dyDescent="0.2">
      <c r="A1462" s="1">
        <v>44872</v>
      </c>
      <c r="B1462">
        <v>45</v>
      </c>
      <c r="C1462">
        <v>11</v>
      </c>
      <c r="D1462">
        <v>4</v>
      </c>
      <c r="E1462" t="s">
        <v>42</v>
      </c>
      <c r="F1462">
        <v>0</v>
      </c>
      <c r="G1462">
        <f>INDEX(weekly!$E$2:$E$188,MATCH('Marketing Campaigns 22.11.22'!L1462,weekly!$H$2:$H$188,0))</f>
        <v>4289.1333333333341</v>
      </c>
      <c r="H1462">
        <f>INDEX(weekly!$D$2:$D$188,MATCH('Marketing Campaigns 22.11.22'!L1462,weekly!$H$2:$H$188,0))</f>
        <v>9704.3333333333339</v>
      </c>
      <c r="I1462">
        <f>INDEX(weekly!$F$2:$F$188,MATCH('Marketing Campaigns 22.11.22'!L1462,weekly!$H$2:$H$188,0))</f>
        <v>2240</v>
      </c>
      <c r="J1462">
        <v>0</v>
      </c>
      <c r="K1462">
        <v>0</v>
      </c>
      <c r="L1462" t="str">
        <f t="shared" si="44"/>
        <v>45-11-2022</v>
      </c>
      <c r="M1462">
        <f t="shared" si="45"/>
        <v>2022</v>
      </c>
    </row>
    <row r="1463" spans="1:13" x14ac:dyDescent="0.2">
      <c r="A1463" s="1">
        <v>44872</v>
      </c>
      <c r="B1463">
        <v>45</v>
      </c>
      <c r="C1463">
        <v>11</v>
      </c>
      <c r="D1463">
        <v>4</v>
      </c>
      <c r="E1463" t="s">
        <v>43</v>
      </c>
      <c r="F1463">
        <v>0</v>
      </c>
      <c r="G1463">
        <f>INDEX(weekly!$E$2:$E$188,MATCH('Marketing Campaigns 22.11.22'!L1463,weekly!$H$2:$H$188,0))</f>
        <v>4289.1333333333341</v>
      </c>
      <c r="H1463">
        <f>INDEX(weekly!$D$2:$D$188,MATCH('Marketing Campaigns 22.11.22'!L1463,weekly!$H$2:$H$188,0))</f>
        <v>9704.3333333333339</v>
      </c>
      <c r="I1463">
        <f>INDEX(weekly!$F$2:$F$188,MATCH('Marketing Campaigns 22.11.22'!L1463,weekly!$H$2:$H$188,0))</f>
        <v>2240</v>
      </c>
      <c r="J1463">
        <v>0</v>
      </c>
      <c r="K1463">
        <v>0</v>
      </c>
      <c r="L1463" t="str">
        <f t="shared" si="44"/>
        <v>45-11-2022</v>
      </c>
      <c r="M1463">
        <f t="shared" si="45"/>
        <v>2022</v>
      </c>
    </row>
    <row r="1464" spans="1:13" x14ac:dyDescent="0.2">
      <c r="A1464" s="1">
        <v>44872</v>
      </c>
      <c r="B1464">
        <v>45</v>
      </c>
      <c r="C1464">
        <v>11</v>
      </c>
      <c r="D1464">
        <v>4</v>
      </c>
      <c r="E1464" t="s">
        <v>44</v>
      </c>
      <c r="F1464">
        <v>0</v>
      </c>
      <c r="G1464">
        <f>INDEX(weekly!$E$2:$E$188,MATCH('Marketing Campaigns 22.11.22'!L1464,weekly!$H$2:$H$188,0))</f>
        <v>4289.1333333333341</v>
      </c>
      <c r="H1464">
        <f>INDEX(weekly!$D$2:$D$188,MATCH('Marketing Campaigns 22.11.22'!L1464,weekly!$H$2:$H$188,0))</f>
        <v>9704.3333333333339</v>
      </c>
      <c r="I1464">
        <f>INDEX(weekly!$F$2:$F$188,MATCH('Marketing Campaigns 22.11.22'!L1464,weekly!$H$2:$H$188,0))</f>
        <v>2240</v>
      </c>
      <c r="J1464">
        <v>0</v>
      </c>
      <c r="K1464">
        <v>0</v>
      </c>
      <c r="L1464" t="str">
        <f t="shared" si="44"/>
        <v>45-11-2022</v>
      </c>
      <c r="M1464">
        <f t="shared" si="45"/>
        <v>2022</v>
      </c>
    </row>
    <row r="1465" spans="1:13" x14ac:dyDescent="0.2">
      <c r="A1465" s="1">
        <v>44872</v>
      </c>
      <c r="B1465">
        <v>45</v>
      </c>
      <c r="C1465">
        <v>11</v>
      </c>
      <c r="D1465">
        <v>4</v>
      </c>
      <c r="E1465" t="s">
        <v>45</v>
      </c>
      <c r="F1465">
        <v>0</v>
      </c>
      <c r="G1465">
        <f>INDEX(weekly!$E$2:$E$188,MATCH('Marketing Campaigns 22.11.22'!L1465,weekly!$H$2:$H$188,0))</f>
        <v>4289.1333333333341</v>
      </c>
      <c r="H1465">
        <f>INDEX(weekly!$D$2:$D$188,MATCH('Marketing Campaigns 22.11.22'!L1465,weekly!$H$2:$H$188,0))</f>
        <v>9704.3333333333339</v>
      </c>
      <c r="I1465">
        <f>INDEX(weekly!$F$2:$F$188,MATCH('Marketing Campaigns 22.11.22'!L1465,weekly!$H$2:$H$188,0))</f>
        <v>2240</v>
      </c>
      <c r="J1465">
        <v>0</v>
      </c>
      <c r="K1465">
        <v>0</v>
      </c>
      <c r="L1465" t="str">
        <f t="shared" si="44"/>
        <v>45-11-2022</v>
      </c>
      <c r="M1465">
        <f t="shared" si="45"/>
        <v>2022</v>
      </c>
    </row>
    <row r="1466" spans="1:13" x14ac:dyDescent="0.2">
      <c r="A1466" s="1">
        <v>44872</v>
      </c>
      <c r="B1466">
        <v>45</v>
      </c>
      <c r="C1466">
        <v>11</v>
      </c>
      <c r="D1466">
        <v>4</v>
      </c>
      <c r="E1466" t="s">
        <v>46</v>
      </c>
      <c r="F1466">
        <v>0</v>
      </c>
      <c r="G1466">
        <f>INDEX(weekly!$E$2:$E$188,MATCH('Marketing Campaigns 22.11.22'!L1466,weekly!$H$2:$H$188,0))</f>
        <v>4289.1333333333341</v>
      </c>
      <c r="H1466">
        <f>INDEX(weekly!$D$2:$D$188,MATCH('Marketing Campaigns 22.11.22'!L1466,weekly!$H$2:$H$188,0))</f>
        <v>9704.3333333333339</v>
      </c>
      <c r="I1466">
        <f>INDEX(weekly!$F$2:$F$188,MATCH('Marketing Campaigns 22.11.22'!L1466,weekly!$H$2:$H$188,0))</f>
        <v>2240</v>
      </c>
      <c r="J1466">
        <v>0</v>
      </c>
      <c r="K1466">
        <v>0</v>
      </c>
      <c r="L1466" t="str">
        <f t="shared" si="44"/>
        <v>45-11-2022</v>
      </c>
      <c r="M1466">
        <f t="shared" si="45"/>
        <v>2022</v>
      </c>
    </row>
    <row r="1467" spans="1:13" x14ac:dyDescent="0.2">
      <c r="A1467" s="1">
        <v>44872</v>
      </c>
      <c r="B1467">
        <v>45</v>
      </c>
      <c r="C1467">
        <v>11</v>
      </c>
      <c r="D1467">
        <v>4</v>
      </c>
      <c r="E1467" t="s">
        <v>47</v>
      </c>
      <c r="F1467">
        <v>0</v>
      </c>
      <c r="G1467">
        <f>INDEX(weekly!$E$2:$E$188,MATCH('Marketing Campaigns 22.11.22'!L1467,weekly!$H$2:$H$188,0))</f>
        <v>4289.1333333333341</v>
      </c>
      <c r="H1467">
        <f>INDEX(weekly!$D$2:$D$188,MATCH('Marketing Campaigns 22.11.22'!L1467,weekly!$H$2:$H$188,0))</f>
        <v>9704.3333333333339</v>
      </c>
      <c r="I1467">
        <f>INDEX(weekly!$F$2:$F$188,MATCH('Marketing Campaigns 22.11.22'!L1467,weekly!$H$2:$H$188,0))</f>
        <v>2240</v>
      </c>
      <c r="J1467">
        <v>0</v>
      </c>
      <c r="K1467">
        <v>0</v>
      </c>
      <c r="L1467" t="str">
        <f t="shared" si="44"/>
        <v>45-11-2022</v>
      </c>
      <c r="M1467">
        <f t="shared" si="45"/>
        <v>2022</v>
      </c>
    </row>
    <row r="1468" spans="1:13" x14ac:dyDescent="0.2">
      <c r="A1468" s="1">
        <v>44872</v>
      </c>
      <c r="B1468">
        <v>45</v>
      </c>
      <c r="C1468">
        <v>11</v>
      </c>
      <c r="D1468">
        <v>4</v>
      </c>
      <c r="E1468" t="s">
        <v>48</v>
      </c>
      <c r="F1468">
        <v>0</v>
      </c>
      <c r="G1468">
        <f>INDEX(weekly!$E$2:$E$188,MATCH('Marketing Campaigns 22.11.22'!L1468,weekly!$H$2:$H$188,0))</f>
        <v>4289.1333333333341</v>
      </c>
      <c r="H1468">
        <f>INDEX(weekly!$D$2:$D$188,MATCH('Marketing Campaigns 22.11.22'!L1468,weekly!$H$2:$H$188,0))</f>
        <v>9704.3333333333339</v>
      </c>
      <c r="I1468">
        <f>INDEX(weekly!$F$2:$F$188,MATCH('Marketing Campaigns 22.11.22'!L1468,weekly!$H$2:$H$188,0))</f>
        <v>2240</v>
      </c>
      <c r="J1468">
        <v>0</v>
      </c>
      <c r="K1468">
        <v>0</v>
      </c>
      <c r="L1468" t="str">
        <f t="shared" si="44"/>
        <v>45-11-2022</v>
      </c>
      <c r="M1468">
        <f t="shared" si="45"/>
        <v>2022</v>
      </c>
    </row>
    <row r="1469" spans="1:13" x14ac:dyDescent="0.2">
      <c r="A1469" s="1">
        <v>44872</v>
      </c>
      <c r="B1469">
        <v>45</v>
      </c>
      <c r="C1469">
        <v>11</v>
      </c>
      <c r="D1469">
        <v>4</v>
      </c>
      <c r="E1469" t="s">
        <v>49</v>
      </c>
      <c r="F1469">
        <v>0</v>
      </c>
      <c r="G1469">
        <f>INDEX(weekly!$E$2:$E$188,MATCH('Marketing Campaigns 22.11.22'!L1469,weekly!$H$2:$H$188,0))</f>
        <v>4289.1333333333341</v>
      </c>
      <c r="H1469">
        <f>INDEX(weekly!$D$2:$D$188,MATCH('Marketing Campaigns 22.11.22'!L1469,weekly!$H$2:$H$188,0))</f>
        <v>9704.3333333333339</v>
      </c>
      <c r="I1469">
        <f>INDEX(weekly!$F$2:$F$188,MATCH('Marketing Campaigns 22.11.22'!L1469,weekly!$H$2:$H$188,0))</f>
        <v>2240</v>
      </c>
      <c r="J1469">
        <v>0</v>
      </c>
      <c r="K1469">
        <v>0</v>
      </c>
      <c r="L1469" t="str">
        <f t="shared" si="44"/>
        <v>45-11-2022</v>
      </c>
      <c r="M1469">
        <f t="shared" si="45"/>
        <v>2022</v>
      </c>
    </row>
    <row r="1470" spans="1:13" x14ac:dyDescent="0.2">
      <c r="A1470" s="1">
        <v>44872</v>
      </c>
      <c r="B1470">
        <v>45</v>
      </c>
      <c r="C1470">
        <v>11</v>
      </c>
      <c r="D1470">
        <v>4</v>
      </c>
      <c r="E1470" t="s">
        <v>50</v>
      </c>
      <c r="F1470">
        <v>0</v>
      </c>
      <c r="G1470">
        <f>INDEX(weekly!$E$2:$E$188,MATCH('Marketing Campaigns 22.11.22'!L1470,weekly!$H$2:$H$188,0))</f>
        <v>4289.1333333333341</v>
      </c>
      <c r="H1470">
        <f>INDEX(weekly!$D$2:$D$188,MATCH('Marketing Campaigns 22.11.22'!L1470,weekly!$H$2:$H$188,0))</f>
        <v>9704.3333333333339</v>
      </c>
      <c r="I1470">
        <f>INDEX(weekly!$F$2:$F$188,MATCH('Marketing Campaigns 22.11.22'!L1470,weekly!$H$2:$H$188,0))</f>
        <v>2240</v>
      </c>
      <c r="J1470">
        <v>0</v>
      </c>
      <c r="K1470">
        <v>0</v>
      </c>
      <c r="L1470" t="str">
        <f t="shared" si="44"/>
        <v>45-11-2022</v>
      </c>
      <c r="M1470">
        <f t="shared" si="45"/>
        <v>2022</v>
      </c>
    </row>
    <row r="1471" spans="1:13" x14ac:dyDescent="0.2">
      <c r="A1471" s="1">
        <v>44872</v>
      </c>
      <c r="B1471">
        <v>45</v>
      </c>
      <c r="C1471">
        <v>11</v>
      </c>
      <c r="D1471">
        <v>4</v>
      </c>
      <c r="E1471" t="s">
        <v>51</v>
      </c>
      <c r="F1471">
        <v>0</v>
      </c>
      <c r="G1471">
        <f>INDEX(weekly!$E$2:$E$188,MATCH('Marketing Campaigns 22.11.22'!L1471,weekly!$H$2:$H$188,0))</f>
        <v>4289.1333333333341</v>
      </c>
      <c r="H1471">
        <f>INDEX(weekly!$D$2:$D$188,MATCH('Marketing Campaigns 22.11.22'!L1471,weekly!$H$2:$H$188,0))</f>
        <v>9704.3333333333339</v>
      </c>
      <c r="I1471">
        <f>INDEX(weekly!$F$2:$F$188,MATCH('Marketing Campaigns 22.11.22'!L1471,weekly!$H$2:$H$188,0))</f>
        <v>2240</v>
      </c>
      <c r="J1471">
        <v>0</v>
      </c>
      <c r="K1471">
        <v>0</v>
      </c>
      <c r="L1471" t="str">
        <f t="shared" si="44"/>
        <v>45-11-2022</v>
      </c>
      <c r="M1471">
        <f t="shared" si="45"/>
        <v>2022</v>
      </c>
    </row>
    <row r="1472" spans="1:13" x14ac:dyDescent="0.2">
      <c r="A1472" s="1">
        <v>44872</v>
      </c>
      <c r="B1472">
        <v>45</v>
      </c>
      <c r="C1472">
        <v>11</v>
      </c>
      <c r="D1472">
        <v>4</v>
      </c>
      <c r="E1472" t="s">
        <v>52</v>
      </c>
      <c r="F1472">
        <v>0</v>
      </c>
      <c r="G1472">
        <f>INDEX(weekly!$E$2:$E$188,MATCH('Marketing Campaigns 22.11.22'!L1472,weekly!$H$2:$H$188,0))</f>
        <v>4289.1333333333341</v>
      </c>
      <c r="H1472">
        <f>INDEX(weekly!$D$2:$D$188,MATCH('Marketing Campaigns 22.11.22'!L1472,weekly!$H$2:$H$188,0))</f>
        <v>9704.3333333333339</v>
      </c>
      <c r="I1472">
        <f>INDEX(weekly!$F$2:$F$188,MATCH('Marketing Campaigns 22.11.22'!L1472,weekly!$H$2:$H$188,0))</f>
        <v>2240</v>
      </c>
      <c r="J1472">
        <v>0</v>
      </c>
      <c r="K1472">
        <v>0</v>
      </c>
      <c r="L1472" t="str">
        <f t="shared" si="44"/>
        <v>45-11-2022</v>
      </c>
      <c r="M1472">
        <f t="shared" si="45"/>
        <v>2022</v>
      </c>
    </row>
    <row r="1473" spans="1:13" x14ac:dyDescent="0.2">
      <c r="A1473" s="1">
        <v>44879</v>
      </c>
      <c r="B1473">
        <v>46</v>
      </c>
      <c r="C1473">
        <v>11</v>
      </c>
      <c r="D1473">
        <v>4</v>
      </c>
      <c r="E1473" t="s">
        <v>24</v>
      </c>
      <c r="F1473">
        <v>0</v>
      </c>
      <c r="G1473">
        <f>INDEX(weekly!$E$2:$E$188,MATCH('Marketing Campaigns 22.11.22'!L1473,weekly!$H$2:$H$188,0))</f>
        <v>4289.1333333333341</v>
      </c>
      <c r="H1473">
        <f>INDEX(weekly!$D$2:$D$188,MATCH('Marketing Campaigns 22.11.22'!L1473,weekly!$H$2:$H$188,0))</f>
        <v>9704.3333333333339</v>
      </c>
      <c r="I1473">
        <f>INDEX(weekly!$F$2:$F$188,MATCH('Marketing Campaigns 22.11.22'!L1473,weekly!$H$2:$H$188,0))</f>
        <v>2240</v>
      </c>
      <c r="J1473">
        <v>0</v>
      </c>
      <c r="K1473">
        <v>0</v>
      </c>
      <c r="L1473" t="str">
        <f t="shared" si="44"/>
        <v>46-11-2022</v>
      </c>
      <c r="M1473">
        <f t="shared" si="45"/>
        <v>2022</v>
      </c>
    </row>
    <row r="1474" spans="1:13" x14ac:dyDescent="0.2">
      <c r="A1474" s="1">
        <v>44879</v>
      </c>
      <c r="B1474">
        <v>46</v>
      </c>
      <c r="C1474">
        <v>11</v>
      </c>
      <c r="D1474">
        <v>4</v>
      </c>
      <c r="E1474" t="s">
        <v>39</v>
      </c>
      <c r="F1474">
        <v>0</v>
      </c>
      <c r="G1474">
        <f>INDEX(weekly!$E$2:$E$188,MATCH('Marketing Campaigns 22.11.22'!L1474,weekly!$H$2:$H$188,0))</f>
        <v>4289.1333333333341</v>
      </c>
      <c r="H1474">
        <f>INDEX(weekly!$D$2:$D$188,MATCH('Marketing Campaigns 22.11.22'!L1474,weekly!$H$2:$H$188,0))</f>
        <v>9704.3333333333339</v>
      </c>
      <c r="I1474">
        <f>INDEX(weekly!$F$2:$F$188,MATCH('Marketing Campaigns 22.11.22'!L1474,weekly!$H$2:$H$188,0))</f>
        <v>2240</v>
      </c>
      <c r="J1474">
        <v>0</v>
      </c>
      <c r="K1474">
        <v>0</v>
      </c>
      <c r="L1474" t="str">
        <f t="shared" si="44"/>
        <v>46-11-2022</v>
      </c>
      <c r="M1474">
        <f t="shared" si="45"/>
        <v>2022</v>
      </c>
    </row>
    <row r="1475" spans="1:13" x14ac:dyDescent="0.2">
      <c r="A1475" s="1">
        <v>44879</v>
      </c>
      <c r="B1475">
        <v>46</v>
      </c>
      <c r="C1475">
        <v>11</v>
      </c>
      <c r="D1475">
        <v>4</v>
      </c>
      <c r="E1475" t="s">
        <v>40</v>
      </c>
      <c r="F1475">
        <v>0</v>
      </c>
      <c r="G1475">
        <f>INDEX(weekly!$E$2:$E$188,MATCH('Marketing Campaigns 22.11.22'!L1475,weekly!$H$2:$H$188,0))</f>
        <v>4289.1333333333341</v>
      </c>
      <c r="H1475">
        <f>INDEX(weekly!$D$2:$D$188,MATCH('Marketing Campaigns 22.11.22'!L1475,weekly!$H$2:$H$188,0))</f>
        <v>9704.3333333333339</v>
      </c>
      <c r="I1475">
        <f>INDEX(weekly!$F$2:$F$188,MATCH('Marketing Campaigns 22.11.22'!L1475,weekly!$H$2:$H$188,0))</f>
        <v>2240</v>
      </c>
      <c r="J1475">
        <v>0</v>
      </c>
      <c r="K1475">
        <v>0</v>
      </c>
      <c r="L1475" t="str">
        <f t="shared" si="44"/>
        <v>46-11-2022</v>
      </c>
      <c r="M1475">
        <f t="shared" si="45"/>
        <v>2022</v>
      </c>
    </row>
    <row r="1476" spans="1:13" x14ac:dyDescent="0.2">
      <c r="A1476" s="1">
        <v>44879</v>
      </c>
      <c r="B1476">
        <v>46</v>
      </c>
      <c r="C1476">
        <v>11</v>
      </c>
      <c r="D1476">
        <v>4</v>
      </c>
      <c r="E1476" t="s">
        <v>41</v>
      </c>
      <c r="F1476">
        <v>0</v>
      </c>
      <c r="G1476">
        <f>INDEX(weekly!$E$2:$E$188,MATCH('Marketing Campaigns 22.11.22'!L1476,weekly!$H$2:$H$188,0))</f>
        <v>4289.1333333333341</v>
      </c>
      <c r="H1476">
        <f>INDEX(weekly!$D$2:$D$188,MATCH('Marketing Campaigns 22.11.22'!L1476,weekly!$H$2:$H$188,0))</f>
        <v>9704.3333333333339</v>
      </c>
      <c r="I1476">
        <f>INDEX(weekly!$F$2:$F$188,MATCH('Marketing Campaigns 22.11.22'!L1476,weekly!$H$2:$H$188,0))</f>
        <v>2240</v>
      </c>
      <c r="J1476">
        <v>0</v>
      </c>
      <c r="K1476">
        <v>0</v>
      </c>
      <c r="L1476" t="str">
        <f t="shared" ref="L1476:L1539" si="46">B1476&amp;"-"&amp;C1476&amp;"-"&amp;M1476</f>
        <v>46-11-2022</v>
      </c>
      <c r="M1476">
        <f t="shared" ref="M1476:M1539" si="47">YEAR(A1476)</f>
        <v>2022</v>
      </c>
    </row>
    <row r="1477" spans="1:13" x14ac:dyDescent="0.2">
      <c r="A1477" s="1">
        <v>44879</v>
      </c>
      <c r="B1477">
        <v>46</v>
      </c>
      <c r="C1477">
        <v>11</v>
      </c>
      <c r="D1477">
        <v>4</v>
      </c>
      <c r="E1477" t="s">
        <v>42</v>
      </c>
      <c r="F1477">
        <v>0</v>
      </c>
      <c r="G1477">
        <f>INDEX(weekly!$E$2:$E$188,MATCH('Marketing Campaigns 22.11.22'!L1477,weekly!$H$2:$H$188,0))</f>
        <v>4289.1333333333341</v>
      </c>
      <c r="H1477">
        <f>INDEX(weekly!$D$2:$D$188,MATCH('Marketing Campaigns 22.11.22'!L1477,weekly!$H$2:$H$188,0))</f>
        <v>9704.3333333333339</v>
      </c>
      <c r="I1477">
        <f>INDEX(weekly!$F$2:$F$188,MATCH('Marketing Campaigns 22.11.22'!L1477,weekly!$H$2:$H$188,0))</f>
        <v>2240</v>
      </c>
      <c r="J1477">
        <v>0</v>
      </c>
      <c r="K1477">
        <v>0</v>
      </c>
      <c r="L1477" t="str">
        <f t="shared" si="46"/>
        <v>46-11-2022</v>
      </c>
      <c r="M1477">
        <f t="shared" si="47"/>
        <v>2022</v>
      </c>
    </row>
    <row r="1478" spans="1:13" x14ac:dyDescent="0.2">
      <c r="A1478" s="1">
        <v>44879</v>
      </c>
      <c r="B1478">
        <v>46</v>
      </c>
      <c r="C1478">
        <v>11</v>
      </c>
      <c r="D1478">
        <v>4</v>
      </c>
      <c r="E1478" t="s">
        <v>43</v>
      </c>
      <c r="F1478">
        <v>0</v>
      </c>
      <c r="G1478">
        <f>INDEX(weekly!$E$2:$E$188,MATCH('Marketing Campaigns 22.11.22'!L1478,weekly!$H$2:$H$188,0))</f>
        <v>4289.1333333333341</v>
      </c>
      <c r="H1478">
        <f>INDEX(weekly!$D$2:$D$188,MATCH('Marketing Campaigns 22.11.22'!L1478,weekly!$H$2:$H$188,0))</f>
        <v>9704.3333333333339</v>
      </c>
      <c r="I1478">
        <f>INDEX(weekly!$F$2:$F$188,MATCH('Marketing Campaigns 22.11.22'!L1478,weekly!$H$2:$H$188,0))</f>
        <v>2240</v>
      </c>
      <c r="J1478">
        <v>0</v>
      </c>
      <c r="K1478">
        <v>0</v>
      </c>
      <c r="L1478" t="str">
        <f t="shared" si="46"/>
        <v>46-11-2022</v>
      </c>
      <c r="M1478">
        <f t="shared" si="47"/>
        <v>2022</v>
      </c>
    </row>
    <row r="1479" spans="1:13" x14ac:dyDescent="0.2">
      <c r="A1479" s="1">
        <v>44879</v>
      </c>
      <c r="B1479">
        <v>46</v>
      </c>
      <c r="C1479">
        <v>11</v>
      </c>
      <c r="D1479">
        <v>4</v>
      </c>
      <c r="E1479" t="s">
        <v>44</v>
      </c>
      <c r="F1479">
        <v>0</v>
      </c>
      <c r="G1479">
        <f>INDEX(weekly!$E$2:$E$188,MATCH('Marketing Campaigns 22.11.22'!L1479,weekly!$H$2:$H$188,0))</f>
        <v>4289.1333333333341</v>
      </c>
      <c r="H1479">
        <f>INDEX(weekly!$D$2:$D$188,MATCH('Marketing Campaigns 22.11.22'!L1479,weekly!$H$2:$H$188,0))</f>
        <v>9704.3333333333339</v>
      </c>
      <c r="I1479">
        <f>INDEX(weekly!$F$2:$F$188,MATCH('Marketing Campaigns 22.11.22'!L1479,weekly!$H$2:$H$188,0))</f>
        <v>2240</v>
      </c>
      <c r="J1479">
        <v>0</v>
      </c>
      <c r="K1479">
        <v>0</v>
      </c>
      <c r="L1479" t="str">
        <f t="shared" si="46"/>
        <v>46-11-2022</v>
      </c>
      <c r="M1479">
        <f t="shared" si="47"/>
        <v>2022</v>
      </c>
    </row>
    <row r="1480" spans="1:13" x14ac:dyDescent="0.2">
      <c r="A1480" s="1">
        <v>44879</v>
      </c>
      <c r="B1480">
        <v>46</v>
      </c>
      <c r="C1480">
        <v>11</v>
      </c>
      <c r="D1480">
        <v>4</v>
      </c>
      <c r="E1480" t="s">
        <v>45</v>
      </c>
      <c r="F1480">
        <v>0</v>
      </c>
      <c r="G1480">
        <f>INDEX(weekly!$E$2:$E$188,MATCH('Marketing Campaigns 22.11.22'!L1480,weekly!$H$2:$H$188,0))</f>
        <v>4289.1333333333341</v>
      </c>
      <c r="H1480">
        <f>INDEX(weekly!$D$2:$D$188,MATCH('Marketing Campaigns 22.11.22'!L1480,weekly!$H$2:$H$188,0))</f>
        <v>9704.3333333333339</v>
      </c>
      <c r="I1480">
        <f>INDEX(weekly!$F$2:$F$188,MATCH('Marketing Campaigns 22.11.22'!L1480,weekly!$H$2:$H$188,0))</f>
        <v>2240</v>
      </c>
      <c r="J1480">
        <v>0</v>
      </c>
      <c r="K1480">
        <v>0</v>
      </c>
      <c r="L1480" t="str">
        <f t="shared" si="46"/>
        <v>46-11-2022</v>
      </c>
      <c r="M1480">
        <f t="shared" si="47"/>
        <v>2022</v>
      </c>
    </row>
    <row r="1481" spans="1:13" x14ac:dyDescent="0.2">
      <c r="A1481" s="1">
        <v>44879</v>
      </c>
      <c r="B1481">
        <v>46</v>
      </c>
      <c r="C1481">
        <v>11</v>
      </c>
      <c r="D1481">
        <v>4</v>
      </c>
      <c r="E1481" t="s">
        <v>46</v>
      </c>
      <c r="F1481">
        <v>0</v>
      </c>
      <c r="G1481">
        <f>INDEX(weekly!$E$2:$E$188,MATCH('Marketing Campaigns 22.11.22'!L1481,weekly!$H$2:$H$188,0))</f>
        <v>4289.1333333333341</v>
      </c>
      <c r="H1481">
        <f>INDEX(weekly!$D$2:$D$188,MATCH('Marketing Campaigns 22.11.22'!L1481,weekly!$H$2:$H$188,0))</f>
        <v>9704.3333333333339</v>
      </c>
      <c r="I1481">
        <f>INDEX(weekly!$F$2:$F$188,MATCH('Marketing Campaigns 22.11.22'!L1481,weekly!$H$2:$H$188,0))</f>
        <v>2240</v>
      </c>
      <c r="J1481">
        <v>0</v>
      </c>
      <c r="K1481">
        <v>0</v>
      </c>
      <c r="L1481" t="str">
        <f t="shared" si="46"/>
        <v>46-11-2022</v>
      </c>
      <c r="M1481">
        <f t="shared" si="47"/>
        <v>2022</v>
      </c>
    </row>
    <row r="1482" spans="1:13" x14ac:dyDescent="0.2">
      <c r="A1482" s="1">
        <v>44879</v>
      </c>
      <c r="B1482">
        <v>46</v>
      </c>
      <c r="C1482">
        <v>11</v>
      </c>
      <c r="D1482">
        <v>4</v>
      </c>
      <c r="E1482" t="s">
        <v>47</v>
      </c>
      <c r="F1482">
        <v>0</v>
      </c>
      <c r="G1482">
        <f>INDEX(weekly!$E$2:$E$188,MATCH('Marketing Campaigns 22.11.22'!L1482,weekly!$H$2:$H$188,0))</f>
        <v>4289.1333333333341</v>
      </c>
      <c r="H1482">
        <f>INDEX(weekly!$D$2:$D$188,MATCH('Marketing Campaigns 22.11.22'!L1482,weekly!$H$2:$H$188,0))</f>
        <v>9704.3333333333339</v>
      </c>
      <c r="I1482">
        <f>INDEX(weekly!$F$2:$F$188,MATCH('Marketing Campaigns 22.11.22'!L1482,weekly!$H$2:$H$188,0))</f>
        <v>2240</v>
      </c>
      <c r="J1482">
        <v>0</v>
      </c>
      <c r="K1482">
        <v>0</v>
      </c>
      <c r="L1482" t="str">
        <f t="shared" si="46"/>
        <v>46-11-2022</v>
      </c>
      <c r="M1482">
        <f t="shared" si="47"/>
        <v>2022</v>
      </c>
    </row>
    <row r="1483" spans="1:13" x14ac:dyDescent="0.2">
      <c r="A1483" s="1">
        <v>44879</v>
      </c>
      <c r="B1483">
        <v>46</v>
      </c>
      <c r="C1483">
        <v>11</v>
      </c>
      <c r="D1483">
        <v>4</v>
      </c>
      <c r="E1483" t="s">
        <v>48</v>
      </c>
      <c r="F1483">
        <v>0</v>
      </c>
      <c r="G1483">
        <f>INDEX(weekly!$E$2:$E$188,MATCH('Marketing Campaigns 22.11.22'!L1483,weekly!$H$2:$H$188,0))</f>
        <v>4289.1333333333341</v>
      </c>
      <c r="H1483">
        <f>INDEX(weekly!$D$2:$D$188,MATCH('Marketing Campaigns 22.11.22'!L1483,weekly!$H$2:$H$188,0))</f>
        <v>9704.3333333333339</v>
      </c>
      <c r="I1483">
        <f>INDEX(weekly!$F$2:$F$188,MATCH('Marketing Campaigns 22.11.22'!L1483,weekly!$H$2:$H$188,0))</f>
        <v>2240</v>
      </c>
      <c r="J1483">
        <v>0</v>
      </c>
      <c r="K1483">
        <v>0</v>
      </c>
      <c r="L1483" t="str">
        <f t="shared" si="46"/>
        <v>46-11-2022</v>
      </c>
      <c r="M1483">
        <f t="shared" si="47"/>
        <v>2022</v>
      </c>
    </row>
    <row r="1484" spans="1:13" x14ac:dyDescent="0.2">
      <c r="A1484" s="1">
        <v>44879</v>
      </c>
      <c r="B1484">
        <v>46</v>
      </c>
      <c r="C1484">
        <v>11</v>
      </c>
      <c r="D1484">
        <v>4</v>
      </c>
      <c r="E1484" t="s">
        <v>49</v>
      </c>
      <c r="F1484">
        <v>0</v>
      </c>
      <c r="G1484">
        <f>INDEX(weekly!$E$2:$E$188,MATCH('Marketing Campaigns 22.11.22'!L1484,weekly!$H$2:$H$188,0))</f>
        <v>4289.1333333333341</v>
      </c>
      <c r="H1484">
        <f>INDEX(weekly!$D$2:$D$188,MATCH('Marketing Campaigns 22.11.22'!L1484,weekly!$H$2:$H$188,0))</f>
        <v>9704.3333333333339</v>
      </c>
      <c r="I1484">
        <f>INDEX(weekly!$F$2:$F$188,MATCH('Marketing Campaigns 22.11.22'!L1484,weekly!$H$2:$H$188,0))</f>
        <v>2240</v>
      </c>
      <c r="J1484">
        <v>0</v>
      </c>
      <c r="K1484">
        <v>0</v>
      </c>
      <c r="L1484" t="str">
        <f t="shared" si="46"/>
        <v>46-11-2022</v>
      </c>
      <c r="M1484">
        <f t="shared" si="47"/>
        <v>2022</v>
      </c>
    </row>
    <row r="1485" spans="1:13" x14ac:dyDescent="0.2">
      <c r="A1485" s="1">
        <v>44879</v>
      </c>
      <c r="B1485">
        <v>46</v>
      </c>
      <c r="C1485">
        <v>11</v>
      </c>
      <c r="D1485">
        <v>4</v>
      </c>
      <c r="E1485" t="s">
        <v>50</v>
      </c>
      <c r="F1485">
        <v>0</v>
      </c>
      <c r="G1485">
        <f>INDEX(weekly!$E$2:$E$188,MATCH('Marketing Campaigns 22.11.22'!L1485,weekly!$H$2:$H$188,0))</f>
        <v>4289.1333333333341</v>
      </c>
      <c r="H1485">
        <f>INDEX(weekly!$D$2:$D$188,MATCH('Marketing Campaigns 22.11.22'!L1485,weekly!$H$2:$H$188,0))</f>
        <v>9704.3333333333339</v>
      </c>
      <c r="I1485">
        <f>INDEX(weekly!$F$2:$F$188,MATCH('Marketing Campaigns 22.11.22'!L1485,weekly!$H$2:$H$188,0))</f>
        <v>2240</v>
      </c>
      <c r="J1485">
        <v>0</v>
      </c>
      <c r="K1485">
        <v>0</v>
      </c>
      <c r="L1485" t="str">
        <f t="shared" si="46"/>
        <v>46-11-2022</v>
      </c>
      <c r="M1485">
        <f t="shared" si="47"/>
        <v>2022</v>
      </c>
    </row>
    <row r="1486" spans="1:13" x14ac:dyDescent="0.2">
      <c r="A1486" s="1">
        <v>44879</v>
      </c>
      <c r="B1486">
        <v>46</v>
      </c>
      <c r="C1486">
        <v>11</v>
      </c>
      <c r="D1486">
        <v>4</v>
      </c>
      <c r="E1486" t="s">
        <v>51</v>
      </c>
      <c r="F1486">
        <v>0</v>
      </c>
      <c r="G1486">
        <f>INDEX(weekly!$E$2:$E$188,MATCH('Marketing Campaigns 22.11.22'!L1486,weekly!$H$2:$H$188,0))</f>
        <v>4289.1333333333341</v>
      </c>
      <c r="H1486">
        <f>INDEX(weekly!$D$2:$D$188,MATCH('Marketing Campaigns 22.11.22'!L1486,weekly!$H$2:$H$188,0))</f>
        <v>9704.3333333333339</v>
      </c>
      <c r="I1486">
        <f>INDEX(weekly!$F$2:$F$188,MATCH('Marketing Campaigns 22.11.22'!L1486,weekly!$H$2:$H$188,0))</f>
        <v>2240</v>
      </c>
      <c r="J1486">
        <v>0</v>
      </c>
      <c r="K1486">
        <v>0</v>
      </c>
      <c r="L1486" t="str">
        <f t="shared" si="46"/>
        <v>46-11-2022</v>
      </c>
      <c r="M1486">
        <f t="shared" si="47"/>
        <v>2022</v>
      </c>
    </row>
    <row r="1487" spans="1:13" x14ac:dyDescent="0.2">
      <c r="A1487" s="1">
        <v>44879</v>
      </c>
      <c r="B1487">
        <v>46</v>
      </c>
      <c r="C1487">
        <v>11</v>
      </c>
      <c r="D1487">
        <v>4</v>
      </c>
      <c r="E1487" t="s">
        <v>52</v>
      </c>
      <c r="F1487">
        <v>0</v>
      </c>
      <c r="G1487">
        <f>INDEX(weekly!$E$2:$E$188,MATCH('Marketing Campaigns 22.11.22'!L1487,weekly!$H$2:$H$188,0))</f>
        <v>4289.1333333333341</v>
      </c>
      <c r="H1487">
        <f>INDEX(weekly!$D$2:$D$188,MATCH('Marketing Campaigns 22.11.22'!L1487,weekly!$H$2:$H$188,0))</f>
        <v>9704.3333333333339</v>
      </c>
      <c r="I1487">
        <f>INDEX(weekly!$F$2:$F$188,MATCH('Marketing Campaigns 22.11.22'!L1487,weekly!$H$2:$H$188,0))</f>
        <v>2240</v>
      </c>
      <c r="J1487">
        <v>0</v>
      </c>
      <c r="K1487">
        <v>0</v>
      </c>
      <c r="L1487" t="str">
        <f t="shared" si="46"/>
        <v>46-11-2022</v>
      </c>
      <c r="M1487">
        <f t="shared" si="47"/>
        <v>2022</v>
      </c>
    </row>
    <row r="1488" spans="1:13" x14ac:dyDescent="0.2">
      <c r="A1488" s="1">
        <v>44886</v>
      </c>
      <c r="B1488">
        <v>47</v>
      </c>
      <c r="C1488">
        <v>11</v>
      </c>
      <c r="D1488">
        <v>4</v>
      </c>
      <c r="E1488" t="s">
        <v>24</v>
      </c>
      <c r="F1488">
        <v>0</v>
      </c>
      <c r="G1488">
        <f>INDEX(weekly!$E$2:$E$188,MATCH('Marketing Campaigns 22.11.22'!L1488,weekly!$H$2:$H$188,0))</f>
        <v>4289.1333333333341</v>
      </c>
      <c r="H1488">
        <f>INDEX(weekly!$D$2:$D$188,MATCH('Marketing Campaigns 22.11.22'!L1488,weekly!$H$2:$H$188,0))</f>
        <v>9704.3333333333339</v>
      </c>
      <c r="I1488">
        <f>INDEX(weekly!$F$2:$F$188,MATCH('Marketing Campaigns 22.11.22'!L1488,weekly!$H$2:$H$188,0))</f>
        <v>2240</v>
      </c>
      <c r="J1488">
        <v>0</v>
      </c>
      <c r="K1488">
        <v>0</v>
      </c>
      <c r="L1488" t="str">
        <f t="shared" si="46"/>
        <v>47-11-2022</v>
      </c>
      <c r="M1488">
        <f t="shared" si="47"/>
        <v>2022</v>
      </c>
    </row>
    <row r="1489" spans="1:13" x14ac:dyDescent="0.2">
      <c r="A1489" s="1">
        <v>44886</v>
      </c>
      <c r="B1489">
        <v>47</v>
      </c>
      <c r="C1489">
        <v>11</v>
      </c>
      <c r="D1489">
        <v>4</v>
      </c>
      <c r="E1489" t="s">
        <v>39</v>
      </c>
      <c r="F1489">
        <v>0</v>
      </c>
      <c r="G1489">
        <f>INDEX(weekly!$E$2:$E$188,MATCH('Marketing Campaigns 22.11.22'!L1489,weekly!$H$2:$H$188,0))</f>
        <v>4289.1333333333341</v>
      </c>
      <c r="H1489">
        <f>INDEX(weekly!$D$2:$D$188,MATCH('Marketing Campaigns 22.11.22'!L1489,weekly!$H$2:$H$188,0))</f>
        <v>9704.3333333333339</v>
      </c>
      <c r="I1489">
        <f>INDEX(weekly!$F$2:$F$188,MATCH('Marketing Campaigns 22.11.22'!L1489,weekly!$H$2:$H$188,0))</f>
        <v>2240</v>
      </c>
      <c r="J1489">
        <v>0</v>
      </c>
      <c r="K1489">
        <v>0</v>
      </c>
      <c r="L1489" t="str">
        <f t="shared" si="46"/>
        <v>47-11-2022</v>
      </c>
      <c r="M1489">
        <f t="shared" si="47"/>
        <v>2022</v>
      </c>
    </row>
    <row r="1490" spans="1:13" x14ac:dyDescent="0.2">
      <c r="A1490" s="1">
        <v>44886</v>
      </c>
      <c r="B1490">
        <v>47</v>
      </c>
      <c r="C1490">
        <v>11</v>
      </c>
      <c r="D1490">
        <v>4</v>
      </c>
      <c r="E1490" t="s">
        <v>40</v>
      </c>
      <c r="F1490">
        <v>0</v>
      </c>
      <c r="G1490">
        <f>INDEX(weekly!$E$2:$E$188,MATCH('Marketing Campaigns 22.11.22'!L1490,weekly!$H$2:$H$188,0))</f>
        <v>4289.1333333333341</v>
      </c>
      <c r="H1490">
        <f>INDEX(weekly!$D$2:$D$188,MATCH('Marketing Campaigns 22.11.22'!L1490,weekly!$H$2:$H$188,0))</f>
        <v>9704.3333333333339</v>
      </c>
      <c r="I1490">
        <f>INDEX(weekly!$F$2:$F$188,MATCH('Marketing Campaigns 22.11.22'!L1490,weekly!$H$2:$H$188,0))</f>
        <v>2240</v>
      </c>
      <c r="J1490">
        <v>0</v>
      </c>
      <c r="K1490">
        <v>0</v>
      </c>
      <c r="L1490" t="str">
        <f t="shared" si="46"/>
        <v>47-11-2022</v>
      </c>
      <c r="M1490">
        <f t="shared" si="47"/>
        <v>2022</v>
      </c>
    </row>
    <row r="1491" spans="1:13" x14ac:dyDescent="0.2">
      <c r="A1491" s="1">
        <v>44886</v>
      </c>
      <c r="B1491">
        <v>47</v>
      </c>
      <c r="C1491">
        <v>11</v>
      </c>
      <c r="D1491">
        <v>4</v>
      </c>
      <c r="E1491" t="s">
        <v>41</v>
      </c>
      <c r="F1491">
        <v>0</v>
      </c>
      <c r="G1491">
        <f>INDEX(weekly!$E$2:$E$188,MATCH('Marketing Campaigns 22.11.22'!L1491,weekly!$H$2:$H$188,0))</f>
        <v>4289.1333333333341</v>
      </c>
      <c r="H1491">
        <f>INDEX(weekly!$D$2:$D$188,MATCH('Marketing Campaigns 22.11.22'!L1491,weekly!$H$2:$H$188,0))</f>
        <v>9704.3333333333339</v>
      </c>
      <c r="I1491">
        <f>INDEX(weekly!$F$2:$F$188,MATCH('Marketing Campaigns 22.11.22'!L1491,weekly!$H$2:$H$188,0))</f>
        <v>2240</v>
      </c>
      <c r="J1491">
        <v>0</v>
      </c>
      <c r="K1491">
        <v>0</v>
      </c>
      <c r="L1491" t="str">
        <f t="shared" si="46"/>
        <v>47-11-2022</v>
      </c>
      <c r="M1491">
        <f t="shared" si="47"/>
        <v>2022</v>
      </c>
    </row>
    <row r="1492" spans="1:13" x14ac:dyDescent="0.2">
      <c r="A1492" s="1">
        <v>44886</v>
      </c>
      <c r="B1492">
        <v>47</v>
      </c>
      <c r="C1492">
        <v>11</v>
      </c>
      <c r="D1492">
        <v>4</v>
      </c>
      <c r="E1492" t="s">
        <v>42</v>
      </c>
      <c r="F1492">
        <v>0</v>
      </c>
      <c r="G1492">
        <f>INDEX(weekly!$E$2:$E$188,MATCH('Marketing Campaigns 22.11.22'!L1492,weekly!$H$2:$H$188,0))</f>
        <v>4289.1333333333341</v>
      </c>
      <c r="H1492">
        <f>INDEX(weekly!$D$2:$D$188,MATCH('Marketing Campaigns 22.11.22'!L1492,weekly!$H$2:$H$188,0))</f>
        <v>9704.3333333333339</v>
      </c>
      <c r="I1492">
        <f>INDEX(weekly!$F$2:$F$188,MATCH('Marketing Campaigns 22.11.22'!L1492,weekly!$H$2:$H$188,0))</f>
        <v>2240</v>
      </c>
      <c r="J1492">
        <v>0</v>
      </c>
      <c r="K1492">
        <v>0</v>
      </c>
      <c r="L1492" t="str">
        <f t="shared" si="46"/>
        <v>47-11-2022</v>
      </c>
      <c r="M1492">
        <f t="shared" si="47"/>
        <v>2022</v>
      </c>
    </row>
    <row r="1493" spans="1:13" x14ac:dyDescent="0.2">
      <c r="A1493" s="1">
        <v>44886</v>
      </c>
      <c r="B1493">
        <v>47</v>
      </c>
      <c r="C1493">
        <v>11</v>
      </c>
      <c r="D1493">
        <v>4</v>
      </c>
      <c r="E1493" t="s">
        <v>43</v>
      </c>
      <c r="F1493">
        <v>0</v>
      </c>
      <c r="G1493">
        <f>INDEX(weekly!$E$2:$E$188,MATCH('Marketing Campaigns 22.11.22'!L1493,weekly!$H$2:$H$188,0))</f>
        <v>4289.1333333333341</v>
      </c>
      <c r="H1493">
        <f>INDEX(weekly!$D$2:$D$188,MATCH('Marketing Campaigns 22.11.22'!L1493,weekly!$H$2:$H$188,0))</f>
        <v>9704.3333333333339</v>
      </c>
      <c r="I1493">
        <f>INDEX(weekly!$F$2:$F$188,MATCH('Marketing Campaigns 22.11.22'!L1493,weekly!$H$2:$H$188,0))</f>
        <v>2240</v>
      </c>
      <c r="J1493">
        <v>0</v>
      </c>
      <c r="K1493">
        <v>0</v>
      </c>
      <c r="L1493" t="str">
        <f t="shared" si="46"/>
        <v>47-11-2022</v>
      </c>
      <c r="M1493">
        <f t="shared" si="47"/>
        <v>2022</v>
      </c>
    </row>
    <row r="1494" spans="1:13" x14ac:dyDescent="0.2">
      <c r="A1494" s="1">
        <v>44886</v>
      </c>
      <c r="B1494">
        <v>47</v>
      </c>
      <c r="C1494">
        <v>11</v>
      </c>
      <c r="D1494">
        <v>4</v>
      </c>
      <c r="E1494" t="s">
        <v>44</v>
      </c>
      <c r="F1494">
        <v>0</v>
      </c>
      <c r="G1494">
        <f>INDEX(weekly!$E$2:$E$188,MATCH('Marketing Campaigns 22.11.22'!L1494,weekly!$H$2:$H$188,0))</f>
        <v>4289.1333333333341</v>
      </c>
      <c r="H1494">
        <f>INDEX(weekly!$D$2:$D$188,MATCH('Marketing Campaigns 22.11.22'!L1494,weekly!$H$2:$H$188,0))</f>
        <v>9704.3333333333339</v>
      </c>
      <c r="I1494">
        <f>INDEX(weekly!$F$2:$F$188,MATCH('Marketing Campaigns 22.11.22'!L1494,weekly!$H$2:$H$188,0))</f>
        <v>2240</v>
      </c>
      <c r="J1494">
        <v>0</v>
      </c>
      <c r="K1494">
        <v>0</v>
      </c>
      <c r="L1494" t="str">
        <f t="shared" si="46"/>
        <v>47-11-2022</v>
      </c>
      <c r="M1494">
        <f t="shared" si="47"/>
        <v>2022</v>
      </c>
    </row>
    <row r="1495" spans="1:13" x14ac:dyDescent="0.2">
      <c r="A1495" s="1">
        <v>44886</v>
      </c>
      <c r="B1495">
        <v>47</v>
      </c>
      <c r="C1495">
        <v>11</v>
      </c>
      <c r="D1495">
        <v>4</v>
      </c>
      <c r="E1495" t="s">
        <v>45</v>
      </c>
      <c r="F1495">
        <v>0</v>
      </c>
      <c r="G1495">
        <f>INDEX(weekly!$E$2:$E$188,MATCH('Marketing Campaigns 22.11.22'!L1495,weekly!$H$2:$H$188,0))</f>
        <v>4289.1333333333341</v>
      </c>
      <c r="H1495">
        <f>INDEX(weekly!$D$2:$D$188,MATCH('Marketing Campaigns 22.11.22'!L1495,weekly!$H$2:$H$188,0))</f>
        <v>9704.3333333333339</v>
      </c>
      <c r="I1495">
        <f>INDEX(weekly!$F$2:$F$188,MATCH('Marketing Campaigns 22.11.22'!L1495,weekly!$H$2:$H$188,0))</f>
        <v>2240</v>
      </c>
      <c r="J1495">
        <v>0</v>
      </c>
      <c r="K1495">
        <v>0</v>
      </c>
      <c r="L1495" t="str">
        <f t="shared" si="46"/>
        <v>47-11-2022</v>
      </c>
      <c r="M1495">
        <f t="shared" si="47"/>
        <v>2022</v>
      </c>
    </row>
    <row r="1496" spans="1:13" x14ac:dyDescent="0.2">
      <c r="A1496" s="1">
        <v>44886</v>
      </c>
      <c r="B1496">
        <v>47</v>
      </c>
      <c r="C1496">
        <v>11</v>
      </c>
      <c r="D1496">
        <v>4</v>
      </c>
      <c r="E1496" t="s">
        <v>46</v>
      </c>
      <c r="F1496">
        <v>0</v>
      </c>
      <c r="G1496">
        <f>INDEX(weekly!$E$2:$E$188,MATCH('Marketing Campaigns 22.11.22'!L1496,weekly!$H$2:$H$188,0))</f>
        <v>4289.1333333333341</v>
      </c>
      <c r="H1496">
        <f>INDEX(weekly!$D$2:$D$188,MATCH('Marketing Campaigns 22.11.22'!L1496,weekly!$H$2:$H$188,0))</f>
        <v>9704.3333333333339</v>
      </c>
      <c r="I1496">
        <f>INDEX(weekly!$F$2:$F$188,MATCH('Marketing Campaigns 22.11.22'!L1496,weekly!$H$2:$H$188,0))</f>
        <v>2240</v>
      </c>
      <c r="J1496">
        <v>0</v>
      </c>
      <c r="K1496">
        <v>0</v>
      </c>
      <c r="L1496" t="str">
        <f t="shared" si="46"/>
        <v>47-11-2022</v>
      </c>
      <c r="M1496">
        <f t="shared" si="47"/>
        <v>2022</v>
      </c>
    </row>
    <row r="1497" spans="1:13" x14ac:dyDescent="0.2">
      <c r="A1497" s="1">
        <v>44886</v>
      </c>
      <c r="B1497">
        <v>47</v>
      </c>
      <c r="C1497">
        <v>11</v>
      </c>
      <c r="D1497">
        <v>4</v>
      </c>
      <c r="E1497" t="s">
        <v>47</v>
      </c>
      <c r="F1497">
        <v>0</v>
      </c>
      <c r="G1497">
        <f>INDEX(weekly!$E$2:$E$188,MATCH('Marketing Campaigns 22.11.22'!L1497,weekly!$H$2:$H$188,0))</f>
        <v>4289.1333333333341</v>
      </c>
      <c r="H1497">
        <f>INDEX(weekly!$D$2:$D$188,MATCH('Marketing Campaigns 22.11.22'!L1497,weekly!$H$2:$H$188,0))</f>
        <v>9704.3333333333339</v>
      </c>
      <c r="I1497">
        <f>INDEX(weekly!$F$2:$F$188,MATCH('Marketing Campaigns 22.11.22'!L1497,weekly!$H$2:$H$188,0))</f>
        <v>2240</v>
      </c>
      <c r="J1497">
        <v>0</v>
      </c>
      <c r="K1497">
        <v>0</v>
      </c>
      <c r="L1497" t="str">
        <f t="shared" si="46"/>
        <v>47-11-2022</v>
      </c>
      <c r="M1497">
        <f t="shared" si="47"/>
        <v>2022</v>
      </c>
    </row>
    <row r="1498" spans="1:13" x14ac:dyDescent="0.2">
      <c r="A1498" s="1">
        <v>44886</v>
      </c>
      <c r="B1498">
        <v>47</v>
      </c>
      <c r="C1498">
        <v>11</v>
      </c>
      <c r="D1498">
        <v>4</v>
      </c>
      <c r="E1498" t="s">
        <v>48</v>
      </c>
      <c r="F1498">
        <v>0</v>
      </c>
      <c r="G1498">
        <f>INDEX(weekly!$E$2:$E$188,MATCH('Marketing Campaigns 22.11.22'!L1498,weekly!$H$2:$H$188,0))</f>
        <v>4289.1333333333341</v>
      </c>
      <c r="H1498">
        <f>INDEX(weekly!$D$2:$D$188,MATCH('Marketing Campaigns 22.11.22'!L1498,weekly!$H$2:$H$188,0))</f>
        <v>9704.3333333333339</v>
      </c>
      <c r="I1498">
        <f>INDEX(weekly!$F$2:$F$188,MATCH('Marketing Campaigns 22.11.22'!L1498,weekly!$H$2:$H$188,0))</f>
        <v>2240</v>
      </c>
      <c r="J1498">
        <v>0</v>
      </c>
      <c r="K1498">
        <v>0</v>
      </c>
      <c r="L1498" t="str">
        <f t="shared" si="46"/>
        <v>47-11-2022</v>
      </c>
      <c r="M1498">
        <f t="shared" si="47"/>
        <v>2022</v>
      </c>
    </row>
    <row r="1499" spans="1:13" x14ac:dyDescent="0.2">
      <c r="A1499" s="1">
        <v>44886</v>
      </c>
      <c r="B1499">
        <v>47</v>
      </c>
      <c r="C1499">
        <v>11</v>
      </c>
      <c r="D1499">
        <v>4</v>
      </c>
      <c r="E1499" t="s">
        <v>49</v>
      </c>
      <c r="F1499">
        <v>0</v>
      </c>
      <c r="G1499">
        <f>INDEX(weekly!$E$2:$E$188,MATCH('Marketing Campaigns 22.11.22'!L1499,weekly!$H$2:$H$188,0))</f>
        <v>4289.1333333333341</v>
      </c>
      <c r="H1499">
        <f>INDEX(weekly!$D$2:$D$188,MATCH('Marketing Campaigns 22.11.22'!L1499,weekly!$H$2:$H$188,0))</f>
        <v>9704.3333333333339</v>
      </c>
      <c r="I1499">
        <f>INDEX(weekly!$F$2:$F$188,MATCH('Marketing Campaigns 22.11.22'!L1499,weekly!$H$2:$H$188,0))</f>
        <v>2240</v>
      </c>
      <c r="J1499">
        <v>0</v>
      </c>
      <c r="K1499">
        <v>0</v>
      </c>
      <c r="L1499" t="str">
        <f t="shared" si="46"/>
        <v>47-11-2022</v>
      </c>
      <c r="M1499">
        <f t="shared" si="47"/>
        <v>2022</v>
      </c>
    </row>
    <row r="1500" spans="1:13" x14ac:dyDescent="0.2">
      <c r="A1500" s="1">
        <v>44886</v>
      </c>
      <c r="B1500">
        <v>47</v>
      </c>
      <c r="C1500">
        <v>11</v>
      </c>
      <c r="D1500">
        <v>4</v>
      </c>
      <c r="E1500" t="s">
        <v>50</v>
      </c>
      <c r="F1500">
        <v>0</v>
      </c>
      <c r="G1500">
        <f>INDEX(weekly!$E$2:$E$188,MATCH('Marketing Campaigns 22.11.22'!L1500,weekly!$H$2:$H$188,0))</f>
        <v>4289.1333333333341</v>
      </c>
      <c r="H1500">
        <f>INDEX(weekly!$D$2:$D$188,MATCH('Marketing Campaigns 22.11.22'!L1500,weekly!$H$2:$H$188,0))</f>
        <v>9704.3333333333339</v>
      </c>
      <c r="I1500">
        <f>INDEX(weekly!$F$2:$F$188,MATCH('Marketing Campaigns 22.11.22'!L1500,weekly!$H$2:$H$188,0))</f>
        <v>2240</v>
      </c>
      <c r="J1500">
        <v>0</v>
      </c>
      <c r="K1500">
        <v>0</v>
      </c>
      <c r="L1500" t="str">
        <f t="shared" si="46"/>
        <v>47-11-2022</v>
      </c>
      <c r="M1500">
        <f t="shared" si="47"/>
        <v>2022</v>
      </c>
    </row>
    <row r="1501" spans="1:13" x14ac:dyDescent="0.2">
      <c r="A1501" s="1">
        <v>44886</v>
      </c>
      <c r="B1501">
        <v>47</v>
      </c>
      <c r="C1501">
        <v>11</v>
      </c>
      <c r="D1501">
        <v>4</v>
      </c>
      <c r="E1501" t="s">
        <v>51</v>
      </c>
      <c r="F1501">
        <v>0</v>
      </c>
      <c r="G1501">
        <f>INDEX(weekly!$E$2:$E$188,MATCH('Marketing Campaigns 22.11.22'!L1501,weekly!$H$2:$H$188,0))</f>
        <v>4289.1333333333341</v>
      </c>
      <c r="H1501">
        <f>INDEX(weekly!$D$2:$D$188,MATCH('Marketing Campaigns 22.11.22'!L1501,weekly!$H$2:$H$188,0))</f>
        <v>9704.3333333333339</v>
      </c>
      <c r="I1501">
        <f>INDEX(weekly!$F$2:$F$188,MATCH('Marketing Campaigns 22.11.22'!L1501,weekly!$H$2:$H$188,0))</f>
        <v>2240</v>
      </c>
      <c r="J1501">
        <v>0</v>
      </c>
      <c r="K1501">
        <v>0</v>
      </c>
      <c r="L1501" t="str">
        <f t="shared" si="46"/>
        <v>47-11-2022</v>
      </c>
      <c r="M1501">
        <f t="shared" si="47"/>
        <v>2022</v>
      </c>
    </row>
    <row r="1502" spans="1:13" x14ac:dyDescent="0.2">
      <c r="A1502" s="1">
        <v>44886</v>
      </c>
      <c r="B1502">
        <v>47</v>
      </c>
      <c r="C1502">
        <v>11</v>
      </c>
      <c r="D1502">
        <v>4</v>
      </c>
      <c r="E1502" t="s">
        <v>52</v>
      </c>
      <c r="F1502">
        <v>0</v>
      </c>
      <c r="G1502">
        <f>INDEX(weekly!$E$2:$E$188,MATCH('Marketing Campaigns 22.11.22'!L1502,weekly!$H$2:$H$188,0))</f>
        <v>4289.1333333333341</v>
      </c>
      <c r="H1502">
        <f>INDEX(weekly!$D$2:$D$188,MATCH('Marketing Campaigns 22.11.22'!L1502,weekly!$H$2:$H$188,0))</f>
        <v>9704.3333333333339</v>
      </c>
      <c r="I1502">
        <f>INDEX(weekly!$F$2:$F$188,MATCH('Marketing Campaigns 22.11.22'!L1502,weekly!$H$2:$H$188,0))</f>
        <v>2240</v>
      </c>
      <c r="J1502">
        <v>0</v>
      </c>
      <c r="K1502">
        <v>0</v>
      </c>
      <c r="L1502" t="str">
        <f t="shared" si="46"/>
        <v>47-11-2022</v>
      </c>
      <c r="M1502">
        <f t="shared" si="47"/>
        <v>2022</v>
      </c>
    </row>
    <row r="1503" spans="1:13" x14ac:dyDescent="0.2">
      <c r="A1503" s="1">
        <v>44893</v>
      </c>
      <c r="B1503">
        <v>48</v>
      </c>
      <c r="C1503">
        <v>11</v>
      </c>
      <c r="D1503">
        <v>4</v>
      </c>
      <c r="E1503" t="s">
        <v>24</v>
      </c>
      <c r="F1503">
        <v>0</v>
      </c>
      <c r="G1503">
        <f>INDEX(weekly!$E$2:$E$188,MATCH('Marketing Campaigns 22.11.22'!L1503,weekly!$H$2:$H$188,0))</f>
        <v>1838.2</v>
      </c>
      <c r="H1503">
        <f>INDEX(weekly!$D$2:$D$188,MATCH('Marketing Campaigns 22.11.22'!L1503,weekly!$H$2:$H$188,0))</f>
        <v>4159</v>
      </c>
      <c r="I1503">
        <f>INDEX(weekly!$F$2:$F$188,MATCH('Marketing Campaigns 22.11.22'!L1503,weekly!$H$2:$H$188,0))</f>
        <v>960</v>
      </c>
      <c r="J1503">
        <v>0</v>
      </c>
      <c r="K1503">
        <v>0</v>
      </c>
      <c r="L1503" t="str">
        <f t="shared" si="46"/>
        <v>48-11-2022</v>
      </c>
      <c r="M1503">
        <f t="shared" si="47"/>
        <v>2022</v>
      </c>
    </row>
    <row r="1504" spans="1:13" x14ac:dyDescent="0.2">
      <c r="A1504" s="1">
        <v>44893</v>
      </c>
      <c r="B1504">
        <v>48</v>
      </c>
      <c r="C1504">
        <v>11</v>
      </c>
      <c r="D1504">
        <v>4</v>
      </c>
      <c r="E1504" t="s">
        <v>39</v>
      </c>
      <c r="F1504">
        <v>0</v>
      </c>
      <c r="G1504">
        <f>INDEX(weekly!$E$2:$E$188,MATCH('Marketing Campaigns 22.11.22'!L1504,weekly!$H$2:$H$188,0))</f>
        <v>1838.2</v>
      </c>
      <c r="H1504">
        <f>INDEX(weekly!$D$2:$D$188,MATCH('Marketing Campaigns 22.11.22'!L1504,weekly!$H$2:$H$188,0))</f>
        <v>4159</v>
      </c>
      <c r="I1504">
        <f>INDEX(weekly!$F$2:$F$188,MATCH('Marketing Campaigns 22.11.22'!L1504,weekly!$H$2:$H$188,0))</f>
        <v>960</v>
      </c>
      <c r="J1504">
        <v>0</v>
      </c>
      <c r="K1504">
        <v>0</v>
      </c>
      <c r="L1504" t="str">
        <f t="shared" si="46"/>
        <v>48-11-2022</v>
      </c>
      <c r="M1504">
        <f t="shared" si="47"/>
        <v>2022</v>
      </c>
    </row>
    <row r="1505" spans="1:13" x14ac:dyDescent="0.2">
      <c r="A1505" s="1">
        <v>44893</v>
      </c>
      <c r="B1505">
        <v>48</v>
      </c>
      <c r="C1505">
        <v>11</v>
      </c>
      <c r="D1505">
        <v>4</v>
      </c>
      <c r="E1505" t="s">
        <v>40</v>
      </c>
      <c r="F1505">
        <v>0</v>
      </c>
      <c r="G1505">
        <f>INDEX(weekly!$E$2:$E$188,MATCH('Marketing Campaigns 22.11.22'!L1505,weekly!$H$2:$H$188,0))</f>
        <v>1838.2</v>
      </c>
      <c r="H1505">
        <f>INDEX(weekly!$D$2:$D$188,MATCH('Marketing Campaigns 22.11.22'!L1505,weekly!$H$2:$H$188,0))</f>
        <v>4159</v>
      </c>
      <c r="I1505">
        <f>INDEX(weekly!$F$2:$F$188,MATCH('Marketing Campaigns 22.11.22'!L1505,weekly!$H$2:$H$188,0))</f>
        <v>960</v>
      </c>
      <c r="J1505">
        <v>0</v>
      </c>
      <c r="K1505">
        <v>0</v>
      </c>
      <c r="L1505" t="str">
        <f t="shared" si="46"/>
        <v>48-11-2022</v>
      </c>
      <c r="M1505">
        <f t="shared" si="47"/>
        <v>2022</v>
      </c>
    </row>
    <row r="1506" spans="1:13" x14ac:dyDescent="0.2">
      <c r="A1506" s="1">
        <v>44893</v>
      </c>
      <c r="B1506">
        <v>48</v>
      </c>
      <c r="C1506">
        <v>11</v>
      </c>
      <c r="D1506">
        <v>4</v>
      </c>
      <c r="E1506" t="s">
        <v>41</v>
      </c>
      <c r="F1506">
        <v>0</v>
      </c>
      <c r="G1506">
        <f>INDEX(weekly!$E$2:$E$188,MATCH('Marketing Campaigns 22.11.22'!L1506,weekly!$H$2:$H$188,0))</f>
        <v>1838.2</v>
      </c>
      <c r="H1506">
        <f>INDEX(weekly!$D$2:$D$188,MATCH('Marketing Campaigns 22.11.22'!L1506,weekly!$H$2:$H$188,0))</f>
        <v>4159</v>
      </c>
      <c r="I1506">
        <f>INDEX(weekly!$F$2:$F$188,MATCH('Marketing Campaigns 22.11.22'!L1506,weekly!$H$2:$H$188,0))</f>
        <v>960</v>
      </c>
      <c r="J1506">
        <v>0</v>
      </c>
      <c r="K1506">
        <v>0</v>
      </c>
      <c r="L1506" t="str">
        <f t="shared" si="46"/>
        <v>48-11-2022</v>
      </c>
      <c r="M1506">
        <f t="shared" si="47"/>
        <v>2022</v>
      </c>
    </row>
    <row r="1507" spans="1:13" x14ac:dyDescent="0.2">
      <c r="A1507" s="1">
        <v>44893</v>
      </c>
      <c r="B1507">
        <v>48</v>
      </c>
      <c r="C1507">
        <v>11</v>
      </c>
      <c r="D1507">
        <v>4</v>
      </c>
      <c r="E1507" t="s">
        <v>42</v>
      </c>
      <c r="F1507">
        <v>0</v>
      </c>
      <c r="G1507">
        <f>INDEX(weekly!$E$2:$E$188,MATCH('Marketing Campaigns 22.11.22'!L1507,weekly!$H$2:$H$188,0))</f>
        <v>1838.2</v>
      </c>
      <c r="H1507">
        <f>INDEX(weekly!$D$2:$D$188,MATCH('Marketing Campaigns 22.11.22'!L1507,weekly!$H$2:$H$188,0))</f>
        <v>4159</v>
      </c>
      <c r="I1507">
        <f>INDEX(weekly!$F$2:$F$188,MATCH('Marketing Campaigns 22.11.22'!L1507,weekly!$H$2:$H$188,0))</f>
        <v>960</v>
      </c>
      <c r="J1507">
        <v>0</v>
      </c>
      <c r="K1507">
        <v>0</v>
      </c>
      <c r="L1507" t="str">
        <f t="shared" si="46"/>
        <v>48-11-2022</v>
      </c>
      <c r="M1507">
        <f t="shared" si="47"/>
        <v>2022</v>
      </c>
    </row>
    <row r="1508" spans="1:13" x14ac:dyDescent="0.2">
      <c r="A1508" s="1">
        <v>44893</v>
      </c>
      <c r="B1508">
        <v>48</v>
      </c>
      <c r="C1508">
        <v>11</v>
      </c>
      <c r="D1508">
        <v>4</v>
      </c>
      <c r="E1508" t="s">
        <v>43</v>
      </c>
      <c r="F1508">
        <v>0</v>
      </c>
      <c r="G1508">
        <f>INDEX(weekly!$E$2:$E$188,MATCH('Marketing Campaigns 22.11.22'!L1508,weekly!$H$2:$H$188,0))</f>
        <v>1838.2</v>
      </c>
      <c r="H1508">
        <f>INDEX(weekly!$D$2:$D$188,MATCH('Marketing Campaigns 22.11.22'!L1508,weekly!$H$2:$H$188,0))</f>
        <v>4159</v>
      </c>
      <c r="I1508">
        <f>INDEX(weekly!$F$2:$F$188,MATCH('Marketing Campaigns 22.11.22'!L1508,weekly!$H$2:$H$188,0))</f>
        <v>960</v>
      </c>
      <c r="J1508">
        <v>0</v>
      </c>
      <c r="K1508">
        <v>0</v>
      </c>
      <c r="L1508" t="str">
        <f t="shared" si="46"/>
        <v>48-11-2022</v>
      </c>
      <c r="M1508">
        <f t="shared" si="47"/>
        <v>2022</v>
      </c>
    </row>
    <row r="1509" spans="1:13" x14ac:dyDescent="0.2">
      <c r="A1509" s="1">
        <v>44893</v>
      </c>
      <c r="B1509">
        <v>48</v>
      </c>
      <c r="C1509">
        <v>11</v>
      </c>
      <c r="D1509">
        <v>4</v>
      </c>
      <c r="E1509" t="s">
        <v>44</v>
      </c>
      <c r="F1509">
        <v>0</v>
      </c>
      <c r="G1509">
        <f>INDEX(weekly!$E$2:$E$188,MATCH('Marketing Campaigns 22.11.22'!L1509,weekly!$H$2:$H$188,0))</f>
        <v>1838.2</v>
      </c>
      <c r="H1509">
        <f>INDEX(weekly!$D$2:$D$188,MATCH('Marketing Campaigns 22.11.22'!L1509,weekly!$H$2:$H$188,0))</f>
        <v>4159</v>
      </c>
      <c r="I1509">
        <f>INDEX(weekly!$F$2:$F$188,MATCH('Marketing Campaigns 22.11.22'!L1509,weekly!$H$2:$H$188,0))</f>
        <v>960</v>
      </c>
      <c r="J1509">
        <v>0</v>
      </c>
      <c r="K1509">
        <v>0</v>
      </c>
      <c r="L1509" t="str">
        <f t="shared" si="46"/>
        <v>48-11-2022</v>
      </c>
      <c r="M1509">
        <f t="shared" si="47"/>
        <v>2022</v>
      </c>
    </row>
    <row r="1510" spans="1:13" x14ac:dyDescent="0.2">
      <c r="A1510" s="1">
        <v>44893</v>
      </c>
      <c r="B1510">
        <v>48</v>
      </c>
      <c r="C1510">
        <v>11</v>
      </c>
      <c r="D1510">
        <v>4</v>
      </c>
      <c r="E1510" t="s">
        <v>45</v>
      </c>
      <c r="F1510">
        <v>0</v>
      </c>
      <c r="G1510">
        <f>INDEX(weekly!$E$2:$E$188,MATCH('Marketing Campaigns 22.11.22'!L1510,weekly!$H$2:$H$188,0))</f>
        <v>1838.2</v>
      </c>
      <c r="H1510">
        <f>INDEX(weekly!$D$2:$D$188,MATCH('Marketing Campaigns 22.11.22'!L1510,weekly!$H$2:$H$188,0))</f>
        <v>4159</v>
      </c>
      <c r="I1510">
        <f>INDEX(weekly!$F$2:$F$188,MATCH('Marketing Campaigns 22.11.22'!L1510,weekly!$H$2:$H$188,0))</f>
        <v>960</v>
      </c>
      <c r="J1510">
        <v>0</v>
      </c>
      <c r="K1510">
        <v>0</v>
      </c>
      <c r="L1510" t="str">
        <f t="shared" si="46"/>
        <v>48-11-2022</v>
      </c>
      <c r="M1510">
        <f t="shared" si="47"/>
        <v>2022</v>
      </c>
    </row>
    <row r="1511" spans="1:13" x14ac:dyDescent="0.2">
      <c r="A1511" s="1">
        <v>44893</v>
      </c>
      <c r="B1511">
        <v>48</v>
      </c>
      <c r="C1511">
        <v>11</v>
      </c>
      <c r="D1511">
        <v>4</v>
      </c>
      <c r="E1511" t="s">
        <v>46</v>
      </c>
      <c r="F1511">
        <v>0</v>
      </c>
      <c r="G1511">
        <f>INDEX(weekly!$E$2:$E$188,MATCH('Marketing Campaigns 22.11.22'!L1511,weekly!$H$2:$H$188,0))</f>
        <v>1838.2</v>
      </c>
      <c r="H1511">
        <f>INDEX(weekly!$D$2:$D$188,MATCH('Marketing Campaigns 22.11.22'!L1511,weekly!$H$2:$H$188,0))</f>
        <v>4159</v>
      </c>
      <c r="I1511">
        <f>INDEX(weekly!$F$2:$F$188,MATCH('Marketing Campaigns 22.11.22'!L1511,weekly!$H$2:$H$188,0))</f>
        <v>960</v>
      </c>
      <c r="J1511">
        <v>0</v>
      </c>
      <c r="K1511">
        <v>0</v>
      </c>
      <c r="L1511" t="str">
        <f t="shared" si="46"/>
        <v>48-11-2022</v>
      </c>
      <c r="M1511">
        <f t="shared" si="47"/>
        <v>2022</v>
      </c>
    </row>
    <row r="1512" spans="1:13" x14ac:dyDescent="0.2">
      <c r="A1512" s="1">
        <v>44893</v>
      </c>
      <c r="B1512">
        <v>48</v>
      </c>
      <c r="C1512">
        <v>11</v>
      </c>
      <c r="D1512">
        <v>4</v>
      </c>
      <c r="E1512" t="s">
        <v>47</v>
      </c>
      <c r="F1512">
        <v>0</v>
      </c>
      <c r="G1512">
        <f>INDEX(weekly!$E$2:$E$188,MATCH('Marketing Campaigns 22.11.22'!L1512,weekly!$H$2:$H$188,0))</f>
        <v>1838.2</v>
      </c>
      <c r="H1512">
        <f>INDEX(weekly!$D$2:$D$188,MATCH('Marketing Campaigns 22.11.22'!L1512,weekly!$H$2:$H$188,0))</f>
        <v>4159</v>
      </c>
      <c r="I1512">
        <f>INDEX(weekly!$F$2:$F$188,MATCH('Marketing Campaigns 22.11.22'!L1512,weekly!$H$2:$H$188,0))</f>
        <v>960</v>
      </c>
      <c r="J1512">
        <v>0</v>
      </c>
      <c r="K1512">
        <v>0</v>
      </c>
      <c r="L1512" t="str">
        <f t="shared" si="46"/>
        <v>48-11-2022</v>
      </c>
      <c r="M1512">
        <f t="shared" si="47"/>
        <v>2022</v>
      </c>
    </row>
    <row r="1513" spans="1:13" x14ac:dyDescent="0.2">
      <c r="A1513" s="1">
        <v>44893</v>
      </c>
      <c r="B1513">
        <v>48</v>
      </c>
      <c r="C1513">
        <v>11</v>
      </c>
      <c r="D1513">
        <v>4</v>
      </c>
      <c r="E1513" t="s">
        <v>48</v>
      </c>
      <c r="F1513">
        <v>0</v>
      </c>
      <c r="G1513">
        <f>INDEX(weekly!$E$2:$E$188,MATCH('Marketing Campaigns 22.11.22'!L1513,weekly!$H$2:$H$188,0))</f>
        <v>1838.2</v>
      </c>
      <c r="H1513">
        <f>INDEX(weekly!$D$2:$D$188,MATCH('Marketing Campaigns 22.11.22'!L1513,weekly!$H$2:$H$188,0))</f>
        <v>4159</v>
      </c>
      <c r="I1513">
        <f>INDEX(weekly!$F$2:$F$188,MATCH('Marketing Campaigns 22.11.22'!L1513,weekly!$H$2:$H$188,0))</f>
        <v>960</v>
      </c>
      <c r="J1513">
        <v>0</v>
      </c>
      <c r="K1513">
        <v>0</v>
      </c>
      <c r="L1513" t="str">
        <f t="shared" si="46"/>
        <v>48-11-2022</v>
      </c>
      <c r="M1513">
        <f t="shared" si="47"/>
        <v>2022</v>
      </c>
    </row>
    <row r="1514" spans="1:13" x14ac:dyDescent="0.2">
      <c r="A1514" s="1">
        <v>44893</v>
      </c>
      <c r="B1514">
        <v>48</v>
      </c>
      <c r="C1514">
        <v>11</v>
      </c>
      <c r="D1514">
        <v>4</v>
      </c>
      <c r="E1514" t="s">
        <v>49</v>
      </c>
      <c r="F1514">
        <v>0</v>
      </c>
      <c r="G1514">
        <f>INDEX(weekly!$E$2:$E$188,MATCH('Marketing Campaigns 22.11.22'!L1514,weekly!$H$2:$H$188,0))</f>
        <v>1838.2</v>
      </c>
      <c r="H1514">
        <f>INDEX(weekly!$D$2:$D$188,MATCH('Marketing Campaigns 22.11.22'!L1514,weekly!$H$2:$H$188,0))</f>
        <v>4159</v>
      </c>
      <c r="I1514">
        <f>INDEX(weekly!$F$2:$F$188,MATCH('Marketing Campaigns 22.11.22'!L1514,weekly!$H$2:$H$188,0))</f>
        <v>960</v>
      </c>
      <c r="J1514">
        <v>0</v>
      </c>
      <c r="K1514">
        <v>0</v>
      </c>
      <c r="L1514" t="str">
        <f t="shared" si="46"/>
        <v>48-11-2022</v>
      </c>
      <c r="M1514">
        <f t="shared" si="47"/>
        <v>2022</v>
      </c>
    </row>
    <row r="1515" spans="1:13" x14ac:dyDescent="0.2">
      <c r="A1515" s="1">
        <v>44893</v>
      </c>
      <c r="B1515">
        <v>48</v>
      </c>
      <c r="C1515">
        <v>11</v>
      </c>
      <c r="D1515">
        <v>4</v>
      </c>
      <c r="E1515" t="s">
        <v>50</v>
      </c>
      <c r="F1515">
        <v>0</v>
      </c>
      <c r="G1515">
        <f>INDEX(weekly!$E$2:$E$188,MATCH('Marketing Campaigns 22.11.22'!L1515,weekly!$H$2:$H$188,0))</f>
        <v>1838.2</v>
      </c>
      <c r="H1515">
        <f>INDEX(weekly!$D$2:$D$188,MATCH('Marketing Campaigns 22.11.22'!L1515,weekly!$H$2:$H$188,0))</f>
        <v>4159</v>
      </c>
      <c r="I1515">
        <f>INDEX(weekly!$F$2:$F$188,MATCH('Marketing Campaigns 22.11.22'!L1515,weekly!$H$2:$H$188,0))</f>
        <v>960</v>
      </c>
      <c r="J1515">
        <v>0</v>
      </c>
      <c r="K1515">
        <v>0</v>
      </c>
      <c r="L1515" t="str">
        <f t="shared" si="46"/>
        <v>48-11-2022</v>
      </c>
      <c r="M1515">
        <f t="shared" si="47"/>
        <v>2022</v>
      </c>
    </row>
    <row r="1516" spans="1:13" x14ac:dyDescent="0.2">
      <c r="A1516" s="1">
        <v>44893</v>
      </c>
      <c r="B1516">
        <v>48</v>
      </c>
      <c r="C1516">
        <v>11</v>
      </c>
      <c r="D1516">
        <v>4</v>
      </c>
      <c r="E1516" t="s">
        <v>51</v>
      </c>
      <c r="F1516">
        <v>0</v>
      </c>
      <c r="G1516">
        <f>INDEX(weekly!$E$2:$E$188,MATCH('Marketing Campaigns 22.11.22'!L1516,weekly!$H$2:$H$188,0))</f>
        <v>1838.2</v>
      </c>
      <c r="H1516">
        <f>INDEX(weekly!$D$2:$D$188,MATCH('Marketing Campaigns 22.11.22'!L1516,weekly!$H$2:$H$188,0))</f>
        <v>4159</v>
      </c>
      <c r="I1516">
        <f>INDEX(weekly!$F$2:$F$188,MATCH('Marketing Campaigns 22.11.22'!L1516,weekly!$H$2:$H$188,0))</f>
        <v>960</v>
      </c>
      <c r="J1516">
        <v>0</v>
      </c>
      <c r="K1516">
        <v>0</v>
      </c>
      <c r="L1516" t="str">
        <f t="shared" si="46"/>
        <v>48-11-2022</v>
      </c>
      <c r="M1516">
        <f t="shared" si="47"/>
        <v>2022</v>
      </c>
    </row>
    <row r="1517" spans="1:13" x14ac:dyDescent="0.2">
      <c r="A1517" s="1">
        <v>44893</v>
      </c>
      <c r="B1517">
        <v>48</v>
      </c>
      <c r="C1517">
        <v>11</v>
      </c>
      <c r="D1517">
        <v>4</v>
      </c>
      <c r="E1517" t="s">
        <v>52</v>
      </c>
      <c r="F1517">
        <v>0</v>
      </c>
      <c r="G1517">
        <f>INDEX(weekly!$E$2:$E$188,MATCH('Marketing Campaigns 22.11.22'!L1517,weekly!$H$2:$H$188,0))</f>
        <v>1838.2</v>
      </c>
      <c r="H1517">
        <f>INDEX(weekly!$D$2:$D$188,MATCH('Marketing Campaigns 22.11.22'!L1517,weekly!$H$2:$H$188,0))</f>
        <v>4159</v>
      </c>
      <c r="I1517">
        <f>INDEX(weekly!$F$2:$F$188,MATCH('Marketing Campaigns 22.11.22'!L1517,weekly!$H$2:$H$188,0))</f>
        <v>960</v>
      </c>
      <c r="J1517">
        <v>0</v>
      </c>
      <c r="K1517">
        <v>0</v>
      </c>
      <c r="L1517" t="str">
        <f t="shared" si="46"/>
        <v>48-11-2022</v>
      </c>
      <c r="M1517">
        <f t="shared" si="47"/>
        <v>2022</v>
      </c>
    </row>
    <row r="1518" spans="1:13" x14ac:dyDescent="0.2">
      <c r="A1518" s="1">
        <v>44900</v>
      </c>
      <c r="B1518">
        <v>49</v>
      </c>
      <c r="C1518">
        <v>12</v>
      </c>
      <c r="D1518">
        <v>4</v>
      </c>
      <c r="E1518" t="s">
        <v>24</v>
      </c>
      <c r="F1518">
        <v>0</v>
      </c>
      <c r="G1518">
        <f>INDEX(weekly!$E$2:$E$188,MATCH('Marketing Campaigns 22.11.22'!L1518,weekly!$H$2:$H$188,0))</f>
        <v>3983.2258064516127</v>
      </c>
      <c r="H1518">
        <f>INDEX(weekly!$D$2:$D$188,MATCH('Marketing Campaigns 22.11.22'!L1518,weekly!$H$2:$H$188,0))</f>
        <v>10348.47935483871</v>
      </c>
      <c r="I1518">
        <f>INDEX(weekly!$F$2:$F$188,MATCH('Marketing Campaigns 22.11.22'!L1518,weekly!$H$2:$H$188,0))</f>
        <v>2297.8064516129034</v>
      </c>
      <c r="J1518">
        <v>0</v>
      </c>
      <c r="K1518">
        <v>0</v>
      </c>
      <c r="L1518" t="str">
        <f t="shared" si="46"/>
        <v>49-12-2022</v>
      </c>
      <c r="M1518">
        <f t="shared" si="47"/>
        <v>2022</v>
      </c>
    </row>
    <row r="1519" spans="1:13" x14ac:dyDescent="0.2">
      <c r="A1519" s="1">
        <v>44900</v>
      </c>
      <c r="B1519">
        <v>49</v>
      </c>
      <c r="C1519">
        <v>12</v>
      </c>
      <c r="D1519">
        <v>4</v>
      </c>
      <c r="E1519" t="s">
        <v>39</v>
      </c>
      <c r="F1519">
        <v>0</v>
      </c>
      <c r="G1519">
        <f>INDEX(weekly!$E$2:$E$188,MATCH('Marketing Campaigns 22.11.22'!L1519,weekly!$H$2:$H$188,0))</f>
        <v>3983.2258064516127</v>
      </c>
      <c r="H1519">
        <f>INDEX(weekly!$D$2:$D$188,MATCH('Marketing Campaigns 22.11.22'!L1519,weekly!$H$2:$H$188,0))</f>
        <v>10348.47935483871</v>
      </c>
      <c r="I1519">
        <f>INDEX(weekly!$F$2:$F$188,MATCH('Marketing Campaigns 22.11.22'!L1519,weekly!$H$2:$H$188,0))</f>
        <v>2297.8064516129034</v>
      </c>
      <c r="J1519">
        <v>0</v>
      </c>
      <c r="K1519">
        <v>0</v>
      </c>
      <c r="L1519" t="str">
        <f t="shared" si="46"/>
        <v>49-12-2022</v>
      </c>
      <c r="M1519">
        <f t="shared" si="47"/>
        <v>2022</v>
      </c>
    </row>
    <row r="1520" spans="1:13" x14ac:dyDescent="0.2">
      <c r="A1520" s="1">
        <v>44900</v>
      </c>
      <c r="B1520">
        <v>49</v>
      </c>
      <c r="C1520">
        <v>12</v>
      </c>
      <c r="D1520">
        <v>4</v>
      </c>
      <c r="E1520" t="s">
        <v>40</v>
      </c>
      <c r="F1520">
        <v>0</v>
      </c>
      <c r="G1520">
        <f>INDEX(weekly!$E$2:$E$188,MATCH('Marketing Campaigns 22.11.22'!L1520,weekly!$H$2:$H$188,0))</f>
        <v>3983.2258064516127</v>
      </c>
      <c r="H1520">
        <f>INDEX(weekly!$D$2:$D$188,MATCH('Marketing Campaigns 22.11.22'!L1520,weekly!$H$2:$H$188,0))</f>
        <v>10348.47935483871</v>
      </c>
      <c r="I1520">
        <f>INDEX(weekly!$F$2:$F$188,MATCH('Marketing Campaigns 22.11.22'!L1520,weekly!$H$2:$H$188,0))</f>
        <v>2297.8064516129034</v>
      </c>
      <c r="J1520">
        <v>0</v>
      </c>
      <c r="K1520">
        <v>0</v>
      </c>
      <c r="L1520" t="str">
        <f t="shared" si="46"/>
        <v>49-12-2022</v>
      </c>
      <c r="M1520">
        <f t="shared" si="47"/>
        <v>2022</v>
      </c>
    </row>
    <row r="1521" spans="1:13" x14ac:dyDescent="0.2">
      <c r="A1521" s="1">
        <v>44900</v>
      </c>
      <c r="B1521">
        <v>49</v>
      </c>
      <c r="C1521">
        <v>12</v>
      </c>
      <c r="D1521">
        <v>4</v>
      </c>
      <c r="E1521" t="s">
        <v>41</v>
      </c>
      <c r="F1521">
        <v>0</v>
      </c>
      <c r="G1521">
        <f>INDEX(weekly!$E$2:$E$188,MATCH('Marketing Campaigns 22.11.22'!L1521,weekly!$H$2:$H$188,0))</f>
        <v>3983.2258064516127</v>
      </c>
      <c r="H1521">
        <f>INDEX(weekly!$D$2:$D$188,MATCH('Marketing Campaigns 22.11.22'!L1521,weekly!$H$2:$H$188,0))</f>
        <v>10348.47935483871</v>
      </c>
      <c r="I1521">
        <f>INDEX(weekly!$F$2:$F$188,MATCH('Marketing Campaigns 22.11.22'!L1521,weekly!$H$2:$H$188,0))</f>
        <v>2297.8064516129034</v>
      </c>
      <c r="J1521">
        <v>0</v>
      </c>
      <c r="K1521">
        <v>0</v>
      </c>
      <c r="L1521" t="str">
        <f t="shared" si="46"/>
        <v>49-12-2022</v>
      </c>
      <c r="M1521">
        <f t="shared" si="47"/>
        <v>2022</v>
      </c>
    </row>
    <row r="1522" spans="1:13" x14ac:dyDescent="0.2">
      <c r="A1522" s="1">
        <v>44900</v>
      </c>
      <c r="B1522">
        <v>49</v>
      </c>
      <c r="C1522">
        <v>12</v>
      </c>
      <c r="D1522">
        <v>4</v>
      </c>
      <c r="E1522" t="s">
        <v>42</v>
      </c>
      <c r="F1522">
        <v>0</v>
      </c>
      <c r="G1522">
        <f>INDEX(weekly!$E$2:$E$188,MATCH('Marketing Campaigns 22.11.22'!L1522,weekly!$H$2:$H$188,0))</f>
        <v>3983.2258064516127</v>
      </c>
      <c r="H1522">
        <f>INDEX(weekly!$D$2:$D$188,MATCH('Marketing Campaigns 22.11.22'!L1522,weekly!$H$2:$H$188,0))</f>
        <v>10348.47935483871</v>
      </c>
      <c r="I1522">
        <f>INDEX(weekly!$F$2:$F$188,MATCH('Marketing Campaigns 22.11.22'!L1522,weekly!$H$2:$H$188,0))</f>
        <v>2297.8064516129034</v>
      </c>
      <c r="J1522">
        <v>0</v>
      </c>
      <c r="K1522">
        <v>0</v>
      </c>
      <c r="L1522" t="str">
        <f t="shared" si="46"/>
        <v>49-12-2022</v>
      </c>
      <c r="M1522">
        <f t="shared" si="47"/>
        <v>2022</v>
      </c>
    </row>
    <row r="1523" spans="1:13" x14ac:dyDescent="0.2">
      <c r="A1523" s="1">
        <v>44900</v>
      </c>
      <c r="B1523">
        <v>49</v>
      </c>
      <c r="C1523">
        <v>12</v>
      </c>
      <c r="D1523">
        <v>4</v>
      </c>
      <c r="E1523" t="s">
        <v>43</v>
      </c>
      <c r="F1523">
        <v>0</v>
      </c>
      <c r="G1523">
        <f>INDEX(weekly!$E$2:$E$188,MATCH('Marketing Campaigns 22.11.22'!L1523,weekly!$H$2:$H$188,0))</f>
        <v>3983.2258064516127</v>
      </c>
      <c r="H1523">
        <f>INDEX(weekly!$D$2:$D$188,MATCH('Marketing Campaigns 22.11.22'!L1523,weekly!$H$2:$H$188,0))</f>
        <v>10348.47935483871</v>
      </c>
      <c r="I1523">
        <f>INDEX(weekly!$F$2:$F$188,MATCH('Marketing Campaigns 22.11.22'!L1523,weekly!$H$2:$H$188,0))</f>
        <v>2297.8064516129034</v>
      </c>
      <c r="J1523">
        <v>0</v>
      </c>
      <c r="K1523">
        <v>0</v>
      </c>
      <c r="L1523" t="str">
        <f t="shared" si="46"/>
        <v>49-12-2022</v>
      </c>
      <c r="M1523">
        <f t="shared" si="47"/>
        <v>2022</v>
      </c>
    </row>
    <row r="1524" spans="1:13" x14ac:dyDescent="0.2">
      <c r="A1524" s="1">
        <v>44900</v>
      </c>
      <c r="B1524">
        <v>49</v>
      </c>
      <c r="C1524">
        <v>12</v>
      </c>
      <c r="D1524">
        <v>4</v>
      </c>
      <c r="E1524" t="s">
        <v>44</v>
      </c>
      <c r="F1524">
        <v>0</v>
      </c>
      <c r="G1524">
        <f>INDEX(weekly!$E$2:$E$188,MATCH('Marketing Campaigns 22.11.22'!L1524,weekly!$H$2:$H$188,0))</f>
        <v>3983.2258064516127</v>
      </c>
      <c r="H1524">
        <f>INDEX(weekly!$D$2:$D$188,MATCH('Marketing Campaigns 22.11.22'!L1524,weekly!$H$2:$H$188,0))</f>
        <v>10348.47935483871</v>
      </c>
      <c r="I1524">
        <f>INDEX(weekly!$F$2:$F$188,MATCH('Marketing Campaigns 22.11.22'!L1524,weekly!$H$2:$H$188,0))</f>
        <v>2297.8064516129034</v>
      </c>
      <c r="J1524">
        <v>0</v>
      </c>
      <c r="K1524">
        <v>0</v>
      </c>
      <c r="L1524" t="str">
        <f t="shared" si="46"/>
        <v>49-12-2022</v>
      </c>
      <c r="M1524">
        <f t="shared" si="47"/>
        <v>2022</v>
      </c>
    </row>
    <row r="1525" spans="1:13" x14ac:dyDescent="0.2">
      <c r="A1525" s="1">
        <v>44900</v>
      </c>
      <c r="B1525">
        <v>49</v>
      </c>
      <c r="C1525">
        <v>12</v>
      </c>
      <c r="D1525">
        <v>4</v>
      </c>
      <c r="E1525" t="s">
        <v>45</v>
      </c>
      <c r="F1525">
        <v>0</v>
      </c>
      <c r="G1525">
        <f>INDEX(weekly!$E$2:$E$188,MATCH('Marketing Campaigns 22.11.22'!L1525,weekly!$H$2:$H$188,0))</f>
        <v>3983.2258064516127</v>
      </c>
      <c r="H1525">
        <f>INDEX(weekly!$D$2:$D$188,MATCH('Marketing Campaigns 22.11.22'!L1525,weekly!$H$2:$H$188,0))</f>
        <v>10348.47935483871</v>
      </c>
      <c r="I1525">
        <f>INDEX(weekly!$F$2:$F$188,MATCH('Marketing Campaigns 22.11.22'!L1525,weekly!$H$2:$H$188,0))</f>
        <v>2297.8064516129034</v>
      </c>
      <c r="J1525">
        <v>0</v>
      </c>
      <c r="K1525">
        <v>0</v>
      </c>
      <c r="L1525" t="str">
        <f t="shared" si="46"/>
        <v>49-12-2022</v>
      </c>
      <c r="M1525">
        <f t="shared" si="47"/>
        <v>2022</v>
      </c>
    </row>
    <row r="1526" spans="1:13" x14ac:dyDescent="0.2">
      <c r="A1526" s="1">
        <v>44900</v>
      </c>
      <c r="B1526">
        <v>49</v>
      </c>
      <c r="C1526">
        <v>12</v>
      </c>
      <c r="D1526">
        <v>4</v>
      </c>
      <c r="E1526" t="s">
        <v>46</v>
      </c>
      <c r="F1526">
        <v>0</v>
      </c>
      <c r="G1526">
        <f>INDEX(weekly!$E$2:$E$188,MATCH('Marketing Campaigns 22.11.22'!L1526,weekly!$H$2:$H$188,0))</f>
        <v>3983.2258064516127</v>
      </c>
      <c r="H1526">
        <f>INDEX(weekly!$D$2:$D$188,MATCH('Marketing Campaigns 22.11.22'!L1526,weekly!$H$2:$H$188,0))</f>
        <v>10348.47935483871</v>
      </c>
      <c r="I1526">
        <f>INDEX(weekly!$F$2:$F$188,MATCH('Marketing Campaigns 22.11.22'!L1526,weekly!$H$2:$H$188,0))</f>
        <v>2297.8064516129034</v>
      </c>
      <c r="J1526">
        <v>0</v>
      </c>
      <c r="K1526">
        <v>0</v>
      </c>
      <c r="L1526" t="str">
        <f t="shared" si="46"/>
        <v>49-12-2022</v>
      </c>
      <c r="M1526">
        <f t="shared" si="47"/>
        <v>2022</v>
      </c>
    </row>
    <row r="1527" spans="1:13" x14ac:dyDescent="0.2">
      <c r="A1527" s="1">
        <v>44900</v>
      </c>
      <c r="B1527">
        <v>49</v>
      </c>
      <c r="C1527">
        <v>12</v>
      </c>
      <c r="D1527">
        <v>4</v>
      </c>
      <c r="E1527" t="s">
        <v>47</v>
      </c>
      <c r="F1527">
        <v>0</v>
      </c>
      <c r="G1527">
        <f>INDEX(weekly!$E$2:$E$188,MATCH('Marketing Campaigns 22.11.22'!L1527,weekly!$H$2:$H$188,0))</f>
        <v>3983.2258064516127</v>
      </c>
      <c r="H1527">
        <f>INDEX(weekly!$D$2:$D$188,MATCH('Marketing Campaigns 22.11.22'!L1527,weekly!$H$2:$H$188,0))</f>
        <v>10348.47935483871</v>
      </c>
      <c r="I1527">
        <f>INDEX(weekly!$F$2:$F$188,MATCH('Marketing Campaigns 22.11.22'!L1527,weekly!$H$2:$H$188,0))</f>
        <v>2297.8064516129034</v>
      </c>
      <c r="J1527">
        <v>0</v>
      </c>
      <c r="K1527">
        <v>0</v>
      </c>
      <c r="L1527" t="str">
        <f t="shared" si="46"/>
        <v>49-12-2022</v>
      </c>
      <c r="M1527">
        <f t="shared" si="47"/>
        <v>2022</v>
      </c>
    </row>
    <row r="1528" spans="1:13" x14ac:dyDescent="0.2">
      <c r="A1528" s="1">
        <v>44900</v>
      </c>
      <c r="B1528">
        <v>49</v>
      </c>
      <c r="C1528">
        <v>12</v>
      </c>
      <c r="D1528">
        <v>4</v>
      </c>
      <c r="E1528" t="s">
        <v>48</v>
      </c>
      <c r="F1528">
        <v>0</v>
      </c>
      <c r="G1528">
        <f>INDEX(weekly!$E$2:$E$188,MATCH('Marketing Campaigns 22.11.22'!L1528,weekly!$H$2:$H$188,0))</f>
        <v>3983.2258064516127</v>
      </c>
      <c r="H1528">
        <f>INDEX(weekly!$D$2:$D$188,MATCH('Marketing Campaigns 22.11.22'!L1528,weekly!$H$2:$H$188,0))</f>
        <v>10348.47935483871</v>
      </c>
      <c r="I1528">
        <f>INDEX(weekly!$F$2:$F$188,MATCH('Marketing Campaigns 22.11.22'!L1528,weekly!$H$2:$H$188,0))</f>
        <v>2297.8064516129034</v>
      </c>
      <c r="J1528">
        <v>0</v>
      </c>
      <c r="K1528">
        <v>0</v>
      </c>
      <c r="L1528" t="str">
        <f t="shared" si="46"/>
        <v>49-12-2022</v>
      </c>
      <c r="M1528">
        <f t="shared" si="47"/>
        <v>2022</v>
      </c>
    </row>
    <row r="1529" spans="1:13" x14ac:dyDescent="0.2">
      <c r="A1529" s="1">
        <v>44900</v>
      </c>
      <c r="B1529">
        <v>49</v>
      </c>
      <c r="C1529">
        <v>12</v>
      </c>
      <c r="D1529">
        <v>4</v>
      </c>
      <c r="E1529" t="s">
        <v>49</v>
      </c>
      <c r="F1529">
        <v>0</v>
      </c>
      <c r="G1529">
        <f>INDEX(weekly!$E$2:$E$188,MATCH('Marketing Campaigns 22.11.22'!L1529,weekly!$H$2:$H$188,0))</f>
        <v>3983.2258064516127</v>
      </c>
      <c r="H1529">
        <f>INDEX(weekly!$D$2:$D$188,MATCH('Marketing Campaigns 22.11.22'!L1529,weekly!$H$2:$H$188,0))</f>
        <v>10348.47935483871</v>
      </c>
      <c r="I1529">
        <f>INDEX(weekly!$F$2:$F$188,MATCH('Marketing Campaigns 22.11.22'!L1529,weekly!$H$2:$H$188,0))</f>
        <v>2297.8064516129034</v>
      </c>
      <c r="J1529">
        <v>0</v>
      </c>
      <c r="K1529">
        <v>0</v>
      </c>
      <c r="L1529" t="str">
        <f t="shared" si="46"/>
        <v>49-12-2022</v>
      </c>
      <c r="M1529">
        <f t="shared" si="47"/>
        <v>2022</v>
      </c>
    </row>
    <row r="1530" spans="1:13" x14ac:dyDescent="0.2">
      <c r="A1530" s="1">
        <v>44900</v>
      </c>
      <c r="B1530">
        <v>49</v>
      </c>
      <c r="C1530">
        <v>12</v>
      </c>
      <c r="D1530">
        <v>4</v>
      </c>
      <c r="E1530" t="s">
        <v>50</v>
      </c>
      <c r="F1530">
        <v>0</v>
      </c>
      <c r="G1530">
        <f>INDEX(weekly!$E$2:$E$188,MATCH('Marketing Campaigns 22.11.22'!L1530,weekly!$H$2:$H$188,0))</f>
        <v>3983.2258064516127</v>
      </c>
      <c r="H1530">
        <f>INDEX(weekly!$D$2:$D$188,MATCH('Marketing Campaigns 22.11.22'!L1530,weekly!$H$2:$H$188,0))</f>
        <v>10348.47935483871</v>
      </c>
      <c r="I1530">
        <f>INDEX(weekly!$F$2:$F$188,MATCH('Marketing Campaigns 22.11.22'!L1530,weekly!$H$2:$H$188,0))</f>
        <v>2297.8064516129034</v>
      </c>
      <c r="J1530">
        <v>0</v>
      </c>
      <c r="K1530">
        <v>0</v>
      </c>
      <c r="L1530" t="str">
        <f t="shared" si="46"/>
        <v>49-12-2022</v>
      </c>
      <c r="M1530">
        <f t="shared" si="47"/>
        <v>2022</v>
      </c>
    </row>
    <row r="1531" spans="1:13" x14ac:dyDescent="0.2">
      <c r="A1531" s="1">
        <v>44900</v>
      </c>
      <c r="B1531">
        <v>49</v>
      </c>
      <c r="C1531">
        <v>12</v>
      </c>
      <c r="D1531">
        <v>4</v>
      </c>
      <c r="E1531" t="s">
        <v>51</v>
      </c>
      <c r="F1531">
        <v>0</v>
      </c>
      <c r="G1531">
        <f>INDEX(weekly!$E$2:$E$188,MATCH('Marketing Campaigns 22.11.22'!L1531,weekly!$H$2:$H$188,0))</f>
        <v>3983.2258064516127</v>
      </c>
      <c r="H1531">
        <f>INDEX(weekly!$D$2:$D$188,MATCH('Marketing Campaigns 22.11.22'!L1531,weekly!$H$2:$H$188,0))</f>
        <v>10348.47935483871</v>
      </c>
      <c r="I1531">
        <f>INDEX(weekly!$F$2:$F$188,MATCH('Marketing Campaigns 22.11.22'!L1531,weekly!$H$2:$H$188,0))</f>
        <v>2297.8064516129034</v>
      </c>
      <c r="J1531">
        <v>0</v>
      </c>
      <c r="K1531">
        <v>0</v>
      </c>
      <c r="L1531" t="str">
        <f t="shared" si="46"/>
        <v>49-12-2022</v>
      </c>
      <c r="M1531">
        <f t="shared" si="47"/>
        <v>2022</v>
      </c>
    </row>
    <row r="1532" spans="1:13" x14ac:dyDescent="0.2">
      <c r="A1532" s="1">
        <v>44900</v>
      </c>
      <c r="B1532">
        <v>49</v>
      </c>
      <c r="C1532">
        <v>12</v>
      </c>
      <c r="D1532">
        <v>4</v>
      </c>
      <c r="E1532" t="s">
        <v>52</v>
      </c>
      <c r="F1532">
        <v>0</v>
      </c>
      <c r="G1532">
        <f>INDEX(weekly!$E$2:$E$188,MATCH('Marketing Campaigns 22.11.22'!L1532,weekly!$H$2:$H$188,0))</f>
        <v>3983.2258064516127</v>
      </c>
      <c r="H1532">
        <f>INDEX(weekly!$D$2:$D$188,MATCH('Marketing Campaigns 22.11.22'!L1532,weekly!$H$2:$H$188,0))</f>
        <v>10348.47935483871</v>
      </c>
      <c r="I1532">
        <f>INDEX(weekly!$F$2:$F$188,MATCH('Marketing Campaigns 22.11.22'!L1532,weekly!$H$2:$H$188,0))</f>
        <v>2297.8064516129034</v>
      </c>
      <c r="J1532">
        <v>0</v>
      </c>
      <c r="K1532">
        <v>0</v>
      </c>
      <c r="L1532" t="str">
        <f t="shared" si="46"/>
        <v>49-12-2022</v>
      </c>
      <c r="M1532">
        <f t="shared" si="47"/>
        <v>2022</v>
      </c>
    </row>
    <row r="1533" spans="1:13" x14ac:dyDescent="0.2">
      <c r="A1533" s="1">
        <v>44907</v>
      </c>
      <c r="B1533">
        <v>50</v>
      </c>
      <c r="C1533">
        <v>12</v>
      </c>
      <c r="D1533">
        <v>4</v>
      </c>
      <c r="E1533" t="s">
        <v>24</v>
      </c>
      <c r="F1533">
        <v>0</v>
      </c>
      <c r="G1533">
        <f>INDEX(weekly!$E$2:$E$188,MATCH('Marketing Campaigns 22.11.22'!L1533,weekly!$H$2:$H$188,0))</f>
        <v>3983.2258064516127</v>
      </c>
      <c r="H1533">
        <f>INDEX(weekly!$D$2:$D$188,MATCH('Marketing Campaigns 22.11.22'!L1533,weekly!$H$2:$H$188,0))</f>
        <v>10348.47935483871</v>
      </c>
      <c r="I1533">
        <f>INDEX(weekly!$F$2:$F$188,MATCH('Marketing Campaigns 22.11.22'!L1533,weekly!$H$2:$H$188,0))</f>
        <v>2297.8064516129034</v>
      </c>
      <c r="J1533">
        <v>0</v>
      </c>
      <c r="K1533">
        <v>0</v>
      </c>
      <c r="L1533" t="str">
        <f t="shared" si="46"/>
        <v>50-12-2022</v>
      </c>
      <c r="M1533">
        <f t="shared" si="47"/>
        <v>2022</v>
      </c>
    </row>
    <row r="1534" spans="1:13" x14ac:dyDescent="0.2">
      <c r="A1534" s="1">
        <v>44907</v>
      </c>
      <c r="B1534">
        <v>50</v>
      </c>
      <c r="C1534">
        <v>12</v>
      </c>
      <c r="D1534">
        <v>4</v>
      </c>
      <c r="E1534" t="s">
        <v>39</v>
      </c>
      <c r="F1534">
        <v>0</v>
      </c>
      <c r="G1534">
        <f>INDEX(weekly!$E$2:$E$188,MATCH('Marketing Campaigns 22.11.22'!L1534,weekly!$H$2:$H$188,0))</f>
        <v>3983.2258064516127</v>
      </c>
      <c r="H1534">
        <f>INDEX(weekly!$D$2:$D$188,MATCH('Marketing Campaigns 22.11.22'!L1534,weekly!$H$2:$H$188,0))</f>
        <v>10348.47935483871</v>
      </c>
      <c r="I1534">
        <f>INDEX(weekly!$F$2:$F$188,MATCH('Marketing Campaigns 22.11.22'!L1534,weekly!$H$2:$H$188,0))</f>
        <v>2297.8064516129034</v>
      </c>
      <c r="J1534">
        <v>0</v>
      </c>
      <c r="K1534">
        <v>0</v>
      </c>
      <c r="L1534" t="str">
        <f t="shared" si="46"/>
        <v>50-12-2022</v>
      </c>
      <c r="M1534">
        <f t="shared" si="47"/>
        <v>2022</v>
      </c>
    </row>
    <row r="1535" spans="1:13" x14ac:dyDescent="0.2">
      <c r="A1535" s="1">
        <v>44907</v>
      </c>
      <c r="B1535">
        <v>50</v>
      </c>
      <c r="C1535">
        <v>12</v>
      </c>
      <c r="D1535">
        <v>4</v>
      </c>
      <c r="E1535" t="s">
        <v>40</v>
      </c>
      <c r="F1535">
        <v>0</v>
      </c>
      <c r="G1535">
        <f>INDEX(weekly!$E$2:$E$188,MATCH('Marketing Campaigns 22.11.22'!L1535,weekly!$H$2:$H$188,0))</f>
        <v>3983.2258064516127</v>
      </c>
      <c r="H1535">
        <f>INDEX(weekly!$D$2:$D$188,MATCH('Marketing Campaigns 22.11.22'!L1535,weekly!$H$2:$H$188,0))</f>
        <v>10348.47935483871</v>
      </c>
      <c r="I1535">
        <f>INDEX(weekly!$F$2:$F$188,MATCH('Marketing Campaigns 22.11.22'!L1535,weekly!$H$2:$H$188,0))</f>
        <v>2297.8064516129034</v>
      </c>
      <c r="J1535">
        <v>0</v>
      </c>
      <c r="K1535">
        <v>0</v>
      </c>
      <c r="L1535" t="str">
        <f t="shared" si="46"/>
        <v>50-12-2022</v>
      </c>
      <c r="M1535">
        <f t="shared" si="47"/>
        <v>2022</v>
      </c>
    </row>
    <row r="1536" spans="1:13" x14ac:dyDescent="0.2">
      <c r="A1536" s="1">
        <v>44907</v>
      </c>
      <c r="B1536">
        <v>50</v>
      </c>
      <c r="C1536">
        <v>12</v>
      </c>
      <c r="D1536">
        <v>4</v>
      </c>
      <c r="E1536" t="s">
        <v>41</v>
      </c>
      <c r="F1536">
        <v>0</v>
      </c>
      <c r="G1536">
        <f>INDEX(weekly!$E$2:$E$188,MATCH('Marketing Campaigns 22.11.22'!L1536,weekly!$H$2:$H$188,0))</f>
        <v>3983.2258064516127</v>
      </c>
      <c r="H1536">
        <f>INDEX(weekly!$D$2:$D$188,MATCH('Marketing Campaigns 22.11.22'!L1536,weekly!$H$2:$H$188,0))</f>
        <v>10348.47935483871</v>
      </c>
      <c r="I1536">
        <f>INDEX(weekly!$F$2:$F$188,MATCH('Marketing Campaigns 22.11.22'!L1536,weekly!$H$2:$H$188,0))</f>
        <v>2297.8064516129034</v>
      </c>
      <c r="J1536">
        <v>0</v>
      </c>
      <c r="K1536">
        <v>0</v>
      </c>
      <c r="L1536" t="str">
        <f t="shared" si="46"/>
        <v>50-12-2022</v>
      </c>
      <c r="M1536">
        <f t="shared" si="47"/>
        <v>2022</v>
      </c>
    </row>
    <row r="1537" spans="1:13" x14ac:dyDescent="0.2">
      <c r="A1537" s="1">
        <v>44907</v>
      </c>
      <c r="B1537">
        <v>50</v>
      </c>
      <c r="C1537">
        <v>12</v>
      </c>
      <c r="D1537">
        <v>4</v>
      </c>
      <c r="E1537" t="s">
        <v>42</v>
      </c>
      <c r="F1537">
        <v>0</v>
      </c>
      <c r="G1537">
        <f>INDEX(weekly!$E$2:$E$188,MATCH('Marketing Campaigns 22.11.22'!L1537,weekly!$H$2:$H$188,0))</f>
        <v>3983.2258064516127</v>
      </c>
      <c r="H1537">
        <f>INDEX(weekly!$D$2:$D$188,MATCH('Marketing Campaigns 22.11.22'!L1537,weekly!$H$2:$H$188,0))</f>
        <v>10348.47935483871</v>
      </c>
      <c r="I1537">
        <f>INDEX(weekly!$F$2:$F$188,MATCH('Marketing Campaigns 22.11.22'!L1537,weekly!$H$2:$H$188,0))</f>
        <v>2297.8064516129034</v>
      </c>
      <c r="J1537">
        <v>0</v>
      </c>
      <c r="K1537">
        <v>0</v>
      </c>
      <c r="L1537" t="str">
        <f t="shared" si="46"/>
        <v>50-12-2022</v>
      </c>
      <c r="M1537">
        <f t="shared" si="47"/>
        <v>2022</v>
      </c>
    </row>
    <row r="1538" spans="1:13" x14ac:dyDescent="0.2">
      <c r="A1538" s="1">
        <v>44907</v>
      </c>
      <c r="B1538">
        <v>50</v>
      </c>
      <c r="C1538">
        <v>12</v>
      </c>
      <c r="D1538">
        <v>4</v>
      </c>
      <c r="E1538" t="s">
        <v>43</v>
      </c>
      <c r="F1538">
        <v>0</v>
      </c>
      <c r="G1538">
        <f>INDEX(weekly!$E$2:$E$188,MATCH('Marketing Campaigns 22.11.22'!L1538,weekly!$H$2:$H$188,0))</f>
        <v>3983.2258064516127</v>
      </c>
      <c r="H1538">
        <f>INDEX(weekly!$D$2:$D$188,MATCH('Marketing Campaigns 22.11.22'!L1538,weekly!$H$2:$H$188,0))</f>
        <v>10348.47935483871</v>
      </c>
      <c r="I1538">
        <f>INDEX(weekly!$F$2:$F$188,MATCH('Marketing Campaigns 22.11.22'!L1538,weekly!$H$2:$H$188,0))</f>
        <v>2297.8064516129034</v>
      </c>
      <c r="J1538">
        <v>0</v>
      </c>
      <c r="K1538">
        <v>0</v>
      </c>
      <c r="L1538" t="str">
        <f t="shared" si="46"/>
        <v>50-12-2022</v>
      </c>
      <c r="M1538">
        <f t="shared" si="47"/>
        <v>2022</v>
      </c>
    </row>
    <row r="1539" spans="1:13" x14ac:dyDescent="0.2">
      <c r="A1539" s="1">
        <v>44907</v>
      </c>
      <c r="B1539">
        <v>50</v>
      </c>
      <c r="C1539">
        <v>12</v>
      </c>
      <c r="D1539">
        <v>4</v>
      </c>
      <c r="E1539" t="s">
        <v>44</v>
      </c>
      <c r="F1539">
        <v>0</v>
      </c>
      <c r="G1539">
        <f>INDEX(weekly!$E$2:$E$188,MATCH('Marketing Campaigns 22.11.22'!L1539,weekly!$H$2:$H$188,0))</f>
        <v>3983.2258064516127</v>
      </c>
      <c r="H1539">
        <f>INDEX(weekly!$D$2:$D$188,MATCH('Marketing Campaigns 22.11.22'!L1539,weekly!$H$2:$H$188,0))</f>
        <v>10348.47935483871</v>
      </c>
      <c r="I1539">
        <f>INDEX(weekly!$F$2:$F$188,MATCH('Marketing Campaigns 22.11.22'!L1539,weekly!$H$2:$H$188,0))</f>
        <v>2297.8064516129034</v>
      </c>
      <c r="J1539">
        <v>0</v>
      </c>
      <c r="K1539">
        <v>0</v>
      </c>
      <c r="L1539" t="str">
        <f t="shared" si="46"/>
        <v>50-12-2022</v>
      </c>
      <c r="M1539">
        <f t="shared" si="47"/>
        <v>2022</v>
      </c>
    </row>
    <row r="1540" spans="1:13" x14ac:dyDescent="0.2">
      <c r="A1540" s="1">
        <v>44907</v>
      </c>
      <c r="B1540">
        <v>50</v>
      </c>
      <c r="C1540">
        <v>12</v>
      </c>
      <c r="D1540">
        <v>4</v>
      </c>
      <c r="E1540" t="s">
        <v>45</v>
      </c>
      <c r="F1540">
        <v>0</v>
      </c>
      <c r="G1540">
        <f>INDEX(weekly!$E$2:$E$188,MATCH('Marketing Campaigns 22.11.22'!L1540,weekly!$H$2:$H$188,0))</f>
        <v>3983.2258064516127</v>
      </c>
      <c r="H1540">
        <f>INDEX(weekly!$D$2:$D$188,MATCH('Marketing Campaigns 22.11.22'!L1540,weekly!$H$2:$H$188,0))</f>
        <v>10348.47935483871</v>
      </c>
      <c r="I1540">
        <f>INDEX(weekly!$F$2:$F$188,MATCH('Marketing Campaigns 22.11.22'!L1540,weekly!$H$2:$H$188,0))</f>
        <v>2297.8064516129034</v>
      </c>
      <c r="J1540">
        <v>0</v>
      </c>
      <c r="K1540">
        <v>0</v>
      </c>
      <c r="L1540" t="str">
        <f t="shared" ref="L1540:L1603" si="48">B1540&amp;"-"&amp;C1540&amp;"-"&amp;M1540</f>
        <v>50-12-2022</v>
      </c>
      <c r="M1540">
        <f t="shared" ref="M1540:M1603" si="49">YEAR(A1540)</f>
        <v>2022</v>
      </c>
    </row>
    <row r="1541" spans="1:13" x14ac:dyDescent="0.2">
      <c r="A1541" s="1">
        <v>44907</v>
      </c>
      <c r="B1541">
        <v>50</v>
      </c>
      <c r="C1541">
        <v>12</v>
      </c>
      <c r="D1541">
        <v>4</v>
      </c>
      <c r="E1541" t="s">
        <v>46</v>
      </c>
      <c r="F1541">
        <v>0</v>
      </c>
      <c r="G1541">
        <f>INDEX(weekly!$E$2:$E$188,MATCH('Marketing Campaigns 22.11.22'!L1541,weekly!$H$2:$H$188,0))</f>
        <v>3983.2258064516127</v>
      </c>
      <c r="H1541">
        <f>INDEX(weekly!$D$2:$D$188,MATCH('Marketing Campaigns 22.11.22'!L1541,weekly!$H$2:$H$188,0))</f>
        <v>10348.47935483871</v>
      </c>
      <c r="I1541">
        <f>INDEX(weekly!$F$2:$F$188,MATCH('Marketing Campaigns 22.11.22'!L1541,weekly!$H$2:$H$188,0))</f>
        <v>2297.8064516129034</v>
      </c>
      <c r="J1541">
        <v>0</v>
      </c>
      <c r="K1541">
        <v>0</v>
      </c>
      <c r="L1541" t="str">
        <f t="shared" si="48"/>
        <v>50-12-2022</v>
      </c>
      <c r="M1541">
        <f t="shared" si="49"/>
        <v>2022</v>
      </c>
    </row>
    <row r="1542" spans="1:13" x14ac:dyDescent="0.2">
      <c r="A1542" s="1">
        <v>44907</v>
      </c>
      <c r="B1542">
        <v>50</v>
      </c>
      <c r="C1542">
        <v>12</v>
      </c>
      <c r="D1542">
        <v>4</v>
      </c>
      <c r="E1542" t="s">
        <v>47</v>
      </c>
      <c r="F1542">
        <v>0</v>
      </c>
      <c r="G1542">
        <f>INDEX(weekly!$E$2:$E$188,MATCH('Marketing Campaigns 22.11.22'!L1542,weekly!$H$2:$H$188,0))</f>
        <v>3983.2258064516127</v>
      </c>
      <c r="H1542">
        <f>INDEX(weekly!$D$2:$D$188,MATCH('Marketing Campaigns 22.11.22'!L1542,weekly!$H$2:$H$188,0))</f>
        <v>10348.47935483871</v>
      </c>
      <c r="I1542">
        <f>INDEX(weekly!$F$2:$F$188,MATCH('Marketing Campaigns 22.11.22'!L1542,weekly!$H$2:$H$188,0))</f>
        <v>2297.8064516129034</v>
      </c>
      <c r="J1542">
        <v>0</v>
      </c>
      <c r="K1542">
        <v>0</v>
      </c>
      <c r="L1542" t="str">
        <f t="shared" si="48"/>
        <v>50-12-2022</v>
      </c>
      <c r="M1542">
        <f t="shared" si="49"/>
        <v>2022</v>
      </c>
    </row>
    <row r="1543" spans="1:13" x14ac:dyDescent="0.2">
      <c r="A1543" s="1">
        <v>44907</v>
      </c>
      <c r="B1543">
        <v>50</v>
      </c>
      <c r="C1543">
        <v>12</v>
      </c>
      <c r="D1543">
        <v>4</v>
      </c>
      <c r="E1543" t="s">
        <v>48</v>
      </c>
      <c r="F1543">
        <v>0</v>
      </c>
      <c r="G1543">
        <f>INDEX(weekly!$E$2:$E$188,MATCH('Marketing Campaigns 22.11.22'!L1543,weekly!$H$2:$H$188,0))</f>
        <v>3983.2258064516127</v>
      </c>
      <c r="H1543">
        <f>INDEX(weekly!$D$2:$D$188,MATCH('Marketing Campaigns 22.11.22'!L1543,weekly!$H$2:$H$188,0))</f>
        <v>10348.47935483871</v>
      </c>
      <c r="I1543">
        <f>INDEX(weekly!$F$2:$F$188,MATCH('Marketing Campaigns 22.11.22'!L1543,weekly!$H$2:$H$188,0))</f>
        <v>2297.8064516129034</v>
      </c>
      <c r="J1543">
        <v>0</v>
      </c>
      <c r="K1543">
        <v>0</v>
      </c>
      <c r="L1543" t="str">
        <f t="shared" si="48"/>
        <v>50-12-2022</v>
      </c>
      <c r="M1543">
        <f t="shared" si="49"/>
        <v>2022</v>
      </c>
    </row>
    <row r="1544" spans="1:13" x14ac:dyDescent="0.2">
      <c r="A1544" s="1">
        <v>44907</v>
      </c>
      <c r="B1544">
        <v>50</v>
      </c>
      <c r="C1544">
        <v>12</v>
      </c>
      <c r="D1544">
        <v>4</v>
      </c>
      <c r="E1544" t="s">
        <v>49</v>
      </c>
      <c r="F1544">
        <v>0</v>
      </c>
      <c r="G1544">
        <f>INDEX(weekly!$E$2:$E$188,MATCH('Marketing Campaigns 22.11.22'!L1544,weekly!$H$2:$H$188,0))</f>
        <v>3983.2258064516127</v>
      </c>
      <c r="H1544">
        <f>INDEX(weekly!$D$2:$D$188,MATCH('Marketing Campaigns 22.11.22'!L1544,weekly!$H$2:$H$188,0))</f>
        <v>10348.47935483871</v>
      </c>
      <c r="I1544">
        <f>INDEX(weekly!$F$2:$F$188,MATCH('Marketing Campaigns 22.11.22'!L1544,weekly!$H$2:$H$188,0))</f>
        <v>2297.8064516129034</v>
      </c>
      <c r="J1544">
        <v>0</v>
      </c>
      <c r="K1544">
        <v>0</v>
      </c>
      <c r="L1544" t="str">
        <f t="shared" si="48"/>
        <v>50-12-2022</v>
      </c>
      <c r="M1544">
        <f t="shared" si="49"/>
        <v>2022</v>
      </c>
    </row>
    <row r="1545" spans="1:13" x14ac:dyDescent="0.2">
      <c r="A1545" s="1">
        <v>44907</v>
      </c>
      <c r="B1545">
        <v>50</v>
      </c>
      <c r="C1545">
        <v>12</v>
      </c>
      <c r="D1545">
        <v>4</v>
      </c>
      <c r="E1545" t="s">
        <v>50</v>
      </c>
      <c r="F1545">
        <v>0</v>
      </c>
      <c r="G1545">
        <f>INDEX(weekly!$E$2:$E$188,MATCH('Marketing Campaigns 22.11.22'!L1545,weekly!$H$2:$H$188,0))</f>
        <v>3983.2258064516127</v>
      </c>
      <c r="H1545">
        <f>INDEX(weekly!$D$2:$D$188,MATCH('Marketing Campaigns 22.11.22'!L1545,weekly!$H$2:$H$188,0))</f>
        <v>10348.47935483871</v>
      </c>
      <c r="I1545">
        <f>INDEX(weekly!$F$2:$F$188,MATCH('Marketing Campaigns 22.11.22'!L1545,weekly!$H$2:$H$188,0))</f>
        <v>2297.8064516129034</v>
      </c>
      <c r="J1545">
        <v>0</v>
      </c>
      <c r="K1545">
        <v>0</v>
      </c>
      <c r="L1545" t="str">
        <f t="shared" si="48"/>
        <v>50-12-2022</v>
      </c>
      <c r="M1545">
        <f t="shared" si="49"/>
        <v>2022</v>
      </c>
    </row>
    <row r="1546" spans="1:13" x14ac:dyDescent="0.2">
      <c r="A1546" s="1">
        <v>44907</v>
      </c>
      <c r="B1546">
        <v>50</v>
      </c>
      <c r="C1546">
        <v>12</v>
      </c>
      <c r="D1546">
        <v>4</v>
      </c>
      <c r="E1546" t="s">
        <v>51</v>
      </c>
      <c r="F1546">
        <v>0</v>
      </c>
      <c r="G1546">
        <f>INDEX(weekly!$E$2:$E$188,MATCH('Marketing Campaigns 22.11.22'!L1546,weekly!$H$2:$H$188,0))</f>
        <v>3983.2258064516127</v>
      </c>
      <c r="H1546">
        <f>INDEX(weekly!$D$2:$D$188,MATCH('Marketing Campaigns 22.11.22'!L1546,weekly!$H$2:$H$188,0))</f>
        <v>10348.47935483871</v>
      </c>
      <c r="I1546">
        <f>INDEX(weekly!$F$2:$F$188,MATCH('Marketing Campaigns 22.11.22'!L1546,weekly!$H$2:$H$188,0))</f>
        <v>2297.8064516129034</v>
      </c>
      <c r="J1546">
        <v>0</v>
      </c>
      <c r="K1546">
        <v>0</v>
      </c>
      <c r="L1546" t="str">
        <f t="shared" si="48"/>
        <v>50-12-2022</v>
      </c>
      <c r="M1546">
        <f t="shared" si="49"/>
        <v>2022</v>
      </c>
    </row>
    <row r="1547" spans="1:13" x14ac:dyDescent="0.2">
      <c r="A1547" s="1">
        <v>44907</v>
      </c>
      <c r="B1547">
        <v>50</v>
      </c>
      <c r="C1547">
        <v>12</v>
      </c>
      <c r="D1547">
        <v>4</v>
      </c>
      <c r="E1547" t="s">
        <v>52</v>
      </c>
      <c r="F1547">
        <v>0</v>
      </c>
      <c r="G1547">
        <f>INDEX(weekly!$E$2:$E$188,MATCH('Marketing Campaigns 22.11.22'!L1547,weekly!$H$2:$H$188,0))</f>
        <v>3983.2258064516127</v>
      </c>
      <c r="H1547">
        <f>INDEX(weekly!$D$2:$D$188,MATCH('Marketing Campaigns 22.11.22'!L1547,weekly!$H$2:$H$188,0))</f>
        <v>10348.47935483871</v>
      </c>
      <c r="I1547">
        <f>INDEX(weekly!$F$2:$F$188,MATCH('Marketing Campaigns 22.11.22'!L1547,weekly!$H$2:$H$188,0))</f>
        <v>2297.8064516129034</v>
      </c>
      <c r="J1547">
        <v>0</v>
      </c>
      <c r="K1547">
        <v>0</v>
      </c>
      <c r="L1547" t="str">
        <f t="shared" si="48"/>
        <v>50-12-2022</v>
      </c>
      <c r="M1547">
        <f t="shared" si="49"/>
        <v>2022</v>
      </c>
    </row>
    <row r="1548" spans="1:13" x14ac:dyDescent="0.2">
      <c r="A1548" s="1">
        <v>44914</v>
      </c>
      <c r="B1548">
        <v>51</v>
      </c>
      <c r="C1548">
        <v>12</v>
      </c>
      <c r="D1548">
        <v>4</v>
      </c>
      <c r="E1548" t="s">
        <v>24</v>
      </c>
      <c r="F1548">
        <v>0</v>
      </c>
      <c r="G1548">
        <f>INDEX(weekly!$E$2:$E$188,MATCH('Marketing Campaigns 22.11.22'!L1548,weekly!$H$2:$H$188,0))</f>
        <v>3983.2258064516127</v>
      </c>
      <c r="H1548">
        <f>INDEX(weekly!$D$2:$D$188,MATCH('Marketing Campaigns 22.11.22'!L1548,weekly!$H$2:$H$188,0))</f>
        <v>10348.47935483871</v>
      </c>
      <c r="I1548">
        <f>INDEX(weekly!$F$2:$F$188,MATCH('Marketing Campaigns 22.11.22'!L1548,weekly!$H$2:$H$188,0))</f>
        <v>2297.8064516129034</v>
      </c>
      <c r="J1548">
        <v>0</v>
      </c>
      <c r="K1548">
        <v>0</v>
      </c>
      <c r="L1548" t="str">
        <f t="shared" si="48"/>
        <v>51-12-2022</v>
      </c>
      <c r="M1548">
        <f t="shared" si="49"/>
        <v>2022</v>
      </c>
    </row>
    <row r="1549" spans="1:13" x14ac:dyDescent="0.2">
      <c r="A1549" s="1">
        <v>44914</v>
      </c>
      <c r="B1549">
        <v>51</v>
      </c>
      <c r="C1549">
        <v>12</v>
      </c>
      <c r="D1549">
        <v>4</v>
      </c>
      <c r="E1549" t="s">
        <v>39</v>
      </c>
      <c r="F1549">
        <v>0</v>
      </c>
      <c r="G1549">
        <f>INDEX(weekly!$E$2:$E$188,MATCH('Marketing Campaigns 22.11.22'!L1549,weekly!$H$2:$H$188,0))</f>
        <v>3983.2258064516127</v>
      </c>
      <c r="H1549">
        <f>INDEX(weekly!$D$2:$D$188,MATCH('Marketing Campaigns 22.11.22'!L1549,weekly!$H$2:$H$188,0))</f>
        <v>10348.47935483871</v>
      </c>
      <c r="I1549">
        <f>INDEX(weekly!$F$2:$F$188,MATCH('Marketing Campaigns 22.11.22'!L1549,weekly!$H$2:$H$188,0))</f>
        <v>2297.8064516129034</v>
      </c>
      <c r="J1549">
        <v>0</v>
      </c>
      <c r="K1549">
        <v>0</v>
      </c>
      <c r="L1549" t="str">
        <f t="shared" si="48"/>
        <v>51-12-2022</v>
      </c>
      <c r="M1549">
        <f t="shared" si="49"/>
        <v>2022</v>
      </c>
    </row>
    <row r="1550" spans="1:13" x14ac:dyDescent="0.2">
      <c r="A1550" s="1">
        <v>44914</v>
      </c>
      <c r="B1550">
        <v>51</v>
      </c>
      <c r="C1550">
        <v>12</v>
      </c>
      <c r="D1550">
        <v>4</v>
      </c>
      <c r="E1550" t="s">
        <v>40</v>
      </c>
      <c r="F1550">
        <v>0</v>
      </c>
      <c r="G1550">
        <f>INDEX(weekly!$E$2:$E$188,MATCH('Marketing Campaigns 22.11.22'!L1550,weekly!$H$2:$H$188,0))</f>
        <v>3983.2258064516127</v>
      </c>
      <c r="H1550">
        <f>INDEX(weekly!$D$2:$D$188,MATCH('Marketing Campaigns 22.11.22'!L1550,weekly!$H$2:$H$188,0))</f>
        <v>10348.47935483871</v>
      </c>
      <c r="I1550">
        <f>INDEX(weekly!$F$2:$F$188,MATCH('Marketing Campaigns 22.11.22'!L1550,weekly!$H$2:$H$188,0))</f>
        <v>2297.8064516129034</v>
      </c>
      <c r="J1550">
        <v>0</v>
      </c>
      <c r="K1550">
        <v>0</v>
      </c>
      <c r="L1550" t="str">
        <f t="shared" si="48"/>
        <v>51-12-2022</v>
      </c>
      <c r="M1550">
        <f t="shared" si="49"/>
        <v>2022</v>
      </c>
    </row>
    <row r="1551" spans="1:13" x14ac:dyDescent="0.2">
      <c r="A1551" s="1">
        <v>44914</v>
      </c>
      <c r="B1551">
        <v>51</v>
      </c>
      <c r="C1551">
        <v>12</v>
      </c>
      <c r="D1551">
        <v>4</v>
      </c>
      <c r="E1551" t="s">
        <v>41</v>
      </c>
      <c r="F1551">
        <v>0</v>
      </c>
      <c r="G1551">
        <f>INDEX(weekly!$E$2:$E$188,MATCH('Marketing Campaigns 22.11.22'!L1551,weekly!$H$2:$H$188,0))</f>
        <v>3983.2258064516127</v>
      </c>
      <c r="H1551">
        <f>INDEX(weekly!$D$2:$D$188,MATCH('Marketing Campaigns 22.11.22'!L1551,weekly!$H$2:$H$188,0))</f>
        <v>10348.47935483871</v>
      </c>
      <c r="I1551">
        <f>INDEX(weekly!$F$2:$F$188,MATCH('Marketing Campaigns 22.11.22'!L1551,weekly!$H$2:$H$188,0))</f>
        <v>2297.8064516129034</v>
      </c>
      <c r="J1551">
        <v>0</v>
      </c>
      <c r="K1551">
        <v>0</v>
      </c>
      <c r="L1551" t="str">
        <f t="shared" si="48"/>
        <v>51-12-2022</v>
      </c>
      <c r="M1551">
        <f t="shared" si="49"/>
        <v>2022</v>
      </c>
    </row>
    <row r="1552" spans="1:13" x14ac:dyDescent="0.2">
      <c r="A1552" s="1">
        <v>44914</v>
      </c>
      <c r="B1552">
        <v>51</v>
      </c>
      <c r="C1552">
        <v>12</v>
      </c>
      <c r="D1552">
        <v>4</v>
      </c>
      <c r="E1552" t="s">
        <v>42</v>
      </c>
      <c r="F1552">
        <v>0</v>
      </c>
      <c r="G1552">
        <f>INDEX(weekly!$E$2:$E$188,MATCH('Marketing Campaigns 22.11.22'!L1552,weekly!$H$2:$H$188,0))</f>
        <v>3983.2258064516127</v>
      </c>
      <c r="H1552">
        <f>INDEX(weekly!$D$2:$D$188,MATCH('Marketing Campaigns 22.11.22'!L1552,weekly!$H$2:$H$188,0))</f>
        <v>10348.47935483871</v>
      </c>
      <c r="I1552">
        <f>INDEX(weekly!$F$2:$F$188,MATCH('Marketing Campaigns 22.11.22'!L1552,weekly!$H$2:$H$188,0))</f>
        <v>2297.8064516129034</v>
      </c>
      <c r="J1552">
        <v>0</v>
      </c>
      <c r="K1552">
        <v>0</v>
      </c>
      <c r="L1552" t="str">
        <f t="shared" si="48"/>
        <v>51-12-2022</v>
      </c>
      <c r="M1552">
        <f t="shared" si="49"/>
        <v>2022</v>
      </c>
    </row>
    <row r="1553" spans="1:13" x14ac:dyDescent="0.2">
      <c r="A1553" s="1">
        <v>44914</v>
      </c>
      <c r="B1553">
        <v>51</v>
      </c>
      <c r="C1553">
        <v>12</v>
      </c>
      <c r="D1553">
        <v>4</v>
      </c>
      <c r="E1553" t="s">
        <v>43</v>
      </c>
      <c r="F1553">
        <v>0</v>
      </c>
      <c r="G1553">
        <f>INDEX(weekly!$E$2:$E$188,MATCH('Marketing Campaigns 22.11.22'!L1553,weekly!$H$2:$H$188,0))</f>
        <v>3983.2258064516127</v>
      </c>
      <c r="H1553">
        <f>INDEX(weekly!$D$2:$D$188,MATCH('Marketing Campaigns 22.11.22'!L1553,weekly!$H$2:$H$188,0))</f>
        <v>10348.47935483871</v>
      </c>
      <c r="I1553">
        <f>INDEX(weekly!$F$2:$F$188,MATCH('Marketing Campaigns 22.11.22'!L1553,weekly!$H$2:$H$188,0))</f>
        <v>2297.8064516129034</v>
      </c>
      <c r="J1553">
        <v>0</v>
      </c>
      <c r="K1553">
        <v>0</v>
      </c>
      <c r="L1553" t="str">
        <f t="shared" si="48"/>
        <v>51-12-2022</v>
      </c>
      <c r="M1553">
        <f t="shared" si="49"/>
        <v>2022</v>
      </c>
    </row>
    <row r="1554" spans="1:13" x14ac:dyDescent="0.2">
      <c r="A1554" s="1">
        <v>44914</v>
      </c>
      <c r="B1554">
        <v>51</v>
      </c>
      <c r="C1554">
        <v>12</v>
      </c>
      <c r="D1554">
        <v>4</v>
      </c>
      <c r="E1554" t="s">
        <v>44</v>
      </c>
      <c r="F1554">
        <v>0</v>
      </c>
      <c r="G1554">
        <f>INDEX(weekly!$E$2:$E$188,MATCH('Marketing Campaigns 22.11.22'!L1554,weekly!$H$2:$H$188,0))</f>
        <v>3983.2258064516127</v>
      </c>
      <c r="H1554">
        <f>INDEX(weekly!$D$2:$D$188,MATCH('Marketing Campaigns 22.11.22'!L1554,weekly!$H$2:$H$188,0))</f>
        <v>10348.47935483871</v>
      </c>
      <c r="I1554">
        <f>INDEX(weekly!$F$2:$F$188,MATCH('Marketing Campaigns 22.11.22'!L1554,weekly!$H$2:$H$188,0))</f>
        <v>2297.8064516129034</v>
      </c>
      <c r="J1554">
        <v>0</v>
      </c>
      <c r="K1554">
        <v>0</v>
      </c>
      <c r="L1554" t="str">
        <f t="shared" si="48"/>
        <v>51-12-2022</v>
      </c>
      <c r="M1554">
        <f t="shared" si="49"/>
        <v>2022</v>
      </c>
    </row>
    <row r="1555" spans="1:13" x14ac:dyDescent="0.2">
      <c r="A1555" s="1">
        <v>44914</v>
      </c>
      <c r="B1555">
        <v>51</v>
      </c>
      <c r="C1555">
        <v>12</v>
      </c>
      <c r="D1555">
        <v>4</v>
      </c>
      <c r="E1555" t="s">
        <v>45</v>
      </c>
      <c r="F1555">
        <v>0</v>
      </c>
      <c r="G1555">
        <f>INDEX(weekly!$E$2:$E$188,MATCH('Marketing Campaigns 22.11.22'!L1555,weekly!$H$2:$H$188,0))</f>
        <v>3983.2258064516127</v>
      </c>
      <c r="H1555">
        <f>INDEX(weekly!$D$2:$D$188,MATCH('Marketing Campaigns 22.11.22'!L1555,weekly!$H$2:$H$188,0))</f>
        <v>10348.47935483871</v>
      </c>
      <c r="I1555">
        <f>INDEX(weekly!$F$2:$F$188,MATCH('Marketing Campaigns 22.11.22'!L1555,weekly!$H$2:$H$188,0))</f>
        <v>2297.8064516129034</v>
      </c>
      <c r="J1555">
        <v>0</v>
      </c>
      <c r="K1555">
        <v>0</v>
      </c>
      <c r="L1555" t="str">
        <f t="shared" si="48"/>
        <v>51-12-2022</v>
      </c>
      <c r="M1555">
        <f t="shared" si="49"/>
        <v>2022</v>
      </c>
    </row>
    <row r="1556" spans="1:13" x14ac:dyDescent="0.2">
      <c r="A1556" s="1">
        <v>44914</v>
      </c>
      <c r="B1556">
        <v>51</v>
      </c>
      <c r="C1556">
        <v>12</v>
      </c>
      <c r="D1556">
        <v>4</v>
      </c>
      <c r="E1556" t="s">
        <v>46</v>
      </c>
      <c r="F1556">
        <v>0</v>
      </c>
      <c r="G1556">
        <f>INDEX(weekly!$E$2:$E$188,MATCH('Marketing Campaigns 22.11.22'!L1556,weekly!$H$2:$H$188,0))</f>
        <v>3983.2258064516127</v>
      </c>
      <c r="H1556">
        <f>INDEX(weekly!$D$2:$D$188,MATCH('Marketing Campaigns 22.11.22'!L1556,weekly!$H$2:$H$188,0))</f>
        <v>10348.47935483871</v>
      </c>
      <c r="I1556">
        <f>INDEX(weekly!$F$2:$F$188,MATCH('Marketing Campaigns 22.11.22'!L1556,weekly!$H$2:$H$188,0))</f>
        <v>2297.8064516129034</v>
      </c>
      <c r="J1556">
        <v>0</v>
      </c>
      <c r="K1556">
        <v>0</v>
      </c>
      <c r="L1556" t="str">
        <f t="shared" si="48"/>
        <v>51-12-2022</v>
      </c>
      <c r="M1556">
        <f t="shared" si="49"/>
        <v>2022</v>
      </c>
    </row>
    <row r="1557" spans="1:13" x14ac:dyDescent="0.2">
      <c r="A1557" s="1">
        <v>44914</v>
      </c>
      <c r="B1557">
        <v>51</v>
      </c>
      <c r="C1557">
        <v>12</v>
      </c>
      <c r="D1557">
        <v>4</v>
      </c>
      <c r="E1557" t="s">
        <v>47</v>
      </c>
      <c r="F1557">
        <v>0</v>
      </c>
      <c r="G1557">
        <f>INDEX(weekly!$E$2:$E$188,MATCH('Marketing Campaigns 22.11.22'!L1557,weekly!$H$2:$H$188,0))</f>
        <v>3983.2258064516127</v>
      </c>
      <c r="H1557">
        <f>INDEX(weekly!$D$2:$D$188,MATCH('Marketing Campaigns 22.11.22'!L1557,weekly!$H$2:$H$188,0))</f>
        <v>10348.47935483871</v>
      </c>
      <c r="I1557">
        <f>INDEX(weekly!$F$2:$F$188,MATCH('Marketing Campaigns 22.11.22'!L1557,weekly!$H$2:$H$188,0))</f>
        <v>2297.8064516129034</v>
      </c>
      <c r="J1557">
        <v>0</v>
      </c>
      <c r="K1557">
        <v>0</v>
      </c>
      <c r="L1557" t="str">
        <f t="shared" si="48"/>
        <v>51-12-2022</v>
      </c>
      <c r="M1557">
        <f t="shared" si="49"/>
        <v>2022</v>
      </c>
    </row>
    <row r="1558" spans="1:13" x14ac:dyDescent="0.2">
      <c r="A1558" s="1">
        <v>44914</v>
      </c>
      <c r="B1558">
        <v>51</v>
      </c>
      <c r="C1558">
        <v>12</v>
      </c>
      <c r="D1558">
        <v>4</v>
      </c>
      <c r="E1558" t="s">
        <v>48</v>
      </c>
      <c r="F1558">
        <v>0</v>
      </c>
      <c r="G1558">
        <f>INDEX(weekly!$E$2:$E$188,MATCH('Marketing Campaigns 22.11.22'!L1558,weekly!$H$2:$H$188,0))</f>
        <v>3983.2258064516127</v>
      </c>
      <c r="H1558">
        <f>INDEX(weekly!$D$2:$D$188,MATCH('Marketing Campaigns 22.11.22'!L1558,weekly!$H$2:$H$188,0))</f>
        <v>10348.47935483871</v>
      </c>
      <c r="I1558">
        <f>INDEX(weekly!$F$2:$F$188,MATCH('Marketing Campaigns 22.11.22'!L1558,weekly!$H$2:$H$188,0))</f>
        <v>2297.8064516129034</v>
      </c>
      <c r="J1558">
        <v>0</v>
      </c>
      <c r="K1558">
        <v>0</v>
      </c>
      <c r="L1558" t="str">
        <f t="shared" si="48"/>
        <v>51-12-2022</v>
      </c>
      <c r="M1558">
        <f t="shared" si="49"/>
        <v>2022</v>
      </c>
    </row>
    <row r="1559" spans="1:13" x14ac:dyDescent="0.2">
      <c r="A1559" s="1">
        <v>44914</v>
      </c>
      <c r="B1559">
        <v>51</v>
      </c>
      <c r="C1559">
        <v>12</v>
      </c>
      <c r="D1559">
        <v>4</v>
      </c>
      <c r="E1559" t="s">
        <v>49</v>
      </c>
      <c r="F1559">
        <v>0</v>
      </c>
      <c r="G1559">
        <f>INDEX(weekly!$E$2:$E$188,MATCH('Marketing Campaigns 22.11.22'!L1559,weekly!$H$2:$H$188,0))</f>
        <v>3983.2258064516127</v>
      </c>
      <c r="H1559">
        <f>INDEX(weekly!$D$2:$D$188,MATCH('Marketing Campaigns 22.11.22'!L1559,weekly!$H$2:$H$188,0))</f>
        <v>10348.47935483871</v>
      </c>
      <c r="I1559">
        <f>INDEX(weekly!$F$2:$F$188,MATCH('Marketing Campaigns 22.11.22'!L1559,weekly!$H$2:$H$188,0))</f>
        <v>2297.8064516129034</v>
      </c>
      <c r="J1559">
        <v>0</v>
      </c>
      <c r="K1559">
        <v>0</v>
      </c>
      <c r="L1559" t="str">
        <f t="shared" si="48"/>
        <v>51-12-2022</v>
      </c>
      <c r="M1559">
        <f t="shared" si="49"/>
        <v>2022</v>
      </c>
    </row>
    <row r="1560" spans="1:13" x14ac:dyDescent="0.2">
      <c r="A1560" s="1">
        <v>44914</v>
      </c>
      <c r="B1560">
        <v>51</v>
      </c>
      <c r="C1560">
        <v>12</v>
      </c>
      <c r="D1560">
        <v>4</v>
      </c>
      <c r="E1560" t="s">
        <v>50</v>
      </c>
      <c r="F1560">
        <v>0</v>
      </c>
      <c r="G1560">
        <f>INDEX(weekly!$E$2:$E$188,MATCH('Marketing Campaigns 22.11.22'!L1560,weekly!$H$2:$H$188,0))</f>
        <v>3983.2258064516127</v>
      </c>
      <c r="H1560">
        <f>INDEX(weekly!$D$2:$D$188,MATCH('Marketing Campaigns 22.11.22'!L1560,weekly!$H$2:$H$188,0))</f>
        <v>10348.47935483871</v>
      </c>
      <c r="I1560">
        <f>INDEX(weekly!$F$2:$F$188,MATCH('Marketing Campaigns 22.11.22'!L1560,weekly!$H$2:$H$188,0))</f>
        <v>2297.8064516129034</v>
      </c>
      <c r="J1560">
        <v>0</v>
      </c>
      <c r="K1560">
        <v>0</v>
      </c>
      <c r="L1560" t="str">
        <f t="shared" si="48"/>
        <v>51-12-2022</v>
      </c>
      <c r="M1560">
        <f t="shared" si="49"/>
        <v>2022</v>
      </c>
    </row>
    <row r="1561" spans="1:13" x14ac:dyDescent="0.2">
      <c r="A1561" s="1">
        <v>44914</v>
      </c>
      <c r="B1561">
        <v>51</v>
      </c>
      <c r="C1561">
        <v>12</v>
      </c>
      <c r="D1561">
        <v>4</v>
      </c>
      <c r="E1561" t="s">
        <v>51</v>
      </c>
      <c r="F1561">
        <v>0</v>
      </c>
      <c r="G1561">
        <f>INDEX(weekly!$E$2:$E$188,MATCH('Marketing Campaigns 22.11.22'!L1561,weekly!$H$2:$H$188,0))</f>
        <v>3983.2258064516127</v>
      </c>
      <c r="H1561">
        <f>INDEX(weekly!$D$2:$D$188,MATCH('Marketing Campaigns 22.11.22'!L1561,weekly!$H$2:$H$188,0))</f>
        <v>10348.47935483871</v>
      </c>
      <c r="I1561">
        <f>INDEX(weekly!$F$2:$F$188,MATCH('Marketing Campaigns 22.11.22'!L1561,weekly!$H$2:$H$188,0))</f>
        <v>2297.8064516129034</v>
      </c>
      <c r="J1561">
        <v>0</v>
      </c>
      <c r="K1561">
        <v>0</v>
      </c>
      <c r="L1561" t="str">
        <f t="shared" si="48"/>
        <v>51-12-2022</v>
      </c>
      <c r="M1561">
        <f t="shared" si="49"/>
        <v>2022</v>
      </c>
    </row>
    <row r="1562" spans="1:13" x14ac:dyDescent="0.2">
      <c r="A1562" s="1">
        <v>44914</v>
      </c>
      <c r="B1562">
        <v>51</v>
      </c>
      <c r="C1562">
        <v>12</v>
      </c>
      <c r="D1562">
        <v>4</v>
      </c>
      <c r="E1562" t="s">
        <v>52</v>
      </c>
      <c r="F1562">
        <v>0</v>
      </c>
      <c r="G1562">
        <f>INDEX(weekly!$E$2:$E$188,MATCH('Marketing Campaigns 22.11.22'!L1562,weekly!$H$2:$H$188,0))</f>
        <v>3983.2258064516127</v>
      </c>
      <c r="H1562">
        <f>INDEX(weekly!$D$2:$D$188,MATCH('Marketing Campaigns 22.11.22'!L1562,weekly!$H$2:$H$188,0))</f>
        <v>10348.47935483871</v>
      </c>
      <c r="I1562">
        <f>INDEX(weekly!$F$2:$F$188,MATCH('Marketing Campaigns 22.11.22'!L1562,weekly!$H$2:$H$188,0))</f>
        <v>2297.8064516129034</v>
      </c>
      <c r="J1562">
        <v>0</v>
      </c>
      <c r="K1562">
        <v>0</v>
      </c>
      <c r="L1562" t="str">
        <f t="shared" si="48"/>
        <v>51-12-2022</v>
      </c>
      <c r="M1562">
        <f t="shared" si="49"/>
        <v>2022</v>
      </c>
    </row>
    <row r="1563" spans="1:13" x14ac:dyDescent="0.2">
      <c r="A1563" s="1">
        <v>44921</v>
      </c>
      <c r="B1563">
        <v>52</v>
      </c>
      <c r="C1563">
        <v>12</v>
      </c>
      <c r="D1563">
        <v>4</v>
      </c>
      <c r="E1563" t="s">
        <v>24</v>
      </c>
      <c r="F1563">
        <v>0</v>
      </c>
      <c r="G1563">
        <f>INDEX(weekly!$E$2:$E$188,MATCH('Marketing Campaigns 22.11.22'!L1563,weekly!$H$2:$H$188,0))</f>
        <v>3414.1935483870966</v>
      </c>
      <c r="H1563">
        <f>INDEX(weekly!$D$2:$D$188,MATCH('Marketing Campaigns 22.11.22'!L1563,weekly!$H$2:$H$188,0))</f>
        <v>8870.1251612903234</v>
      </c>
      <c r="I1563">
        <f>INDEX(weekly!$F$2:$F$188,MATCH('Marketing Campaigns 22.11.22'!L1563,weekly!$H$2:$H$188,0))</f>
        <v>1969.5483870967741</v>
      </c>
      <c r="J1563">
        <v>0</v>
      </c>
      <c r="K1563">
        <v>0</v>
      </c>
      <c r="L1563" t="str">
        <f t="shared" si="48"/>
        <v>52-12-2022</v>
      </c>
      <c r="M1563">
        <f t="shared" si="49"/>
        <v>2022</v>
      </c>
    </row>
    <row r="1564" spans="1:13" x14ac:dyDescent="0.2">
      <c r="A1564" s="1">
        <v>44921</v>
      </c>
      <c r="B1564">
        <v>52</v>
      </c>
      <c r="C1564">
        <v>12</v>
      </c>
      <c r="D1564">
        <v>4</v>
      </c>
      <c r="E1564" t="s">
        <v>39</v>
      </c>
      <c r="F1564">
        <v>0</v>
      </c>
      <c r="G1564">
        <f>INDEX(weekly!$E$2:$E$188,MATCH('Marketing Campaigns 22.11.22'!L1564,weekly!$H$2:$H$188,0))</f>
        <v>3414.1935483870966</v>
      </c>
      <c r="H1564">
        <f>INDEX(weekly!$D$2:$D$188,MATCH('Marketing Campaigns 22.11.22'!L1564,weekly!$H$2:$H$188,0))</f>
        <v>8870.1251612903234</v>
      </c>
      <c r="I1564">
        <f>INDEX(weekly!$F$2:$F$188,MATCH('Marketing Campaigns 22.11.22'!L1564,weekly!$H$2:$H$188,0))</f>
        <v>1969.5483870967741</v>
      </c>
      <c r="J1564">
        <v>0</v>
      </c>
      <c r="K1564">
        <v>0</v>
      </c>
      <c r="L1564" t="str">
        <f t="shared" si="48"/>
        <v>52-12-2022</v>
      </c>
      <c r="M1564">
        <f t="shared" si="49"/>
        <v>2022</v>
      </c>
    </row>
    <row r="1565" spans="1:13" x14ac:dyDescent="0.2">
      <c r="A1565" s="1">
        <v>44921</v>
      </c>
      <c r="B1565">
        <v>52</v>
      </c>
      <c r="C1565">
        <v>12</v>
      </c>
      <c r="D1565">
        <v>4</v>
      </c>
      <c r="E1565" t="s">
        <v>40</v>
      </c>
      <c r="F1565">
        <v>0</v>
      </c>
      <c r="G1565">
        <f>INDEX(weekly!$E$2:$E$188,MATCH('Marketing Campaigns 22.11.22'!L1565,weekly!$H$2:$H$188,0))</f>
        <v>3414.1935483870966</v>
      </c>
      <c r="H1565">
        <f>INDEX(weekly!$D$2:$D$188,MATCH('Marketing Campaigns 22.11.22'!L1565,weekly!$H$2:$H$188,0))</f>
        <v>8870.1251612903234</v>
      </c>
      <c r="I1565">
        <f>INDEX(weekly!$F$2:$F$188,MATCH('Marketing Campaigns 22.11.22'!L1565,weekly!$H$2:$H$188,0))</f>
        <v>1969.5483870967741</v>
      </c>
      <c r="J1565">
        <v>0</v>
      </c>
      <c r="K1565">
        <v>0</v>
      </c>
      <c r="L1565" t="str">
        <f t="shared" si="48"/>
        <v>52-12-2022</v>
      </c>
      <c r="M1565">
        <f t="shared" si="49"/>
        <v>2022</v>
      </c>
    </row>
    <row r="1566" spans="1:13" x14ac:dyDescent="0.2">
      <c r="A1566" s="1">
        <v>44921</v>
      </c>
      <c r="B1566">
        <v>52</v>
      </c>
      <c r="C1566">
        <v>12</v>
      </c>
      <c r="D1566">
        <v>4</v>
      </c>
      <c r="E1566" t="s">
        <v>41</v>
      </c>
      <c r="F1566">
        <v>0</v>
      </c>
      <c r="G1566">
        <f>INDEX(weekly!$E$2:$E$188,MATCH('Marketing Campaigns 22.11.22'!L1566,weekly!$H$2:$H$188,0))</f>
        <v>3414.1935483870966</v>
      </c>
      <c r="H1566">
        <f>INDEX(weekly!$D$2:$D$188,MATCH('Marketing Campaigns 22.11.22'!L1566,weekly!$H$2:$H$188,0))</f>
        <v>8870.1251612903234</v>
      </c>
      <c r="I1566">
        <f>INDEX(weekly!$F$2:$F$188,MATCH('Marketing Campaigns 22.11.22'!L1566,weekly!$H$2:$H$188,0))</f>
        <v>1969.5483870967741</v>
      </c>
      <c r="J1566">
        <v>0</v>
      </c>
      <c r="K1566">
        <v>0</v>
      </c>
      <c r="L1566" t="str">
        <f t="shared" si="48"/>
        <v>52-12-2022</v>
      </c>
      <c r="M1566">
        <f t="shared" si="49"/>
        <v>2022</v>
      </c>
    </row>
    <row r="1567" spans="1:13" x14ac:dyDescent="0.2">
      <c r="A1567" s="1">
        <v>44921</v>
      </c>
      <c r="B1567">
        <v>52</v>
      </c>
      <c r="C1567">
        <v>12</v>
      </c>
      <c r="D1567">
        <v>4</v>
      </c>
      <c r="E1567" t="s">
        <v>42</v>
      </c>
      <c r="F1567">
        <v>0</v>
      </c>
      <c r="G1567">
        <f>INDEX(weekly!$E$2:$E$188,MATCH('Marketing Campaigns 22.11.22'!L1567,weekly!$H$2:$H$188,0))</f>
        <v>3414.1935483870966</v>
      </c>
      <c r="H1567">
        <f>INDEX(weekly!$D$2:$D$188,MATCH('Marketing Campaigns 22.11.22'!L1567,weekly!$H$2:$H$188,0))</f>
        <v>8870.1251612903234</v>
      </c>
      <c r="I1567">
        <f>INDEX(weekly!$F$2:$F$188,MATCH('Marketing Campaigns 22.11.22'!L1567,weekly!$H$2:$H$188,0))</f>
        <v>1969.5483870967741</v>
      </c>
      <c r="J1567">
        <v>0</v>
      </c>
      <c r="K1567">
        <v>0</v>
      </c>
      <c r="L1567" t="str">
        <f t="shared" si="48"/>
        <v>52-12-2022</v>
      </c>
      <c r="M1567">
        <f t="shared" si="49"/>
        <v>2022</v>
      </c>
    </row>
    <row r="1568" spans="1:13" x14ac:dyDescent="0.2">
      <c r="A1568" s="1">
        <v>44921</v>
      </c>
      <c r="B1568">
        <v>52</v>
      </c>
      <c r="C1568">
        <v>12</v>
      </c>
      <c r="D1568">
        <v>4</v>
      </c>
      <c r="E1568" t="s">
        <v>43</v>
      </c>
      <c r="F1568">
        <v>0</v>
      </c>
      <c r="G1568">
        <f>INDEX(weekly!$E$2:$E$188,MATCH('Marketing Campaigns 22.11.22'!L1568,weekly!$H$2:$H$188,0))</f>
        <v>3414.1935483870966</v>
      </c>
      <c r="H1568">
        <f>INDEX(weekly!$D$2:$D$188,MATCH('Marketing Campaigns 22.11.22'!L1568,weekly!$H$2:$H$188,0))</f>
        <v>8870.1251612903234</v>
      </c>
      <c r="I1568">
        <f>INDEX(weekly!$F$2:$F$188,MATCH('Marketing Campaigns 22.11.22'!L1568,weekly!$H$2:$H$188,0))</f>
        <v>1969.5483870967741</v>
      </c>
      <c r="J1568">
        <v>0</v>
      </c>
      <c r="K1568">
        <v>0</v>
      </c>
      <c r="L1568" t="str">
        <f t="shared" si="48"/>
        <v>52-12-2022</v>
      </c>
      <c r="M1568">
        <f t="shared" si="49"/>
        <v>2022</v>
      </c>
    </row>
    <row r="1569" spans="1:13" x14ac:dyDescent="0.2">
      <c r="A1569" s="1">
        <v>44921</v>
      </c>
      <c r="B1569">
        <v>52</v>
      </c>
      <c r="C1569">
        <v>12</v>
      </c>
      <c r="D1569">
        <v>4</v>
      </c>
      <c r="E1569" t="s">
        <v>44</v>
      </c>
      <c r="F1569">
        <v>0</v>
      </c>
      <c r="G1569">
        <f>INDEX(weekly!$E$2:$E$188,MATCH('Marketing Campaigns 22.11.22'!L1569,weekly!$H$2:$H$188,0))</f>
        <v>3414.1935483870966</v>
      </c>
      <c r="H1569">
        <f>INDEX(weekly!$D$2:$D$188,MATCH('Marketing Campaigns 22.11.22'!L1569,weekly!$H$2:$H$188,0))</f>
        <v>8870.1251612903234</v>
      </c>
      <c r="I1569">
        <f>INDEX(weekly!$F$2:$F$188,MATCH('Marketing Campaigns 22.11.22'!L1569,weekly!$H$2:$H$188,0))</f>
        <v>1969.5483870967741</v>
      </c>
      <c r="J1569">
        <v>0</v>
      </c>
      <c r="K1569">
        <v>0</v>
      </c>
      <c r="L1569" t="str">
        <f t="shared" si="48"/>
        <v>52-12-2022</v>
      </c>
      <c r="M1569">
        <f t="shared" si="49"/>
        <v>2022</v>
      </c>
    </row>
    <row r="1570" spans="1:13" x14ac:dyDescent="0.2">
      <c r="A1570" s="1">
        <v>44921</v>
      </c>
      <c r="B1570">
        <v>52</v>
      </c>
      <c r="C1570">
        <v>12</v>
      </c>
      <c r="D1570">
        <v>4</v>
      </c>
      <c r="E1570" t="s">
        <v>45</v>
      </c>
      <c r="F1570">
        <v>0</v>
      </c>
      <c r="G1570">
        <f>INDEX(weekly!$E$2:$E$188,MATCH('Marketing Campaigns 22.11.22'!L1570,weekly!$H$2:$H$188,0))</f>
        <v>3414.1935483870966</v>
      </c>
      <c r="H1570">
        <f>INDEX(weekly!$D$2:$D$188,MATCH('Marketing Campaigns 22.11.22'!L1570,weekly!$H$2:$H$188,0))</f>
        <v>8870.1251612903234</v>
      </c>
      <c r="I1570">
        <f>INDEX(weekly!$F$2:$F$188,MATCH('Marketing Campaigns 22.11.22'!L1570,weekly!$H$2:$H$188,0))</f>
        <v>1969.5483870967741</v>
      </c>
      <c r="J1570">
        <v>0</v>
      </c>
      <c r="K1570">
        <v>0</v>
      </c>
      <c r="L1570" t="str">
        <f t="shared" si="48"/>
        <v>52-12-2022</v>
      </c>
      <c r="M1570">
        <f t="shared" si="49"/>
        <v>2022</v>
      </c>
    </row>
    <row r="1571" spans="1:13" x14ac:dyDescent="0.2">
      <c r="A1571" s="1">
        <v>44921</v>
      </c>
      <c r="B1571">
        <v>52</v>
      </c>
      <c r="C1571">
        <v>12</v>
      </c>
      <c r="D1571">
        <v>4</v>
      </c>
      <c r="E1571" t="s">
        <v>46</v>
      </c>
      <c r="F1571">
        <v>0</v>
      </c>
      <c r="G1571">
        <f>INDEX(weekly!$E$2:$E$188,MATCH('Marketing Campaigns 22.11.22'!L1571,weekly!$H$2:$H$188,0))</f>
        <v>3414.1935483870966</v>
      </c>
      <c r="H1571">
        <f>INDEX(weekly!$D$2:$D$188,MATCH('Marketing Campaigns 22.11.22'!L1571,weekly!$H$2:$H$188,0))</f>
        <v>8870.1251612903234</v>
      </c>
      <c r="I1571">
        <f>INDEX(weekly!$F$2:$F$188,MATCH('Marketing Campaigns 22.11.22'!L1571,weekly!$H$2:$H$188,0))</f>
        <v>1969.5483870967741</v>
      </c>
      <c r="J1571">
        <v>0</v>
      </c>
      <c r="K1571">
        <v>0</v>
      </c>
      <c r="L1571" t="str">
        <f t="shared" si="48"/>
        <v>52-12-2022</v>
      </c>
      <c r="M1571">
        <f t="shared" si="49"/>
        <v>2022</v>
      </c>
    </row>
    <row r="1572" spans="1:13" x14ac:dyDescent="0.2">
      <c r="A1572" s="1">
        <v>44921</v>
      </c>
      <c r="B1572">
        <v>52</v>
      </c>
      <c r="C1572">
        <v>12</v>
      </c>
      <c r="D1572">
        <v>4</v>
      </c>
      <c r="E1572" t="s">
        <v>47</v>
      </c>
      <c r="F1572">
        <v>0</v>
      </c>
      <c r="G1572">
        <f>INDEX(weekly!$E$2:$E$188,MATCH('Marketing Campaigns 22.11.22'!L1572,weekly!$H$2:$H$188,0))</f>
        <v>3414.1935483870966</v>
      </c>
      <c r="H1572">
        <f>INDEX(weekly!$D$2:$D$188,MATCH('Marketing Campaigns 22.11.22'!L1572,weekly!$H$2:$H$188,0))</f>
        <v>8870.1251612903234</v>
      </c>
      <c r="I1572">
        <f>INDEX(weekly!$F$2:$F$188,MATCH('Marketing Campaigns 22.11.22'!L1572,weekly!$H$2:$H$188,0))</f>
        <v>1969.5483870967741</v>
      </c>
      <c r="J1572">
        <v>0</v>
      </c>
      <c r="K1572">
        <v>0</v>
      </c>
      <c r="L1572" t="str">
        <f t="shared" si="48"/>
        <v>52-12-2022</v>
      </c>
      <c r="M1572">
        <f t="shared" si="49"/>
        <v>2022</v>
      </c>
    </row>
    <row r="1573" spans="1:13" x14ac:dyDescent="0.2">
      <c r="A1573" s="1">
        <v>44921</v>
      </c>
      <c r="B1573">
        <v>52</v>
      </c>
      <c r="C1573">
        <v>12</v>
      </c>
      <c r="D1573">
        <v>4</v>
      </c>
      <c r="E1573" t="s">
        <v>48</v>
      </c>
      <c r="F1573">
        <v>0</v>
      </c>
      <c r="G1573">
        <f>INDEX(weekly!$E$2:$E$188,MATCH('Marketing Campaigns 22.11.22'!L1573,weekly!$H$2:$H$188,0))</f>
        <v>3414.1935483870966</v>
      </c>
      <c r="H1573">
        <f>INDEX(weekly!$D$2:$D$188,MATCH('Marketing Campaigns 22.11.22'!L1573,weekly!$H$2:$H$188,0))</f>
        <v>8870.1251612903234</v>
      </c>
      <c r="I1573">
        <f>INDEX(weekly!$F$2:$F$188,MATCH('Marketing Campaigns 22.11.22'!L1573,weekly!$H$2:$H$188,0))</f>
        <v>1969.5483870967741</v>
      </c>
      <c r="J1573">
        <v>0</v>
      </c>
      <c r="K1573">
        <v>0</v>
      </c>
      <c r="L1573" t="str">
        <f t="shared" si="48"/>
        <v>52-12-2022</v>
      </c>
      <c r="M1573">
        <f t="shared" si="49"/>
        <v>2022</v>
      </c>
    </row>
    <row r="1574" spans="1:13" x14ac:dyDescent="0.2">
      <c r="A1574" s="1">
        <v>44921</v>
      </c>
      <c r="B1574">
        <v>52</v>
      </c>
      <c r="C1574">
        <v>12</v>
      </c>
      <c r="D1574">
        <v>4</v>
      </c>
      <c r="E1574" t="s">
        <v>49</v>
      </c>
      <c r="F1574">
        <v>0</v>
      </c>
      <c r="G1574">
        <f>INDEX(weekly!$E$2:$E$188,MATCH('Marketing Campaigns 22.11.22'!L1574,weekly!$H$2:$H$188,0))</f>
        <v>3414.1935483870966</v>
      </c>
      <c r="H1574">
        <f>INDEX(weekly!$D$2:$D$188,MATCH('Marketing Campaigns 22.11.22'!L1574,weekly!$H$2:$H$188,0))</f>
        <v>8870.1251612903234</v>
      </c>
      <c r="I1574">
        <f>INDEX(weekly!$F$2:$F$188,MATCH('Marketing Campaigns 22.11.22'!L1574,weekly!$H$2:$H$188,0))</f>
        <v>1969.5483870967741</v>
      </c>
      <c r="J1574">
        <v>0</v>
      </c>
      <c r="K1574">
        <v>0</v>
      </c>
      <c r="L1574" t="str">
        <f t="shared" si="48"/>
        <v>52-12-2022</v>
      </c>
      <c r="M1574">
        <f t="shared" si="49"/>
        <v>2022</v>
      </c>
    </row>
    <row r="1575" spans="1:13" x14ac:dyDescent="0.2">
      <c r="A1575" s="1">
        <v>44921</v>
      </c>
      <c r="B1575">
        <v>52</v>
      </c>
      <c r="C1575">
        <v>12</v>
      </c>
      <c r="D1575">
        <v>4</v>
      </c>
      <c r="E1575" t="s">
        <v>50</v>
      </c>
      <c r="F1575">
        <v>0</v>
      </c>
      <c r="G1575">
        <f>INDEX(weekly!$E$2:$E$188,MATCH('Marketing Campaigns 22.11.22'!L1575,weekly!$H$2:$H$188,0))</f>
        <v>3414.1935483870966</v>
      </c>
      <c r="H1575">
        <f>INDEX(weekly!$D$2:$D$188,MATCH('Marketing Campaigns 22.11.22'!L1575,weekly!$H$2:$H$188,0))</f>
        <v>8870.1251612903234</v>
      </c>
      <c r="I1575">
        <f>INDEX(weekly!$F$2:$F$188,MATCH('Marketing Campaigns 22.11.22'!L1575,weekly!$H$2:$H$188,0))</f>
        <v>1969.5483870967741</v>
      </c>
      <c r="J1575">
        <v>0</v>
      </c>
      <c r="K1575">
        <v>0</v>
      </c>
      <c r="L1575" t="str">
        <f t="shared" si="48"/>
        <v>52-12-2022</v>
      </c>
      <c r="M1575">
        <f t="shared" si="49"/>
        <v>2022</v>
      </c>
    </row>
    <row r="1576" spans="1:13" x14ac:dyDescent="0.2">
      <c r="A1576" s="1">
        <v>44921</v>
      </c>
      <c r="B1576">
        <v>52</v>
      </c>
      <c r="C1576">
        <v>12</v>
      </c>
      <c r="D1576">
        <v>4</v>
      </c>
      <c r="E1576" t="s">
        <v>51</v>
      </c>
      <c r="F1576">
        <v>0</v>
      </c>
      <c r="G1576">
        <f>INDEX(weekly!$E$2:$E$188,MATCH('Marketing Campaigns 22.11.22'!L1576,weekly!$H$2:$H$188,0))</f>
        <v>3414.1935483870966</v>
      </c>
      <c r="H1576">
        <f>INDEX(weekly!$D$2:$D$188,MATCH('Marketing Campaigns 22.11.22'!L1576,weekly!$H$2:$H$188,0))</f>
        <v>8870.1251612903234</v>
      </c>
      <c r="I1576">
        <f>INDEX(weekly!$F$2:$F$188,MATCH('Marketing Campaigns 22.11.22'!L1576,weekly!$H$2:$H$188,0))</f>
        <v>1969.5483870967741</v>
      </c>
      <c r="J1576">
        <v>0</v>
      </c>
      <c r="K1576">
        <v>0</v>
      </c>
      <c r="L1576" t="str">
        <f t="shared" si="48"/>
        <v>52-12-2022</v>
      </c>
      <c r="M1576">
        <f t="shared" si="49"/>
        <v>2022</v>
      </c>
    </row>
    <row r="1577" spans="1:13" x14ac:dyDescent="0.2">
      <c r="A1577" s="1">
        <v>44921</v>
      </c>
      <c r="B1577">
        <v>52</v>
      </c>
      <c r="C1577">
        <v>12</v>
      </c>
      <c r="D1577">
        <v>4</v>
      </c>
      <c r="E1577" t="s">
        <v>52</v>
      </c>
      <c r="F1577">
        <v>0</v>
      </c>
      <c r="G1577">
        <f>INDEX(weekly!$E$2:$E$188,MATCH('Marketing Campaigns 22.11.22'!L1577,weekly!$H$2:$H$188,0))</f>
        <v>3414.1935483870966</v>
      </c>
      <c r="H1577">
        <f>INDEX(weekly!$D$2:$D$188,MATCH('Marketing Campaigns 22.11.22'!L1577,weekly!$H$2:$H$188,0))</f>
        <v>8870.1251612903234</v>
      </c>
      <c r="I1577">
        <f>INDEX(weekly!$F$2:$F$188,MATCH('Marketing Campaigns 22.11.22'!L1577,weekly!$H$2:$H$188,0))</f>
        <v>1969.5483870967741</v>
      </c>
      <c r="J1577">
        <v>0</v>
      </c>
      <c r="K1577">
        <v>0</v>
      </c>
      <c r="L1577" t="str">
        <f t="shared" si="48"/>
        <v>52-12-2022</v>
      </c>
      <c r="M1577">
        <f t="shared" si="49"/>
        <v>2022</v>
      </c>
    </row>
    <row r="1578" spans="1:13" x14ac:dyDescent="0.2">
      <c r="A1578" s="1">
        <v>44928</v>
      </c>
      <c r="B1578">
        <v>1</v>
      </c>
      <c r="C1578">
        <v>1</v>
      </c>
      <c r="D1578">
        <v>1</v>
      </c>
      <c r="E1578" t="s">
        <v>24</v>
      </c>
      <c r="F1578">
        <v>0</v>
      </c>
      <c r="G1578">
        <f>INDEX(weekly!$E$2:$E$188,MATCH('Marketing Campaigns 22.11.22'!L1578,weekly!$H$2:$H$188,0))</f>
        <v>5598.9296774193535</v>
      </c>
      <c r="H1578">
        <f>INDEX(weekly!$D$2:$D$188,MATCH('Marketing Campaigns 22.11.22'!L1578,weekly!$H$2:$H$188,0))</f>
        <v>12035.149677419355</v>
      </c>
      <c r="I1578">
        <f>INDEX(weekly!$F$2:$F$188,MATCH('Marketing Campaigns 22.11.22'!L1578,weekly!$H$2:$H$188,0))</f>
        <v>6653.612903225805</v>
      </c>
      <c r="J1578">
        <v>0</v>
      </c>
      <c r="K1578">
        <v>0</v>
      </c>
      <c r="L1578" t="str">
        <f t="shared" si="48"/>
        <v>1-1-2023</v>
      </c>
      <c r="M1578">
        <f t="shared" si="49"/>
        <v>2023</v>
      </c>
    </row>
    <row r="1579" spans="1:13" x14ac:dyDescent="0.2">
      <c r="A1579" s="1">
        <v>44928</v>
      </c>
      <c r="B1579">
        <v>1</v>
      </c>
      <c r="C1579">
        <v>1</v>
      </c>
      <c r="D1579">
        <v>1</v>
      </c>
      <c r="E1579" t="s">
        <v>39</v>
      </c>
      <c r="F1579">
        <v>0</v>
      </c>
      <c r="G1579">
        <f>INDEX(weekly!$E$2:$E$188,MATCH('Marketing Campaigns 22.11.22'!L1579,weekly!$H$2:$H$188,0))</f>
        <v>5598.9296774193535</v>
      </c>
      <c r="H1579">
        <f>INDEX(weekly!$D$2:$D$188,MATCH('Marketing Campaigns 22.11.22'!L1579,weekly!$H$2:$H$188,0))</f>
        <v>12035.149677419355</v>
      </c>
      <c r="I1579">
        <f>INDEX(weekly!$F$2:$F$188,MATCH('Marketing Campaigns 22.11.22'!L1579,weekly!$H$2:$H$188,0))</f>
        <v>6653.612903225805</v>
      </c>
      <c r="J1579">
        <v>0</v>
      </c>
      <c r="K1579">
        <v>0</v>
      </c>
      <c r="L1579" t="str">
        <f t="shared" si="48"/>
        <v>1-1-2023</v>
      </c>
      <c r="M1579">
        <f t="shared" si="49"/>
        <v>2023</v>
      </c>
    </row>
    <row r="1580" spans="1:13" x14ac:dyDescent="0.2">
      <c r="A1580" s="1">
        <v>44928</v>
      </c>
      <c r="B1580">
        <v>1</v>
      </c>
      <c r="C1580">
        <v>1</v>
      </c>
      <c r="D1580">
        <v>1</v>
      </c>
      <c r="E1580" t="s">
        <v>40</v>
      </c>
      <c r="F1580">
        <v>0</v>
      </c>
      <c r="G1580">
        <f>INDEX(weekly!$E$2:$E$188,MATCH('Marketing Campaigns 22.11.22'!L1580,weekly!$H$2:$H$188,0))</f>
        <v>5598.9296774193535</v>
      </c>
      <c r="H1580">
        <f>INDEX(weekly!$D$2:$D$188,MATCH('Marketing Campaigns 22.11.22'!L1580,weekly!$H$2:$H$188,0))</f>
        <v>12035.149677419355</v>
      </c>
      <c r="I1580">
        <f>INDEX(weekly!$F$2:$F$188,MATCH('Marketing Campaigns 22.11.22'!L1580,weekly!$H$2:$H$188,0))</f>
        <v>6653.612903225805</v>
      </c>
      <c r="J1580">
        <v>0</v>
      </c>
      <c r="K1580">
        <v>0</v>
      </c>
      <c r="L1580" t="str">
        <f t="shared" si="48"/>
        <v>1-1-2023</v>
      </c>
      <c r="M1580">
        <f t="shared" si="49"/>
        <v>2023</v>
      </c>
    </row>
    <row r="1581" spans="1:13" x14ac:dyDescent="0.2">
      <c r="A1581" s="1">
        <v>44928</v>
      </c>
      <c r="B1581">
        <v>1</v>
      </c>
      <c r="C1581">
        <v>1</v>
      </c>
      <c r="D1581">
        <v>1</v>
      </c>
      <c r="E1581" t="s">
        <v>41</v>
      </c>
      <c r="F1581">
        <v>0</v>
      </c>
      <c r="G1581">
        <f>INDEX(weekly!$E$2:$E$188,MATCH('Marketing Campaigns 22.11.22'!L1581,weekly!$H$2:$H$188,0))</f>
        <v>5598.9296774193535</v>
      </c>
      <c r="H1581">
        <f>INDEX(weekly!$D$2:$D$188,MATCH('Marketing Campaigns 22.11.22'!L1581,weekly!$H$2:$H$188,0))</f>
        <v>12035.149677419355</v>
      </c>
      <c r="I1581">
        <f>INDEX(weekly!$F$2:$F$188,MATCH('Marketing Campaigns 22.11.22'!L1581,weekly!$H$2:$H$188,0))</f>
        <v>6653.612903225805</v>
      </c>
      <c r="J1581">
        <v>0</v>
      </c>
      <c r="K1581">
        <v>0</v>
      </c>
      <c r="L1581" t="str">
        <f t="shared" si="48"/>
        <v>1-1-2023</v>
      </c>
      <c r="M1581">
        <f t="shared" si="49"/>
        <v>2023</v>
      </c>
    </row>
    <row r="1582" spans="1:13" x14ac:dyDescent="0.2">
      <c r="A1582" s="1">
        <v>44928</v>
      </c>
      <c r="B1582">
        <v>1</v>
      </c>
      <c r="C1582">
        <v>1</v>
      </c>
      <c r="D1582">
        <v>1</v>
      </c>
      <c r="E1582" t="s">
        <v>42</v>
      </c>
      <c r="F1582">
        <v>0</v>
      </c>
      <c r="G1582">
        <f>INDEX(weekly!$E$2:$E$188,MATCH('Marketing Campaigns 22.11.22'!L1582,weekly!$H$2:$H$188,0))</f>
        <v>5598.9296774193535</v>
      </c>
      <c r="H1582">
        <f>INDEX(weekly!$D$2:$D$188,MATCH('Marketing Campaigns 22.11.22'!L1582,weekly!$H$2:$H$188,0))</f>
        <v>12035.149677419355</v>
      </c>
      <c r="I1582">
        <f>INDEX(weekly!$F$2:$F$188,MATCH('Marketing Campaigns 22.11.22'!L1582,weekly!$H$2:$H$188,0))</f>
        <v>6653.612903225805</v>
      </c>
      <c r="J1582">
        <v>0</v>
      </c>
      <c r="K1582">
        <v>0</v>
      </c>
      <c r="L1582" t="str">
        <f t="shared" si="48"/>
        <v>1-1-2023</v>
      </c>
      <c r="M1582">
        <f t="shared" si="49"/>
        <v>2023</v>
      </c>
    </row>
    <row r="1583" spans="1:13" x14ac:dyDescent="0.2">
      <c r="A1583" s="1">
        <v>44928</v>
      </c>
      <c r="B1583">
        <v>1</v>
      </c>
      <c r="C1583">
        <v>1</v>
      </c>
      <c r="D1583">
        <v>1</v>
      </c>
      <c r="E1583" t="s">
        <v>43</v>
      </c>
      <c r="F1583">
        <v>0</v>
      </c>
      <c r="G1583">
        <f>INDEX(weekly!$E$2:$E$188,MATCH('Marketing Campaigns 22.11.22'!L1583,weekly!$H$2:$H$188,0))</f>
        <v>5598.9296774193535</v>
      </c>
      <c r="H1583">
        <f>INDEX(weekly!$D$2:$D$188,MATCH('Marketing Campaigns 22.11.22'!L1583,weekly!$H$2:$H$188,0))</f>
        <v>12035.149677419355</v>
      </c>
      <c r="I1583">
        <f>INDEX(weekly!$F$2:$F$188,MATCH('Marketing Campaigns 22.11.22'!L1583,weekly!$H$2:$H$188,0))</f>
        <v>6653.612903225805</v>
      </c>
      <c r="J1583">
        <v>0</v>
      </c>
      <c r="K1583">
        <v>0</v>
      </c>
      <c r="L1583" t="str">
        <f t="shared" si="48"/>
        <v>1-1-2023</v>
      </c>
      <c r="M1583">
        <f t="shared" si="49"/>
        <v>2023</v>
      </c>
    </row>
    <row r="1584" spans="1:13" x14ac:dyDescent="0.2">
      <c r="A1584" s="1">
        <v>44928</v>
      </c>
      <c r="B1584">
        <v>1</v>
      </c>
      <c r="C1584">
        <v>1</v>
      </c>
      <c r="D1584">
        <v>1</v>
      </c>
      <c r="E1584" t="s">
        <v>44</v>
      </c>
      <c r="F1584">
        <v>0</v>
      </c>
      <c r="G1584">
        <f>INDEX(weekly!$E$2:$E$188,MATCH('Marketing Campaigns 22.11.22'!L1584,weekly!$H$2:$H$188,0))</f>
        <v>5598.9296774193535</v>
      </c>
      <c r="H1584">
        <f>INDEX(weekly!$D$2:$D$188,MATCH('Marketing Campaigns 22.11.22'!L1584,weekly!$H$2:$H$188,0))</f>
        <v>12035.149677419355</v>
      </c>
      <c r="I1584">
        <f>INDEX(weekly!$F$2:$F$188,MATCH('Marketing Campaigns 22.11.22'!L1584,weekly!$H$2:$H$188,0))</f>
        <v>6653.612903225805</v>
      </c>
      <c r="J1584">
        <v>0</v>
      </c>
      <c r="K1584">
        <v>0</v>
      </c>
      <c r="L1584" t="str">
        <f t="shared" si="48"/>
        <v>1-1-2023</v>
      </c>
      <c r="M1584">
        <f t="shared" si="49"/>
        <v>2023</v>
      </c>
    </row>
    <row r="1585" spans="1:13" x14ac:dyDescent="0.2">
      <c r="A1585" s="1">
        <v>44928</v>
      </c>
      <c r="B1585">
        <v>1</v>
      </c>
      <c r="C1585">
        <v>1</v>
      </c>
      <c r="D1585">
        <v>1</v>
      </c>
      <c r="E1585" t="s">
        <v>45</v>
      </c>
      <c r="F1585">
        <v>0</v>
      </c>
      <c r="G1585">
        <f>INDEX(weekly!$E$2:$E$188,MATCH('Marketing Campaigns 22.11.22'!L1585,weekly!$H$2:$H$188,0))</f>
        <v>5598.9296774193535</v>
      </c>
      <c r="H1585">
        <f>INDEX(weekly!$D$2:$D$188,MATCH('Marketing Campaigns 22.11.22'!L1585,weekly!$H$2:$H$188,0))</f>
        <v>12035.149677419355</v>
      </c>
      <c r="I1585">
        <f>INDEX(weekly!$F$2:$F$188,MATCH('Marketing Campaigns 22.11.22'!L1585,weekly!$H$2:$H$188,0))</f>
        <v>6653.612903225805</v>
      </c>
      <c r="J1585">
        <v>0</v>
      </c>
      <c r="K1585">
        <v>0</v>
      </c>
      <c r="L1585" t="str">
        <f t="shared" si="48"/>
        <v>1-1-2023</v>
      </c>
      <c r="M1585">
        <f t="shared" si="49"/>
        <v>2023</v>
      </c>
    </row>
    <row r="1586" spans="1:13" x14ac:dyDescent="0.2">
      <c r="A1586" s="1">
        <v>44928</v>
      </c>
      <c r="B1586">
        <v>1</v>
      </c>
      <c r="C1586">
        <v>1</v>
      </c>
      <c r="D1586">
        <v>1</v>
      </c>
      <c r="E1586" t="s">
        <v>46</v>
      </c>
      <c r="F1586">
        <v>0</v>
      </c>
      <c r="G1586">
        <f>INDEX(weekly!$E$2:$E$188,MATCH('Marketing Campaigns 22.11.22'!L1586,weekly!$H$2:$H$188,0))</f>
        <v>5598.9296774193535</v>
      </c>
      <c r="H1586">
        <f>INDEX(weekly!$D$2:$D$188,MATCH('Marketing Campaigns 22.11.22'!L1586,weekly!$H$2:$H$188,0))</f>
        <v>12035.149677419355</v>
      </c>
      <c r="I1586">
        <f>INDEX(weekly!$F$2:$F$188,MATCH('Marketing Campaigns 22.11.22'!L1586,weekly!$H$2:$H$188,0))</f>
        <v>6653.612903225805</v>
      </c>
      <c r="J1586">
        <v>0</v>
      </c>
      <c r="K1586">
        <v>0</v>
      </c>
      <c r="L1586" t="str">
        <f t="shared" si="48"/>
        <v>1-1-2023</v>
      </c>
      <c r="M1586">
        <f t="shared" si="49"/>
        <v>2023</v>
      </c>
    </row>
    <row r="1587" spans="1:13" x14ac:dyDescent="0.2">
      <c r="A1587" s="1">
        <v>44928</v>
      </c>
      <c r="B1587">
        <v>1</v>
      </c>
      <c r="C1587">
        <v>1</v>
      </c>
      <c r="D1587">
        <v>1</v>
      </c>
      <c r="E1587" t="s">
        <v>47</v>
      </c>
      <c r="F1587">
        <v>0</v>
      </c>
      <c r="G1587">
        <f>INDEX(weekly!$E$2:$E$188,MATCH('Marketing Campaigns 22.11.22'!L1587,weekly!$H$2:$H$188,0))</f>
        <v>5598.9296774193535</v>
      </c>
      <c r="H1587">
        <f>INDEX(weekly!$D$2:$D$188,MATCH('Marketing Campaigns 22.11.22'!L1587,weekly!$H$2:$H$188,0))</f>
        <v>12035.149677419355</v>
      </c>
      <c r="I1587">
        <f>INDEX(weekly!$F$2:$F$188,MATCH('Marketing Campaigns 22.11.22'!L1587,weekly!$H$2:$H$188,0))</f>
        <v>6653.612903225805</v>
      </c>
      <c r="J1587">
        <v>0</v>
      </c>
      <c r="K1587">
        <v>0</v>
      </c>
      <c r="L1587" t="str">
        <f t="shared" si="48"/>
        <v>1-1-2023</v>
      </c>
      <c r="M1587">
        <f t="shared" si="49"/>
        <v>2023</v>
      </c>
    </row>
    <row r="1588" spans="1:13" x14ac:dyDescent="0.2">
      <c r="A1588" s="1">
        <v>44928</v>
      </c>
      <c r="B1588">
        <v>1</v>
      </c>
      <c r="C1588">
        <v>1</v>
      </c>
      <c r="D1588">
        <v>1</v>
      </c>
      <c r="E1588" t="s">
        <v>48</v>
      </c>
      <c r="F1588">
        <v>0</v>
      </c>
      <c r="G1588">
        <f>INDEX(weekly!$E$2:$E$188,MATCH('Marketing Campaigns 22.11.22'!L1588,weekly!$H$2:$H$188,0))</f>
        <v>5598.9296774193535</v>
      </c>
      <c r="H1588">
        <f>INDEX(weekly!$D$2:$D$188,MATCH('Marketing Campaigns 22.11.22'!L1588,weekly!$H$2:$H$188,0))</f>
        <v>12035.149677419355</v>
      </c>
      <c r="I1588">
        <f>INDEX(weekly!$F$2:$F$188,MATCH('Marketing Campaigns 22.11.22'!L1588,weekly!$H$2:$H$188,0))</f>
        <v>6653.612903225805</v>
      </c>
      <c r="J1588">
        <v>0</v>
      </c>
      <c r="K1588">
        <v>0</v>
      </c>
      <c r="L1588" t="str">
        <f t="shared" si="48"/>
        <v>1-1-2023</v>
      </c>
      <c r="M1588">
        <f t="shared" si="49"/>
        <v>2023</v>
      </c>
    </row>
    <row r="1589" spans="1:13" x14ac:dyDescent="0.2">
      <c r="A1589" s="1">
        <v>44928</v>
      </c>
      <c r="B1589">
        <v>1</v>
      </c>
      <c r="C1589">
        <v>1</v>
      </c>
      <c r="D1589">
        <v>1</v>
      </c>
      <c r="E1589" t="s">
        <v>49</v>
      </c>
      <c r="F1589">
        <v>0</v>
      </c>
      <c r="G1589">
        <f>INDEX(weekly!$E$2:$E$188,MATCH('Marketing Campaigns 22.11.22'!L1589,weekly!$H$2:$H$188,0))</f>
        <v>5598.9296774193535</v>
      </c>
      <c r="H1589">
        <f>INDEX(weekly!$D$2:$D$188,MATCH('Marketing Campaigns 22.11.22'!L1589,weekly!$H$2:$H$188,0))</f>
        <v>12035.149677419355</v>
      </c>
      <c r="I1589">
        <f>INDEX(weekly!$F$2:$F$188,MATCH('Marketing Campaigns 22.11.22'!L1589,weekly!$H$2:$H$188,0))</f>
        <v>6653.612903225805</v>
      </c>
      <c r="J1589">
        <v>0</v>
      </c>
      <c r="K1589">
        <v>0</v>
      </c>
      <c r="L1589" t="str">
        <f t="shared" si="48"/>
        <v>1-1-2023</v>
      </c>
      <c r="M1589">
        <f t="shared" si="49"/>
        <v>2023</v>
      </c>
    </row>
    <row r="1590" spans="1:13" x14ac:dyDescent="0.2">
      <c r="A1590" s="1">
        <v>44928</v>
      </c>
      <c r="B1590">
        <v>1</v>
      </c>
      <c r="C1590">
        <v>1</v>
      </c>
      <c r="D1590">
        <v>1</v>
      </c>
      <c r="E1590" t="s">
        <v>50</v>
      </c>
      <c r="F1590">
        <v>0</v>
      </c>
      <c r="G1590">
        <f>INDEX(weekly!$E$2:$E$188,MATCH('Marketing Campaigns 22.11.22'!L1590,weekly!$H$2:$H$188,0))</f>
        <v>5598.9296774193535</v>
      </c>
      <c r="H1590">
        <f>INDEX(weekly!$D$2:$D$188,MATCH('Marketing Campaigns 22.11.22'!L1590,weekly!$H$2:$H$188,0))</f>
        <v>12035.149677419355</v>
      </c>
      <c r="I1590">
        <f>INDEX(weekly!$F$2:$F$188,MATCH('Marketing Campaigns 22.11.22'!L1590,weekly!$H$2:$H$188,0))</f>
        <v>6653.612903225805</v>
      </c>
      <c r="J1590">
        <v>0</v>
      </c>
      <c r="K1590">
        <v>0</v>
      </c>
      <c r="L1590" t="str">
        <f t="shared" si="48"/>
        <v>1-1-2023</v>
      </c>
      <c r="M1590">
        <f t="shared" si="49"/>
        <v>2023</v>
      </c>
    </row>
    <row r="1591" spans="1:13" x14ac:dyDescent="0.2">
      <c r="A1591" s="1">
        <v>44928</v>
      </c>
      <c r="B1591">
        <v>1</v>
      </c>
      <c r="C1591">
        <v>1</v>
      </c>
      <c r="D1591">
        <v>1</v>
      </c>
      <c r="E1591" t="s">
        <v>51</v>
      </c>
      <c r="F1591">
        <v>0</v>
      </c>
      <c r="G1591">
        <f>INDEX(weekly!$E$2:$E$188,MATCH('Marketing Campaigns 22.11.22'!L1591,weekly!$H$2:$H$188,0))</f>
        <v>5598.9296774193535</v>
      </c>
      <c r="H1591">
        <f>INDEX(weekly!$D$2:$D$188,MATCH('Marketing Campaigns 22.11.22'!L1591,weekly!$H$2:$H$188,0))</f>
        <v>12035.149677419355</v>
      </c>
      <c r="I1591">
        <f>INDEX(weekly!$F$2:$F$188,MATCH('Marketing Campaigns 22.11.22'!L1591,weekly!$H$2:$H$188,0))</f>
        <v>6653.612903225805</v>
      </c>
      <c r="J1591">
        <v>0</v>
      </c>
      <c r="K1591">
        <v>0</v>
      </c>
      <c r="L1591" t="str">
        <f t="shared" si="48"/>
        <v>1-1-2023</v>
      </c>
      <c r="M1591">
        <f t="shared" si="49"/>
        <v>2023</v>
      </c>
    </row>
    <row r="1592" spans="1:13" x14ac:dyDescent="0.2">
      <c r="A1592" s="1">
        <v>44928</v>
      </c>
      <c r="B1592">
        <v>1</v>
      </c>
      <c r="C1592">
        <v>1</v>
      </c>
      <c r="D1592">
        <v>1</v>
      </c>
      <c r="E1592" t="s">
        <v>52</v>
      </c>
      <c r="F1592">
        <v>0</v>
      </c>
      <c r="G1592">
        <f>INDEX(weekly!$E$2:$E$188,MATCH('Marketing Campaigns 22.11.22'!L1592,weekly!$H$2:$H$188,0))</f>
        <v>5598.9296774193535</v>
      </c>
      <c r="H1592">
        <f>INDEX(weekly!$D$2:$D$188,MATCH('Marketing Campaigns 22.11.22'!L1592,weekly!$H$2:$H$188,0))</f>
        <v>12035.149677419355</v>
      </c>
      <c r="I1592">
        <f>INDEX(weekly!$F$2:$F$188,MATCH('Marketing Campaigns 22.11.22'!L1592,weekly!$H$2:$H$188,0))</f>
        <v>6653.612903225805</v>
      </c>
      <c r="J1592">
        <v>0</v>
      </c>
      <c r="K1592">
        <v>0</v>
      </c>
      <c r="L1592" t="str">
        <f t="shared" si="48"/>
        <v>1-1-2023</v>
      </c>
      <c r="M1592">
        <f t="shared" si="49"/>
        <v>2023</v>
      </c>
    </row>
    <row r="1593" spans="1:13" x14ac:dyDescent="0.2">
      <c r="A1593" s="1">
        <v>44935</v>
      </c>
      <c r="B1593">
        <v>2</v>
      </c>
      <c r="C1593">
        <v>1</v>
      </c>
      <c r="D1593">
        <v>1</v>
      </c>
      <c r="E1593" t="s">
        <v>24</v>
      </c>
      <c r="F1593">
        <v>0</v>
      </c>
      <c r="G1593">
        <f>INDEX(weekly!$E$2:$E$188,MATCH('Marketing Campaigns 22.11.22'!L1593,weekly!$H$2:$H$188,0))</f>
        <v>5598.9296774193535</v>
      </c>
      <c r="H1593">
        <f>INDEX(weekly!$D$2:$D$188,MATCH('Marketing Campaigns 22.11.22'!L1593,weekly!$H$2:$H$188,0))</f>
        <v>12035.149677419355</v>
      </c>
      <c r="I1593">
        <f>INDEX(weekly!$F$2:$F$188,MATCH('Marketing Campaigns 22.11.22'!L1593,weekly!$H$2:$H$188,0))</f>
        <v>6653.612903225805</v>
      </c>
      <c r="J1593">
        <v>0</v>
      </c>
      <c r="K1593">
        <v>0</v>
      </c>
      <c r="L1593" t="str">
        <f t="shared" si="48"/>
        <v>2-1-2023</v>
      </c>
      <c r="M1593">
        <f t="shared" si="49"/>
        <v>2023</v>
      </c>
    </row>
    <row r="1594" spans="1:13" x14ac:dyDescent="0.2">
      <c r="A1594" s="1">
        <v>44935</v>
      </c>
      <c r="B1594">
        <v>2</v>
      </c>
      <c r="C1594">
        <v>1</v>
      </c>
      <c r="D1594">
        <v>1</v>
      </c>
      <c r="E1594" t="s">
        <v>39</v>
      </c>
      <c r="F1594">
        <v>0</v>
      </c>
      <c r="G1594">
        <f>INDEX(weekly!$E$2:$E$188,MATCH('Marketing Campaigns 22.11.22'!L1594,weekly!$H$2:$H$188,0))</f>
        <v>5598.9296774193535</v>
      </c>
      <c r="H1594">
        <f>INDEX(weekly!$D$2:$D$188,MATCH('Marketing Campaigns 22.11.22'!L1594,weekly!$H$2:$H$188,0))</f>
        <v>12035.149677419355</v>
      </c>
      <c r="I1594">
        <f>INDEX(weekly!$F$2:$F$188,MATCH('Marketing Campaigns 22.11.22'!L1594,weekly!$H$2:$H$188,0))</f>
        <v>6653.612903225805</v>
      </c>
      <c r="J1594">
        <v>0</v>
      </c>
      <c r="K1594">
        <v>0</v>
      </c>
      <c r="L1594" t="str">
        <f t="shared" si="48"/>
        <v>2-1-2023</v>
      </c>
      <c r="M1594">
        <f t="shared" si="49"/>
        <v>2023</v>
      </c>
    </row>
    <row r="1595" spans="1:13" x14ac:dyDescent="0.2">
      <c r="A1595" s="1">
        <v>44935</v>
      </c>
      <c r="B1595">
        <v>2</v>
      </c>
      <c r="C1595">
        <v>1</v>
      </c>
      <c r="D1595">
        <v>1</v>
      </c>
      <c r="E1595" t="s">
        <v>40</v>
      </c>
      <c r="F1595">
        <v>0</v>
      </c>
      <c r="G1595">
        <f>INDEX(weekly!$E$2:$E$188,MATCH('Marketing Campaigns 22.11.22'!L1595,weekly!$H$2:$H$188,0))</f>
        <v>5598.9296774193535</v>
      </c>
      <c r="H1595">
        <f>INDEX(weekly!$D$2:$D$188,MATCH('Marketing Campaigns 22.11.22'!L1595,weekly!$H$2:$H$188,0))</f>
        <v>12035.149677419355</v>
      </c>
      <c r="I1595">
        <f>INDEX(weekly!$F$2:$F$188,MATCH('Marketing Campaigns 22.11.22'!L1595,weekly!$H$2:$H$188,0))</f>
        <v>6653.612903225805</v>
      </c>
      <c r="J1595">
        <v>0</v>
      </c>
      <c r="K1595">
        <v>0</v>
      </c>
      <c r="L1595" t="str">
        <f t="shared" si="48"/>
        <v>2-1-2023</v>
      </c>
      <c r="M1595">
        <f t="shared" si="49"/>
        <v>2023</v>
      </c>
    </row>
    <row r="1596" spans="1:13" x14ac:dyDescent="0.2">
      <c r="A1596" s="1">
        <v>44935</v>
      </c>
      <c r="B1596">
        <v>2</v>
      </c>
      <c r="C1596">
        <v>1</v>
      </c>
      <c r="D1596">
        <v>1</v>
      </c>
      <c r="E1596" t="s">
        <v>41</v>
      </c>
      <c r="F1596">
        <v>0</v>
      </c>
      <c r="G1596">
        <f>INDEX(weekly!$E$2:$E$188,MATCH('Marketing Campaigns 22.11.22'!L1596,weekly!$H$2:$H$188,0))</f>
        <v>5598.9296774193535</v>
      </c>
      <c r="H1596">
        <f>INDEX(weekly!$D$2:$D$188,MATCH('Marketing Campaigns 22.11.22'!L1596,weekly!$H$2:$H$188,0))</f>
        <v>12035.149677419355</v>
      </c>
      <c r="I1596">
        <f>INDEX(weekly!$F$2:$F$188,MATCH('Marketing Campaigns 22.11.22'!L1596,weekly!$H$2:$H$188,0))</f>
        <v>6653.612903225805</v>
      </c>
      <c r="J1596">
        <v>0</v>
      </c>
      <c r="K1596">
        <v>0</v>
      </c>
      <c r="L1596" t="str">
        <f t="shared" si="48"/>
        <v>2-1-2023</v>
      </c>
      <c r="M1596">
        <f t="shared" si="49"/>
        <v>2023</v>
      </c>
    </row>
    <row r="1597" spans="1:13" x14ac:dyDescent="0.2">
      <c r="A1597" s="1">
        <v>44935</v>
      </c>
      <c r="B1597">
        <v>2</v>
      </c>
      <c r="C1597">
        <v>1</v>
      </c>
      <c r="D1597">
        <v>1</v>
      </c>
      <c r="E1597" t="s">
        <v>42</v>
      </c>
      <c r="F1597">
        <v>0</v>
      </c>
      <c r="G1597">
        <f>INDEX(weekly!$E$2:$E$188,MATCH('Marketing Campaigns 22.11.22'!L1597,weekly!$H$2:$H$188,0))</f>
        <v>5598.9296774193535</v>
      </c>
      <c r="H1597">
        <f>INDEX(weekly!$D$2:$D$188,MATCH('Marketing Campaigns 22.11.22'!L1597,weekly!$H$2:$H$188,0))</f>
        <v>12035.149677419355</v>
      </c>
      <c r="I1597">
        <f>INDEX(weekly!$F$2:$F$188,MATCH('Marketing Campaigns 22.11.22'!L1597,weekly!$H$2:$H$188,0))</f>
        <v>6653.612903225805</v>
      </c>
      <c r="J1597">
        <v>0</v>
      </c>
      <c r="K1597">
        <v>0</v>
      </c>
      <c r="L1597" t="str">
        <f t="shared" si="48"/>
        <v>2-1-2023</v>
      </c>
      <c r="M1597">
        <f t="shared" si="49"/>
        <v>2023</v>
      </c>
    </row>
    <row r="1598" spans="1:13" x14ac:dyDescent="0.2">
      <c r="A1598" s="1">
        <v>44935</v>
      </c>
      <c r="B1598">
        <v>2</v>
      </c>
      <c r="C1598">
        <v>1</v>
      </c>
      <c r="D1598">
        <v>1</v>
      </c>
      <c r="E1598" t="s">
        <v>43</v>
      </c>
      <c r="F1598">
        <v>0</v>
      </c>
      <c r="G1598">
        <f>INDEX(weekly!$E$2:$E$188,MATCH('Marketing Campaigns 22.11.22'!L1598,weekly!$H$2:$H$188,0))</f>
        <v>5598.9296774193535</v>
      </c>
      <c r="H1598">
        <f>INDEX(weekly!$D$2:$D$188,MATCH('Marketing Campaigns 22.11.22'!L1598,weekly!$H$2:$H$188,0))</f>
        <v>12035.149677419355</v>
      </c>
      <c r="I1598">
        <f>INDEX(weekly!$F$2:$F$188,MATCH('Marketing Campaigns 22.11.22'!L1598,weekly!$H$2:$H$188,0))</f>
        <v>6653.612903225805</v>
      </c>
      <c r="J1598">
        <v>0</v>
      </c>
      <c r="K1598">
        <v>0</v>
      </c>
      <c r="L1598" t="str">
        <f t="shared" si="48"/>
        <v>2-1-2023</v>
      </c>
      <c r="M1598">
        <f t="shared" si="49"/>
        <v>2023</v>
      </c>
    </row>
    <row r="1599" spans="1:13" x14ac:dyDescent="0.2">
      <c r="A1599" s="1">
        <v>44935</v>
      </c>
      <c r="B1599">
        <v>2</v>
      </c>
      <c r="C1599">
        <v>1</v>
      </c>
      <c r="D1599">
        <v>1</v>
      </c>
      <c r="E1599" t="s">
        <v>44</v>
      </c>
      <c r="F1599">
        <v>0</v>
      </c>
      <c r="G1599">
        <f>INDEX(weekly!$E$2:$E$188,MATCH('Marketing Campaigns 22.11.22'!L1599,weekly!$H$2:$H$188,0))</f>
        <v>5598.9296774193535</v>
      </c>
      <c r="H1599">
        <f>INDEX(weekly!$D$2:$D$188,MATCH('Marketing Campaigns 22.11.22'!L1599,weekly!$H$2:$H$188,0))</f>
        <v>12035.149677419355</v>
      </c>
      <c r="I1599">
        <f>INDEX(weekly!$F$2:$F$188,MATCH('Marketing Campaigns 22.11.22'!L1599,weekly!$H$2:$H$188,0))</f>
        <v>6653.612903225805</v>
      </c>
      <c r="J1599">
        <v>0</v>
      </c>
      <c r="K1599">
        <v>0</v>
      </c>
      <c r="L1599" t="str">
        <f t="shared" si="48"/>
        <v>2-1-2023</v>
      </c>
      <c r="M1599">
        <f t="shared" si="49"/>
        <v>2023</v>
      </c>
    </row>
    <row r="1600" spans="1:13" x14ac:dyDescent="0.2">
      <c r="A1600" s="1">
        <v>44935</v>
      </c>
      <c r="B1600">
        <v>2</v>
      </c>
      <c r="C1600">
        <v>1</v>
      </c>
      <c r="D1600">
        <v>1</v>
      </c>
      <c r="E1600" t="s">
        <v>45</v>
      </c>
      <c r="F1600">
        <v>0</v>
      </c>
      <c r="G1600">
        <f>INDEX(weekly!$E$2:$E$188,MATCH('Marketing Campaigns 22.11.22'!L1600,weekly!$H$2:$H$188,0))</f>
        <v>5598.9296774193535</v>
      </c>
      <c r="H1600">
        <f>INDEX(weekly!$D$2:$D$188,MATCH('Marketing Campaigns 22.11.22'!L1600,weekly!$H$2:$H$188,0))</f>
        <v>12035.149677419355</v>
      </c>
      <c r="I1600">
        <f>INDEX(weekly!$F$2:$F$188,MATCH('Marketing Campaigns 22.11.22'!L1600,weekly!$H$2:$H$188,0))</f>
        <v>6653.612903225805</v>
      </c>
      <c r="J1600">
        <v>0</v>
      </c>
      <c r="K1600">
        <v>0</v>
      </c>
      <c r="L1600" t="str">
        <f t="shared" si="48"/>
        <v>2-1-2023</v>
      </c>
      <c r="M1600">
        <f t="shared" si="49"/>
        <v>2023</v>
      </c>
    </row>
    <row r="1601" spans="1:13" x14ac:dyDescent="0.2">
      <c r="A1601" s="1">
        <v>44935</v>
      </c>
      <c r="B1601">
        <v>2</v>
      </c>
      <c r="C1601">
        <v>1</v>
      </c>
      <c r="D1601">
        <v>1</v>
      </c>
      <c r="E1601" t="s">
        <v>46</v>
      </c>
      <c r="F1601">
        <v>0</v>
      </c>
      <c r="G1601">
        <f>INDEX(weekly!$E$2:$E$188,MATCH('Marketing Campaigns 22.11.22'!L1601,weekly!$H$2:$H$188,0))</f>
        <v>5598.9296774193535</v>
      </c>
      <c r="H1601">
        <f>INDEX(weekly!$D$2:$D$188,MATCH('Marketing Campaigns 22.11.22'!L1601,weekly!$H$2:$H$188,0))</f>
        <v>12035.149677419355</v>
      </c>
      <c r="I1601">
        <f>INDEX(weekly!$F$2:$F$188,MATCH('Marketing Campaigns 22.11.22'!L1601,weekly!$H$2:$H$188,0))</f>
        <v>6653.612903225805</v>
      </c>
      <c r="J1601">
        <v>0</v>
      </c>
      <c r="K1601">
        <v>0</v>
      </c>
      <c r="L1601" t="str">
        <f t="shared" si="48"/>
        <v>2-1-2023</v>
      </c>
      <c r="M1601">
        <f t="shared" si="49"/>
        <v>2023</v>
      </c>
    </row>
    <row r="1602" spans="1:13" x14ac:dyDescent="0.2">
      <c r="A1602" s="1">
        <v>44935</v>
      </c>
      <c r="B1602">
        <v>2</v>
      </c>
      <c r="C1602">
        <v>1</v>
      </c>
      <c r="D1602">
        <v>1</v>
      </c>
      <c r="E1602" t="s">
        <v>47</v>
      </c>
      <c r="F1602">
        <v>0</v>
      </c>
      <c r="G1602">
        <f>INDEX(weekly!$E$2:$E$188,MATCH('Marketing Campaigns 22.11.22'!L1602,weekly!$H$2:$H$188,0))</f>
        <v>5598.9296774193535</v>
      </c>
      <c r="H1602">
        <f>INDEX(weekly!$D$2:$D$188,MATCH('Marketing Campaigns 22.11.22'!L1602,weekly!$H$2:$H$188,0))</f>
        <v>12035.149677419355</v>
      </c>
      <c r="I1602">
        <f>INDEX(weekly!$F$2:$F$188,MATCH('Marketing Campaigns 22.11.22'!L1602,weekly!$H$2:$H$188,0))</f>
        <v>6653.612903225805</v>
      </c>
      <c r="J1602">
        <v>0</v>
      </c>
      <c r="K1602">
        <v>0</v>
      </c>
      <c r="L1602" t="str">
        <f t="shared" si="48"/>
        <v>2-1-2023</v>
      </c>
      <c r="M1602">
        <f t="shared" si="49"/>
        <v>2023</v>
      </c>
    </row>
    <row r="1603" spans="1:13" x14ac:dyDescent="0.2">
      <c r="A1603" s="1">
        <v>44935</v>
      </c>
      <c r="B1603">
        <v>2</v>
      </c>
      <c r="C1603">
        <v>1</v>
      </c>
      <c r="D1603">
        <v>1</v>
      </c>
      <c r="E1603" t="s">
        <v>48</v>
      </c>
      <c r="F1603">
        <v>0</v>
      </c>
      <c r="G1603">
        <f>INDEX(weekly!$E$2:$E$188,MATCH('Marketing Campaigns 22.11.22'!L1603,weekly!$H$2:$H$188,0))</f>
        <v>5598.9296774193535</v>
      </c>
      <c r="H1603">
        <f>INDEX(weekly!$D$2:$D$188,MATCH('Marketing Campaigns 22.11.22'!L1603,weekly!$H$2:$H$188,0))</f>
        <v>12035.149677419355</v>
      </c>
      <c r="I1603">
        <f>INDEX(weekly!$F$2:$F$188,MATCH('Marketing Campaigns 22.11.22'!L1603,weekly!$H$2:$H$188,0))</f>
        <v>6653.612903225805</v>
      </c>
      <c r="J1603">
        <v>0</v>
      </c>
      <c r="K1603">
        <v>0</v>
      </c>
      <c r="L1603" t="str">
        <f t="shared" si="48"/>
        <v>2-1-2023</v>
      </c>
      <c r="M1603">
        <f t="shared" si="49"/>
        <v>2023</v>
      </c>
    </row>
    <row r="1604" spans="1:13" x14ac:dyDescent="0.2">
      <c r="A1604" s="1">
        <v>44935</v>
      </c>
      <c r="B1604">
        <v>2</v>
      </c>
      <c r="C1604">
        <v>1</v>
      </c>
      <c r="D1604">
        <v>1</v>
      </c>
      <c r="E1604" t="s">
        <v>49</v>
      </c>
      <c r="F1604">
        <v>0</v>
      </c>
      <c r="G1604">
        <f>INDEX(weekly!$E$2:$E$188,MATCH('Marketing Campaigns 22.11.22'!L1604,weekly!$H$2:$H$188,0))</f>
        <v>5598.9296774193535</v>
      </c>
      <c r="H1604">
        <f>INDEX(weekly!$D$2:$D$188,MATCH('Marketing Campaigns 22.11.22'!L1604,weekly!$H$2:$H$188,0))</f>
        <v>12035.149677419355</v>
      </c>
      <c r="I1604">
        <f>INDEX(weekly!$F$2:$F$188,MATCH('Marketing Campaigns 22.11.22'!L1604,weekly!$H$2:$H$188,0))</f>
        <v>6653.612903225805</v>
      </c>
      <c r="J1604">
        <v>0</v>
      </c>
      <c r="K1604">
        <v>0</v>
      </c>
      <c r="L1604" t="str">
        <f t="shared" ref="L1604:L1667" si="50">B1604&amp;"-"&amp;C1604&amp;"-"&amp;M1604</f>
        <v>2-1-2023</v>
      </c>
      <c r="M1604">
        <f t="shared" ref="M1604:M1667" si="51">YEAR(A1604)</f>
        <v>2023</v>
      </c>
    </row>
    <row r="1605" spans="1:13" x14ac:dyDescent="0.2">
      <c r="A1605" s="1">
        <v>44935</v>
      </c>
      <c r="B1605">
        <v>2</v>
      </c>
      <c r="C1605">
        <v>1</v>
      </c>
      <c r="D1605">
        <v>1</v>
      </c>
      <c r="E1605" t="s">
        <v>50</v>
      </c>
      <c r="F1605">
        <v>0</v>
      </c>
      <c r="G1605">
        <f>INDEX(weekly!$E$2:$E$188,MATCH('Marketing Campaigns 22.11.22'!L1605,weekly!$H$2:$H$188,0))</f>
        <v>5598.9296774193535</v>
      </c>
      <c r="H1605">
        <f>INDEX(weekly!$D$2:$D$188,MATCH('Marketing Campaigns 22.11.22'!L1605,weekly!$H$2:$H$188,0))</f>
        <v>12035.149677419355</v>
      </c>
      <c r="I1605">
        <f>INDEX(weekly!$F$2:$F$188,MATCH('Marketing Campaigns 22.11.22'!L1605,weekly!$H$2:$H$188,0))</f>
        <v>6653.612903225805</v>
      </c>
      <c r="J1605">
        <v>0</v>
      </c>
      <c r="K1605">
        <v>0</v>
      </c>
      <c r="L1605" t="str">
        <f t="shared" si="50"/>
        <v>2-1-2023</v>
      </c>
      <c r="M1605">
        <f t="shared" si="51"/>
        <v>2023</v>
      </c>
    </row>
    <row r="1606" spans="1:13" x14ac:dyDescent="0.2">
      <c r="A1606" s="1">
        <v>44935</v>
      </c>
      <c r="B1606">
        <v>2</v>
      </c>
      <c r="C1606">
        <v>1</v>
      </c>
      <c r="D1606">
        <v>1</v>
      </c>
      <c r="E1606" t="s">
        <v>51</v>
      </c>
      <c r="F1606">
        <v>0</v>
      </c>
      <c r="G1606">
        <f>INDEX(weekly!$E$2:$E$188,MATCH('Marketing Campaigns 22.11.22'!L1606,weekly!$H$2:$H$188,0))</f>
        <v>5598.9296774193535</v>
      </c>
      <c r="H1606">
        <f>INDEX(weekly!$D$2:$D$188,MATCH('Marketing Campaigns 22.11.22'!L1606,weekly!$H$2:$H$188,0))</f>
        <v>12035.149677419355</v>
      </c>
      <c r="I1606">
        <f>INDEX(weekly!$F$2:$F$188,MATCH('Marketing Campaigns 22.11.22'!L1606,weekly!$H$2:$H$188,0))</f>
        <v>6653.612903225805</v>
      </c>
      <c r="J1606">
        <v>0</v>
      </c>
      <c r="K1606">
        <v>0</v>
      </c>
      <c r="L1606" t="str">
        <f t="shared" si="50"/>
        <v>2-1-2023</v>
      </c>
      <c r="M1606">
        <f t="shared" si="51"/>
        <v>2023</v>
      </c>
    </row>
    <row r="1607" spans="1:13" x14ac:dyDescent="0.2">
      <c r="A1607" s="1">
        <v>44935</v>
      </c>
      <c r="B1607">
        <v>2</v>
      </c>
      <c r="C1607">
        <v>1</v>
      </c>
      <c r="D1607">
        <v>1</v>
      </c>
      <c r="E1607" t="s">
        <v>52</v>
      </c>
      <c r="F1607">
        <v>0</v>
      </c>
      <c r="G1607">
        <f>INDEX(weekly!$E$2:$E$188,MATCH('Marketing Campaigns 22.11.22'!L1607,weekly!$H$2:$H$188,0))</f>
        <v>5598.9296774193535</v>
      </c>
      <c r="H1607">
        <f>INDEX(weekly!$D$2:$D$188,MATCH('Marketing Campaigns 22.11.22'!L1607,weekly!$H$2:$H$188,0))</f>
        <v>12035.149677419355</v>
      </c>
      <c r="I1607">
        <f>INDEX(weekly!$F$2:$F$188,MATCH('Marketing Campaigns 22.11.22'!L1607,weekly!$H$2:$H$188,0))</f>
        <v>6653.612903225805</v>
      </c>
      <c r="J1607">
        <v>0</v>
      </c>
      <c r="K1607">
        <v>0</v>
      </c>
      <c r="L1607" t="str">
        <f t="shared" si="50"/>
        <v>2-1-2023</v>
      </c>
      <c r="M1607">
        <f t="shared" si="51"/>
        <v>2023</v>
      </c>
    </row>
    <row r="1608" spans="1:13" x14ac:dyDescent="0.2">
      <c r="A1608" s="1">
        <v>44942</v>
      </c>
      <c r="B1608">
        <v>3</v>
      </c>
      <c r="C1608">
        <v>1</v>
      </c>
      <c r="D1608">
        <v>1</v>
      </c>
      <c r="E1608" t="s">
        <v>24</v>
      </c>
      <c r="F1608">
        <v>0</v>
      </c>
      <c r="G1608">
        <f>INDEX(weekly!$E$2:$E$188,MATCH('Marketing Campaigns 22.11.22'!L1608,weekly!$H$2:$H$188,0))</f>
        <v>5598.9296774193535</v>
      </c>
      <c r="H1608">
        <f>INDEX(weekly!$D$2:$D$188,MATCH('Marketing Campaigns 22.11.22'!L1608,weekly!$H$2:$H$188,0))</f>
        <v>12035.149677419355</v>
      </c>
      <c r="I1608">
        <f>INDEX(weekly!$F$2:$F$188,MATCH('Marketing Campaigns 22.11.22'!L1608,weekly!$H$2:$H$188,0))</f>
        <v>6653.612903225805</v>
      </c>
      <c r="J1608">
        <v>0</v>
      </c>
      <c r="K1608">
        <v>0</v>
      </c>
      <c r="L1608" t="str">
        <f t="shared" si="50"/>
        <v>3-1-2023</v>
      </c>
      <c r="M1608">
        <f t="shared" si="51"/>
        <v>2023</v>
      </c>
    </row>
    <row r="1609" spans="1:13" x14ac:dyDescent="0.2">
      <c r="A1609" s="1">
        <v>44942</v>
      </c>
      <c r="B1609">
        <v>3</v>
      </c>
      <c r="C1609">
        <v>1</v>
      </c>
      <c r="D1609">
        <v>1</v>
      </c>
      <c r="E1609" t="s">
        <v>39</v>
      </c>
      <c r="F1609">
        <v>0</v>
      </c>
      <c r="G1609">
        <f>INDEX(weekly!$E$2:$E$188,MATCH('Marketing Campaigns 22.11.22'!L1609,weekly!$H$2:$H$188,0))</f>
        <v>5598.9296774193535</v>
      </c>
      <c r="H1609">
        <f>INDEX(weekly!$D$2:$D$188,MATCH('Marketing Campaigns 22.11.22'!L1609,weekly!$H$2:$H$188,0))</f>
        <v>12035.149677419355</v>
      </c>
      <c r="I1609">
        <f>INDEX(weekly!$F$2:$F$188,MATCH('Marketing Campaigns 22.11.22'!L1609,weekly!$H$2:$H$188,0))</f>
        <v>6653.612903225805</v>
      </c>
      <c r="J1609">
        <v>0</v>
      </c>
      <c r="K1609">
        <v>0</v>
      </c>
      <c r="L1609" t="str">
        <f t="shared" si="50"/>
        <v>3-1-2023</v>
      </c>
      <c r="M1609">
        <f t="shared" si="51"/>
        <v>2023</v>
      </c>
    </row>
    <row r="1610" spans="1:13" x14ac:dyDescent="0.2">
      <c r="A1610" s="1">
        <v>44942</v>
      </c>
      <c r="B1610">
        <v>3</v>
      </c>
      <c r="C1610">
        <v>1</v>
      </c>
      <c r="D1610">
        <v>1</v>
      </c>
      <c r="E1610" t="s">
        <v>40</v>
      </c>
      <c r="F1610">
        <v>0</v>
      </c>
      <c r="G1610">
        <f>INDEX(weekly!$E$2:$E$188,MATCH('Marketing Campaigns 22.11.22'!L1610,weekly!$H$2:$H$188,0))</f>
        <v>5598.9296774193535</v>
      </c>
      <c r="H1610">
        <f>INDEX(weekly!$D$2:$D$188,MATCH('Marketing Campaigns 22.11.22'!L1610,weekly!$H$2:$H$188,0))</f>
        <v>12035.149677419355</v>
      </c>
      <c r="I1610">
        <f>INDEX(weekly!$F$2:$F$188,MATCH('Marketing Campaigns 22.11.22'!L1610,weekly!$H$2:$H$188,0))</f>
        <v>6653.612903225805</v>
      </c>
      <c r="J1610">
        <v>0</v>
      </c>
      <c r="K1610">
        <v>0</v>
      </c>
      <c r="L1610" t="str">
        <f t="shared" si="50"/>
        <v>3-1-2023</v>
      </c>
      <c r="M1610">
        <f t="shared" si="51"/>
        <v>2023</v>
      </c>
    </row>
    <row r="1611" spans="1:13" x14ac:dyDescent="0.2">
      <c r="A1611" s="1">
        <v>44942</v>
      </c>
      <c r="B1611">
        <v>3</v>
      </c>
      <c r="C1611">
        <v>1</v>
      </c>
      <c r="D1611">
        <v>1</v>
      </c>
      <c r="E1611" t="s">
        <v>41</v>
      </c>
      <c r="F1611">
        <v>0</v>
      </c>
      <c r="G1611">
        <f>INDEX(weekly!$E$2:$E$188,MATCH('Marketing Campaigns 22.11.22'!L1611,weekly!$H$2:$H$188,0))</f>
        <v>5598.9296774193535</v>
      </c>
      <c r="H1611">
        <f>INDEX(weekly!$D$2:$D$188,MATCH('Marketing Campaigns 22.11.22'!L1611,weekly!$H$2:$H$188,0))</f>
        <v>12035.149677419355</v>
      </c>
      <c r="I1611">
        <f>INDEX(weekly!$F$2:$F$188,MATCH('Marketing Campaigns 22.11.22'!L1611,weekly!$H$2:$H$188,0))</f>
        <v>6653.612903225805</v>
      </c>
      <c r="J1611">
        <v>0</v>
      </c>
      <c r="K1611">
        <v>0</v>
      </c>
      <c r="L1611" t="str">
        <f t="shared" si="50"/>
        <v>3-1-2023</v>
      </c>
      <c r="M1611">
        <f t="shared" si="51"/>
        <v>2023</v>
      </c>
    </row>
    <row r="1612" spans="1:13" x14ac:dyDescent="0.2">
      <c r="A1612" s="1">
        <v>44942</v>
      </c>
      <c r="B1612">
        <v>3</v>
      </c>
      <c r="C1612">
        <v>1</v>
      </c>
      <c r="D1612">
        <v>1</v>
      </c>
      <c r="E1612" t="s">
        <v>42</v>
      </c>
      <c r="F1612">
        <v>0</v>
      </c>
      <c r="G1612">
        <f>INDEX(weekly!$E$2:$E$188,MATCH('Marketing Campaigns 22.11.22'!L1612,weekly!$H$2:$H$188,0))</f>
        <v>5598.9296774193535</v>
      </c>
      <c r="H1612">
        <f>INDEX(weekly!$D$2:$D$188,MATCH('Marketing Campaigns 22.11.22'!L1612,weekly!$H$2:$H$188,0))</f>
        <v>12035.149677419355</v>
      </c>
      <c r="I1612">
        <f>INDEX(weekly!$F$2:$F$188,MATCH('Marketing Campaigns 22.11.22'!L1612,weekly!$H$2:$H$188,0))</f>
        <v>6653.612903225805</v>
      </c>
      <c r="J1612">
        <v>0</v>
      </c>
      <c r="K1612">
        <v>0</v>
      </c>
      <c r="L1612" t="str">
        <f t="shared" si="50"/>
        <v>3-1-2023</v>
      </c>
      <c r="M1612">
        <f t="shared" si="51"/>
        <v>2023</v>
      </c>
    </row>
    <row r="1613" spans="1:13" x14ac:dyDescent="0.2">
      <c r="A1613" s="1">
        <v>44942</v>
      </c>
      <c r="B1613">
        <v>3</v>
      </c>
      <c r="C1613">
        <v>1</v>
      </c>
      <c r="D1613">
        <v>1</v>
      </c>
      <c r="E1613" t="s">
        <v>43</v>
      </c>
      <c r="F1613">
        <v>0</v>
      </c>
      <c r="G1613">
        <f>INDEX(weekly!$E$2:$E$188,MATCH('Marketing Campaigns 22.11.22'!L1613,weekly!$H$2:$H$188,0))</f>
        <v>5598.9296774193535</v>
      </c>
      <c r="H1613">
        <f>INDEX(weekly!$D$2:$D$188,MATCH('Marketing Campaigns 22.11.22'!L1613,weekly!$H$2:$H$188,0))</f>
        <v>12035.149677419355</v>
      </c>
      <c r="I1613">
        <f>INDEX(weekly!$F$2:$F$188,MATCH('Marketing Campaigns 22.11.22'!L1613,weekly!$H$2:$H$188,0))</f>
        <v>6653.612903225805</v>
      </c>
      <c r="J1613">
        <v>0</v>
      </c>
      <c r="K1613">
        <v>0</v>
      </c>
      <c r="L1613" t="str">
        <f t="shared" si="50"/>
        <v>3-1-2023</v>
      </c>
      <c r="M1613">
        <f t="shared" si="51"/>
        <v>2023</v>
      </c>
    </row>
    <row r="1614" spans="1:13" x14ac:dyDescent="0.2">
      <c r="A1614" s="1">
        <v>44942</v>
      </c>
      <c r="B1614">
        <v>3</v>
      </c>
      <c r="C1614">
        <v>1</v>
      </c>
      <c r="D1614">
        <v>1</v>
      </c>
      <c r="E1614" t="s">
        <v>44</v>
      </c>
      <c r="F1614">
        <v>0</v>
      </c>
      <c r="G1614">
        <f>INDEX(weekly!$E$2:$E$188,MATCH('Marketing Campaigns 22.11.22'!L1614,weekly!$H$2:$H$188,0))</f>
        <v>5598.9296774193535</v>
      </c>
      <c r="H1614">
        <f>INDEX(weekly!$D$2:$D$188,MATCH('Marketing Campaigns 22.11.22'!L1614,weekly!$H$2:$H$188,0))</f>
        <v>12035.149677419355</v>
      </c>
      <c r="I1614">
        <f>INDEX(weekly!$F$2:$F$188,MATCH('Marketing Campaigns 22.11.22'!L1614,weekly!$H$2:$H$188,0))</f>
        <v>6653.612903225805</v>
      </c>
      <c r="J1614">
        <v>0</v>
      </c>
      <c r="K1614">
        <v>0</v>
      </c>
      <c r="L1614" t="str">
        <f t="shared" si="50"/>
        <v>3-1-2023</v>
      </c>
      <c r="M1614">
        <f t="shared" si="51"/>
        <v>2023</v>
      </c>
    </row>
    <row r="1615" spans="1:13" x14ac:dyDescent="0.2">
      <c r="A1615" s="1">
        <v>44942</v>
      </c>
      <c r="B1615">
        <v>3</v>
      </c>
      <c r="C1615">
        <v>1</v>
      </c>
      <c r="D1615">
        <v>1</v>
      </c>
      <c r="E1615" t="s">
        <v>45</v>
      </c>
      <c r="F1615">
        <v>0</v>
      </c>
      <c r="G1615">
        <f>INDEX(weekly!$E$2:$E$188,MATCH('Marketing Campaigns 22.11.22'!L1615,weekly!$H$2:$H$188,0))</f>
        <v>5598.9296774193535</v>
      </c>
      <c r="H1615">
        <f>INDEX(weekly!$D$2:$D$188,MATCH('Marketing Campaigns 22.11.22'!L1615,weekly!$H$2:$H$188,0))</f>
        <v>12035.149677419355</v>
      </c>
      <c r="I1615">
        <f>INDEX(weekly!$F$2:$F$188,MATCH('Marketing Campaigns 22.11.22'!L1615,weekly!$H$2:$H$188,0))</f>
        <v>6653.612903225805</v>
      </c>
      <c r="J1615">
        <v>0</v>
      </c>
      <c r="K1615">
        <v>0</v>
      </c>
      <c r="L1615" t="str">
        <f t="shared" si="50"/>
        <v>3-1-2023</v>
      </c>
      <c r="M1615">
        <f t="shared" si="51"/>
        <v>2023</v>
      </c>
    </row>
    <row r="1616" spans="1:13" x14ac:dyDescent="0.2">
      <c r="A1616" s="1">
        <v>44942</v>
      </c>
      <c r="B1616">
        <v>3</v>
      </c>
      <c r="C1616">
        <v>1</v>
      </c>
      <c r="D1616">
        <v>1</v>
      </c>
      <c r="E1616" t="s">
        <v>46</v>
      </c>
      <c r="F1616">
        <v>0</v>
      </c>
      <c r="G1616">
        <f>INDEX(weekly!$E$2:$E$188,MATCH('Marketing Campaigns 22.11.22'!L1616,weekly!$H$2:$H$188,0))</f>
        <v>5598.9296774193535</v>
      </c>
      <c r="H1616">
        <f>INDEX(weekly!$D$2:$D$188,MATCH('Marketing Campaigns 22.11.22'!L1616,weekly!$H$2:$H$188,0))</f>
        <v>12035.149677419355</v>
      </c>
      <c r="I1616">
        <f>INDEX(weekly!$F$2:$F$188,MATCH('Marketing Campaigns 22.11.22'!L1616,weekly!$H$2:$H$188,0))</f>
        <v>6653.612903225805</v>
      </c>
      <c r="J1616">
        <v>0</v>
      </c>
      <c r="K1616">
        <v>0</v>
      </c>
      <c r="L1616" t="str">
        <f t="shared" si="50"/>
        <v>3-1-2023</v>
      </c>
      <c r="M1616">
        <f t="shared" si="51"/>
        <v>2023</v>
      </c>
    </row>
    <row r="1617" spans="1:13" x14ac:dyDescent="0.2">
      <c r="A1617" s="1">
        <v>44942</v>
      </c>
      <c r="B1617">
        <v>3</v>
      </c>
      <c r="C1617">
        <v>1</v>
      </c>
      <c r="D1617">
        <v>1</v>
      </c>
      <c r="E1617" t="s">
        <v>47</v>
      </c>
      <c r="F1617">
        <v>0</v>
      </c>
      <c r="G1617">
        <f>INDEX(weekly!$E$2:$E$188,MATCH('Marketing Campaigns 22.11.22'!L1617,weekly!$H$2:$H$188,0))</f>
        <v>5598.9296774193535</v>
      </c>
      <c r="H1617">
        <f>INDEX(weekly!$D$2:$D$188,MATCH('Marketing Campaigns 22.11.22'!L1617,weekly!$H$2:$H$188,0))</f>
        <v>12035.149677419355</v>
      </c>
      <c r="I1617">
        <f>INDEX(weekly!$F$2:$F$188,MATCH('Marketing Campaigns 22.11.22'!L1617,weekly!$H$2:$H$188,0))</f>
        <v>6653.612903225805</v>
      </c>
      <c r="J1617">
        <v>0</v>
      </c>
      <c r="K1617">
        <v>0</v>
      </c>
      <c r="L1617" t="str">
        <f t="shared" si="50"/>
        <v>3-1-2023</v>
      </c>
      <c r="M1617">
        <f t="shared" si="51"/>
        <v>2023</v>
      </c>
    </row>
    <row r="1618" spans="1:13" x14ac:dyDescent="0.2">
      <c r="A1618" s="1">
        <v>44942</v>
      </c>
      <c r="B1618">
        <v>3</v>
      </c>
      <c r="C1618">
        <v>1</v>
      </c>
      <c r="D1618">
        <v>1</v>
      </c>
      <c r="E1618" t="s">
        <v>48</v>
      </c>
      <c r="F1618">
        <v>0</v>
      </c>
      <c r="G1618">
        <f>INDEX(weekly!$E$2:$E$188,MATCH('Marketing Campaigns 22.11.22'!L1618,weekly!$H$2:$H$188,0))</f>
        <v>5598.9296774193535</v>
      </c>
      <c r="H1618">
        <f>INDEX(weekly!$D$2:$D$188,MATCH('Marketing Campaigns 22.11.22'!L1618,weekly!$H$2:$H$188,0))</f>
        <v>12035.149677419355</v>
      </c>
      <c r="I1618">
        <f>INDEX(weekly!$F$2:$F$188,MATCH('Marketing Campaigns 22.11.22'!L1618,weekly!$H$2:$H$188,0))</f>
        <v>6653.612903225805</v>
      </c>
      <c r="J1618">
        <v>0</v>
      </c>
      <c r="K1618">
        <v>0</v>
      </c>
      <c r="L1618" t="str">
        <f t="shared" si="50"/>
        <v>3-1-2023</v>
      </c>
      <c r="M1618">
        <f t="shared" si="51"/>
        <v>2023</v>
      </c>
    </row>
    <row r="1619" spans="1:13" x14ac:dyDescent="0.2">
      <c r="A1619" s="1">
        <v>44942</v>
      </c>
      <c r="B1619">
        <v>3</v>
      </c>
      <c r="C1619">
        <v>1</v>
      </c>
      <c r="D1619">
        <v>1</v>
      </c>
      <c r="E1619" t="s">
        <v>49</v>
      </c>
      <c r="F1619">
        <v>0</v>
      </c>
      <c r="G1619">
        <f>INDEX(weekly!$E$2:$E$188,MATCH('Marketing Campaigns 22.11.22'!L1619,weekly!$H$2:$H$188,0))</f>
        <v>5598.9296774193535</v>
      </c>
      <c r="H1619">
        <f>INDEX(weekly!$D$2:$D$188,MATCH('Marketing Campaigns 22.11.22'!L1619,weekly!$H$2:$H$188,0))</f>
        <v>12035.149677419355</v>
      </c>
      <c r="I1619">
        <f>INDEX(weekly!$F$2:$F$188,MATCH('Marketing Campaigns 22.11.22'!L1619,weekly!$H$2:$H$188,0))</f>
        <v>6653.612903225805</v>
      </c>
      <c r="J1619">
        <v>0</v>
      </c>
      <c r="K1619">
        <v>0</v>
      </c>
      <c r="L1619" t="str">
        <f t="shared" si="50"/>
        <v>3-1-2023</v>
      </c>
      <c r="M1619">
        <f t="shared" si="51"/>
        <v>2023</v>
      </c>
    </row>
    <row r="1620" spans="1:13" x14ac:dyDescent="0.2">
      <c r="A1620" s="1">
        <v>44942</v>
      </c>
      <c r="B1620">
        <v>3</v>
      </c>
      <c r="C1620">
        <v>1</v>
      </c>
      <c r="D1620">
        <v>1</v>
      </c>
      <c r="E1620" t="s">
        <v>50</v>
      </c>
      <c r="F1620">
        <v>0</v>
      </c>
      <c r="G1620">
        <f>INDEX(weekly!$E$2:$E$188,MATCH('Marketing Campaigns 22.11.22'!L1620,weekly!$H$2:$H$188,0))</f>
        <v>5598.9296774193535</v>
      </c>
      <c r="H1620">
        <f>INDEX(weekly!$D$2:$D$188,MATCH('Marketing Campaigns 22.11.22'!L1620,weekly!$H$2:$H$188,0))</f>
        <v>12035.149677419355</v>
      </c>
      <c r="I1620">
        <f>INDEX(weekly!$F$2:$F$188,MATCH('Marketing Campaigns 22.11.22'!L1620,weekly!$H$2:$H$188,0))</f>
        <v>6653.612903225805</v>
      </c>
      <c r="J1620">
        <v>0</v>
      </c>
      <c r="K1620">
        <v>0</v>
      </c>
      <c r="L1620" t="str">
        <f t="shared" si="50"/>
        <v>3-1-2023</v>
      </c>
      <c r="M1620">
        <f t="shared" si="51"/>
        <v>2023</v>
      </c>
    </row>
    <row r="1621" spans="1:13" x14ac:dyDescent="0.2">
      <c r="A1621" s="1">
        <v>44942</v>
      </c>
      <c r="B1621">
        <v>3</v>
      </c>
      <c r="C1621">
        <v>1</v>
      </c>
      <c r="D1621">
        <v>1</v>
      </c>
      <c r="E1621" t="s">
        <v>51</v>
      </c>
      <c r="F1621">
        <v>0</v>
      </c>
      <c r="G1621">
        <f>INDEX(weekly!$E$2:$E$188,MATCH('Marketing Campaigns 22.11.22'!L1621,weekly!$H$2:$H$188,0))</f>
        <v>5598.9296774193535</v>
      </c>
      <c r="H1621">
        <f>INDEX(weekly!$D$2:$D$188,MATCH('Marketing Campaigns 22.11.22'!L1621,weekly!$H$2:$H$188,0))</f>
        <v>12035.149677419355</v>
      </c>
      <c r="I1621">
        <f>INDEX(weekly!$F$2:$F$188,MATCH('Marketing Campaigns 22.11.22'!L1621,weekly!$H$2:$H$188,0))</f>
        <v>6653.612903225805</v>
      </c>
      <c r="J1621">
        <v>0</v>
      </c>
      <c r="K1621">
        <v>0</v>
      </c>
      <c r="L1621" t="str">
        <f t="shared" si="50"/>
        <v>3-1-2023</v>
      </c>
      <c r="M1621">
        <f t="shared" si="51"/>
        <v>2023</v>
      </c>
    </row>
    <row r="1622" spans="1:13" x14ac:dyDescent="0.2">
      <c r="A1622" s="1">
        <v>44942</v>
      </c>
      <c r="B1622">
        <v>3</v>
      </c>
      <c r="C1622">
        <v>1</v>
      </c>
      <c r="D1622">
        <v>1</v>
      </c>
      <c r="E1622" t="s">
        <v>52</v>
      </c>
      <c r="F1622">
        <v>0</v>
      </c>
      <c r="G1622">
        <f>INDEX(weekly!$E$2:$E$188,MATCH('Marketing Campaigns 22.11.22'!L1622,weekly!$H$2:$H$188,0))</f>
        <v>5598.9296774193535</v>
      </c>
      <c r="H1622">
        <f>INDEX(weekly!$D$2:$D$188,MATCH('Marketing Campaigns 22.11.22'!L1622,weekly!$H$2:$H$188,0))</f>
        <v>12035.149677419355</v>
      </c>
      <c r="I1622">
        <f>INDEX(weekly!$F$2:$F$188,MATCH('Marketing Campaigns 22.11.22'!L1622,weekly!$H$2:$H$188,0))</f>
        <v>6653.612903225805</v>
      </c>
      <c r="J1622">
        <v>0</v>
      </c>
      <c r="K1622">
        <v>0</v>
      </c>
      <c r="L1622" t="str">
        <f t="shared" si="50"/>
        <v>3-1-2023</v>
      </c>
      <c r="M1622">
        <f t="shared" si="51"/>
        <v>2023</v>
      </c>
    </row>
    <row r="1623" spans="1:13" x14ac:dyDescent="0.2">
      <c r="A1623" s="1">
        <v>44949</v>
      </c>
      <c r="B1623">
        <v>4</v>
      </c>
      <c r="C1623">
        <v>1</v>
      </c>
      <c r="D1623">
        <v>1</v>
      </c>
      <c r="E1623" t="s">
        <v>24</v>
      </c>
      <c r="F1623">
        <v>0</v>
      </c>
      <c r="G1623">
        <f>INDEX(weekly!$E$2:$E$188,MATCH('Marketing Campaigns 22.11.22'!L1623,weekly!$H$2:$H$188,0))</f>
        <v>5598.9296774193535</v>
      </c>
      <c r="H1623">
        <f>INDEX(weekly!$D$2:$D$188,MATCH('Marketing Campaigns 22.11.22'!L1623,weekly!$H$2:$H$188,0))</f>
        <v>12035.149677419355</v>
      </c>
      <c r="I1623">
        <f>INDEX(weekly!$F$2:$F$188,MATCH('Marketing Campaigns 22.11.22'!L1623,weekly!$H$2:$H$188,0))</f>
        <v>6653.612903225805</v>
      </c>
      <c r="J1623">
        <v>0</v>
      </c>
      <c r="K1623">
        <v>0</v>
      </c>
      <c r="L1623" t="str">
        <f t="shared" si="50"/>
        <v>4-1-2023</v>
      </c>
      <c r="M1623">
        <f t="shared" si="51"/>
        <v>2023</v>
      </c>
    </row>
    <row r="1624" spans="1:13" x14ac:dyDescent="0.2">
      <c r="A1624" s="1">
        <v>44949</v>
      </c>
      <c r="B1624">
        <v>4</v>
      </c>
      <c r="C1624">
        <v>1</v>
      </c>
      <c r="D1624">
        <v>1</v>
      </c>
      <c r="E1624" t="s">
        <v>39</v>
      </c>
      <c r="F1624">
        <v>0</v>
      </c>
      <c r="G1624">
        <f>INDEX(weekly!$E$2:$E$188,MATCH('Marketing Campaigns 22.11.22'!L1624,weekly!$H$2:$H$188,0))</f>
        <v>5598.9296774193535</v>
      </c>
      <c r="H1624">
        <f>INDEX(weekly!$D$2:$D$188,MATCH('Marketing Campaigns 22.11.22'!L1624,weekly!$H$2:$H$188,0))</f>
        <v>12035.149677419355</v>
      </c>
      <c r="I1624">
        <f>INDEX(weekly!$F$2:$F$188,MATCH('Marketing Campaigns 22.11.22'!L1624,weekly!$H$2:$H$188,0))</f>
        <v>6653.612903225805</v>
      </c>
      <c r="J1624">
        <v>0</v>
      </c>
      <c r="K1624">
        <v>0</v>
      </c>
      <c r="L1624" t="str">
        <f t="shared" si="50"/>
        <v>4-1-2023</v>
      </c>
      <c r="M1624">
        <f t="shared" si="51"/>
        <v>2023</v>
      </c>
    </row>
    <row r="1625" spans="1:13" x14ac:dyDescent="0.2">
      <c r="A1625" s="1">
        <v>44949</v>
      </c>
      <c r="B1625">
        <v>4</v>
      </c>
      <c r="C1625">
        <v>1</v>
      </c>
      <c r="D1625">
        <v>1</v>
      </c>
      <c r="E1625" t="s">
        <v>40</v>
      </c>
      <c r="F1625">
        <v>0</v>
      </c>
      <c r="G1625">
        <f>INDEX(weekly!$E$2:$E$188,MATCH('Marketing Campaigns 22.11.22'!L1625,weekly!$H$2:$H$188,0))</f>
        <v>5598.9296774193535</v>
      </c>
      <c r="H1625">
        <f>INDEX(weekly!$D$2:$D$188,MATCH('Marketing Campaigns 22.11.22'!L1625,weekly!$H$2:$H$188,0))</f>
        <v>12035.149677419355</v>
      </c>
      <c r="I1625">
        <f>INDEX(weekly!$F$2:$F$188,MATCH('Marketing Campaigns 22.11.22'!L1625,weekly!$H$2:$H$188,0))</f>
        <v>6653.612903225805</v>
      </c>
      <c r="J1625">
        <v>0</v>
      </c>
      <c r="K1625">
        <v>0</v>
      </c>
      <c r="L1625" t="str">
        <f t="shared" si="50"/>
        <v>4-1-2023</v>
      </c>
      <c r="M1625">
        <f t="shared" si="51"/>
        <v>2023</v>
      </c>
    </row>
    <row r="1626" spans="1:13" x14ac:dyDescent="0.2">
      <c r="A1626" s="1">
        <v>44949</v>
      </c>
      <c r="B1626">
        <v>4</v>
      </c>
      <c r="C1626">
        <v>1</v>
      </c>
      <c r="D1626">
        <v>1</v>
      </c>
      <c r="E1626" t="s">
        <v>41</v>
      </c>
      <c r="F1626">
        <v>0</v>
      </c>
      <c r="G1626">
        <f>INDEX(weekly!$E$2:$E$188,MATCH('Marketing Campaigns 22.11.22'!L1626,weekly!$H$2:$H$188,0))</f>
        <v>5598.9296774193535</v>
      </c>
      <c r="H1626">
        <f>INDEX(weekly!$D$2:$D$188,MATCH('Marketing Campaigns 22.11.22'!L1626,weekly!$H$2:$H$188,0))</f>
        <v>12035.149677419355</v>
      </c>
      <c r="I1626">
        <f>INDEX(weekly!$F$2:$F$188,MATCH('Marketing Campaigns 22.11.22'!L1626,weekly!$H$2:$H$188,0))</f>
        <v>6653.612903225805</v>
      </c>
      <c r="J1626">
        <v>0</v>
      </c>
      <c r="K1626">
        <v>0</v>
      </c>
      <c r="L1626" t="str">
        <f t="shared" si="50"/>
        <v>4-1-2023</v>
      </c>
      <c r="M1626">
        <f t="shared" si="51"/>
        <v>2023</v>
      </c>
    </row>
    <row r="1627" spans="1:13" x14ac:dyDescent="0.2">
      <c r="A1627" s="1">
        <v>44949</v>
      </c>
      <c r="B1627">
        <v>4</v>
      </c>
      <c r="C1627">
        <v>1</v>
      </c>
      <c r="D1627">
        <v>1</v>
      </c>
      <c r="E1627" t="s">
        <v>42</v>
      </c>
      <c r="F1627">
        <v>0</v>
      </c>
      <c r="G1627">
        <f>INDEX(weekly!$E$2:$E$188,MATCH('Marketing Campaigns 22.11.22'!L1627,weekly!$H$2:$H$188,0))</f>
        <v>5598.9296774193535</v>
      </c>
      <c r="H1627">
        <f>INDEX(weekly!$D$2:$D$188,MATCH('Marketing Campaigns 22.11.22'!L1627,weekly!$H$2:$H$188,0))</f>
        <v>12035.149677419355</v>
      </c>
      <c r="I1627">
        <f>INDEX(weekly!$F$2:$F$188,MATCH('Marketing Campaigns 22.11.22'!L1627,weekly!$H$2:$H$188,0))</f>
        <v>6653.612903225805</v>
      </c>
      <c r="J1627">
        <v>0</v>
      </c>
      <c r="K1627">
        <v>0</v>
      </c>
      <c r="L1627" t="str">
        <f t="shared" si="50"/>
        <v>4-1-2023</v>
      </c>
      <c r="M1627">
        <f t="shared" si="51"/>
        <v>2023</v>
      </c>
    </row>
    <row r="1628" spans="1:13" x14ac:dyDescent="0.2">
      <c r="A1628" s="1">
        <v>44949</v>
      </c>
      <c r="B1628">
        <v>4</v>
      </c>
      <c r="C1628">
        <v>1</v>
      </c>
      <c r="D1628">
        <v>1</v>
      </c>
      <c r="E1628" t="s">
        <v>43</v>
      </c>
      <c r="F1628">
        <v>0</v>
      </c>
      <c r="G1628">
        <f>INDEX(weekly!$E$2:$E$188,MATCH('Marketing Campaigns 22.11.22'!L1628,weekly!$H$2:$H$188,0))</f>
        <v>5598.9296774193535</v>
      </c>
      <c r="H1628">
        <f>INDEX(weekly!$D$2:$D$188,MATCH('Marketing Campaigns 22.11.22'!L1628,weekly!$H$2:$H$188,0))</f>
        <v>12035.149677419355</v>
      </c>
      <c r="I1628">
        <f>INDEX(weekly!$F$2:$F$188,MATCH('Marketing Campaigns 22.11.22'!L1628,weekly!$H$2:$H$188,0))</f>
        <v>6653.612903225805</v>
      </c>
      <c r="J1628">
        <v>0</v>
      </c>
      <c r="K1628">
        <v>0</v>
      </c>
      <c r="L1628" t="str">
        <f t="shared" si="50"/>
        <v>4-1-2023</v>
      </c>
      <c r="M1628">
        <f t="shared" si="51"/>
        <v>2023</v>
      </c>
    </row>
    <row r="1629" spans="1:13" x14ac:dyDescent="0.2">
      <c r="A1629" s="1">
        <v>44949</v>
      </c>
      <c r="B1629">
        <v>4</v>
      </c>
      <c r="C1629">
        <v>1</v>
      </c>
      <c r="D1629">
        <v>1</v>
      </c>
      <c r="E1629" t="s">
        <v>44</v>
      </c>
      <c r="F1629">
        <v>0</v>
      </c>
      <c r="G1629">
        <f>INDEX(weekly!$E$2:$E$188,MATCH('Marketing Campaigns 22.11.22'!L1629,weekly!$H$2:$H$188,0))</f>
        <v>5598.9296774193535</v>
      </c>
      <c r="H1629">
        <f>INDEX(weekly!$D$2:$D$188,MATCH('Marketing Campaigns 22.11.22'!L1629,weekly!$H$2:$H$188,0))</f>
        <v>12035.149677419355</v>
      </c>
      <c r="I1629">
        <f>INDEX(weekly!$F$2:$F$188,MATCH('Marketing Campaigns 22.11.22'!L1629,weekly!$H$2:$H$188,0))</f>
        <v>6653.612903225805</v>
      </c>
      <c r="J1629">
        <v>0</v>
      </c>
      <c r="K1629">
        <v>0</v>
      </c>
      <c r="L1629" t="str">
        <f t="shared" si="50"/>
        <v>4-1-2023</v>
      </c>
      <c r="M1629">
        <f t="shared" si="51"/>
        <v>2023</v>
      </c>
    </row>
    <row r="1630" spans="1:13" x14ac:dyDescent="0.2">
      <c r="A1630" s="1">
        <v>44949</v>
      </c>
      <c r="B1630">
        <v>4</v>
      </c>
      <c r="C1630">
        <v>1</v>
      </c>
      <c r="D1630">
        <v>1</v>
      </c>
      <c r="E1630" t="s">
        <v>45</v>
      </c>
      <c r="F1630">
        <v>0</v>
      </c>
      <c r="G1630">
        <f>INDEX(weekly!$E$2:$E$188,MATCH('Marketing Campaigns 22.11.22'!L1630,weekly!$H$2:$H$188,0))</f>
        <v>5598.9296774193535</v>
      </c>
      <c r="H1630">
        <f>INDEX(weekly!$D$2:$D$188,MATCH('Marketing Campaigns 22.11.22'!L1630,weekly!$H$2:$H$188,0))</f>
        <v>12035.149677419355</v>
      </c>
      <c r="I1630">
        <f>INDEX(weekly!$F$2:$F$188,MATCH('Marketing Campaigns 22.11.22'!L1630,weekly!$H$2:$H$188,0))</f>
        <v>6653.612903225805</v>
      </c>
      <c r="J1630">
        <v>0</v>
      </c>
      <c r="K1630">
        <v>0</v>
      </c>
      <c r="L1630" t="str">
        <f t="shared" si="50"/>
        <v>4-1-2023</v>
      </c>
      <c r="M1630">
        <f t="shared" si="51"/>
        <v>2023</v>
      </c>
    </row>
    <row r="1631" spans="1:13" x14ac:dyDescent="0.2">
      <c r="A1631" s="1">
        <v>44949</v>
      </c>
      <c r="B1631">
        <v>4</v>
      </c>
      <c r="C1631">
        <v>1</v>
      </c>
      <c r="D1631">
        <v>1</v>
      </c>
      <c r="E1631" t="s">
        <v>46</v>
      </c>
      <c r="F1631">
        <v>0</v>
      </c>
      <c r="G1631">
        <f>INDEX(weekly!$E$2:$E$188,MATCH('Marketing Campaigns 22.11.22'!L1631,weekly!$H$2:$H$188,0))</f>
        <v>5598.9296774193535</v>
      </c>
      <c r="H1631">
        <f>INDEX(weekly!$D$2:$D$188,MATCH('Marketing Campaigns 22.11.22'!L1631,weekly!$H$2:$H$188,0))</f>
        <v>12035.149677419355</v>
      </c>
      <c r="I1631">
        <f>INDEX(weekly!$F$2:$F$188,MATCH('Marketing Campaigns 22.11.22'!L1631,weekly!$H$2:$H$188,0))</f>
        <v>6653.612903225805</v>
      </c>
      <c r="J1631">
        <v>0</v>
      </c>
      <c r="K1631">
        <v>0</v>
      </c>
      <c r="L1631" t="str">
        <f t="shared" si="50"/>
        <v>4-1-2023</v>
      </c>
      <c r="M1631">
        <f t="shared" si="51"/>
        <v>2023</v>
      </c>
    </row>
    <row r="1632" spans="1:13" x14ac:dyDescent="0.2">
      <c r="A1632" s="1">
        <v>44949</v>
      </c>
      <c r="B1632">
        <v>4</v>
      </c>
      <c r="C1632">
        <v>1</v>
      </c>
      <c r="D1632">
        <v>1</v>
      </c>
      <c r="E1632" t="s">
        <v>47</v>
      </c>
      <c r="F1632">
        <v>0</v>
      </c>
      <c r="G1632">
        <f>INDEX(weekly!$E$2:$E$188,MATCH('Marketing Campaigns 22.11.22'!L1632,weekly!$H$2:$H$188,0))</f>
        <v>5598.9296774193535</v>
      </c>
      <c r="H1632">
        <f>INDEX(weekly!$D$2:$D$188,MATCH('Marketing Campaigns 22.11.22'!L1632,weekly!$H$2:$H$188,0))</f>
        <v>12035.149677419355</v>
      </c>
      <c r="I1632">
        <f>INDEX(weekly!$F$2:$F$188,MATCH('Marketing Campaigns 22.11.22'!L1632,weekly!$H$2:$H$188,0))</f>
        <v>6653.612903225805</v>
      </c>
      <c r="J1632">
        <v>0</v>
      </c>
      <c r="K1632">
        <v>0</v>
      </c>
      <c r="L1632" t="str">
        <f t="shared" si="50"/>
        <v>4-1-2023</v>
      </c>
      <c r="M1632">
        <f t="shared" si="51"/>
        <v>2023</v>
      </c>
    </row>
    <row r="1633" spans="1:13" x14ac:dyDescent="0.2">
      <c r="A1633" s="1">
        <v>44949</v>
      </c>
      <c r="B1633">
        <v>4</v>
      </c>
      <c r="C1633">
        <v>1</v>
      </c>
      <c r="D1633">
        <v>1</v>
      </c>
      <c r="E1633" t="s">
        <v>48</v>
      </c>
      <c r="F1633">
        <v>0</v>
      </c>
      <c r="G1633">
        <f>INDEX(weekly!$E$2:$E$188,MATCH('Marketing Campaigns 22.11.22'!L1633,weekly!$H$2:$H$188,0))</f>
        <v>5598.9296774193535</v>
      </c>
      <c r="H1633">
        <f>INDEX(weekly!$D$2:$D$188,MATCH('Marketing Campaigns 22.11.22'!L1633,weekly!$H$2:$H$188,0))</f>
        <v>12035.149677419355</v>
      </c>
      <c r="I1633">
        <f>INDEX(weekly!$F$2:$F$188,MATCH('Marketing Campaigns 22.11.22'!L1633,weekly!$H$2:$H$188,0))</f>
        <v>6653.612903225805</v>
      </c>
      <c r="J1633">
        <v>0</v>
      </c>
      <c r="K1633">
        <v>0</v>
      </c>
      <c r="L1633" t="str">
        <f t="shared" si="50"/>
        <v>4-1-2023</v>
      </c>
      <c r="M1633">
        <f t="shared" si="51"/>
        <v>2023</v>
      </c>
    </row>
    <row r="1634" spans="1:13" x14ac:dyDescent="0.2">
      <c r="A1634" s="1">
        <v>44949</v>
      </c>
      <c r="B1634">
        <v>4</v>
      </c>
      <c r="C1634">
        <v>1</v>
      </c>
      <c r="D1634">
        <v>1</v>
      </c>
      <c r="E1634" t="s">
        <v>49</v>
      </c>
      <c r="F1634">
        <v>0</v>
      </c>
      <c r="G1634">
        <f>INDEX(weekly!$E$2:$E$188,MATCH('Marketing Campaigns 22.11.22'!L1634,weekly!$H$2:$H$188,0))</f>
        <v>5598.9296774193535</v>
      </c>
      <c r="H1634">
        <f>INDEX(weekly!$D$2:$D$188,MATCH('Marketing Campaigns 22.11.22'!L1634,weekly!$H$2:$H$188,0))</f>
        <v>12035.149677419355</v>
      </c>
      <c r="I1634">
        <f>INDEX(weekly!$F$2:$F$188,MATCH('Marketing Campaigns 22.11.22'!L1634,weekly!$H$2:$H$188,0))</f>
        <v>6653.612903225805</v>
      </c>
      <c r="J1634">
        <v>0</v>
      </c>
      <c r="K1634">
        <v>0</v>
      </c>
      <c r="L1634" t="str">
        <f t="shared" si="50"/>
        <v>4-1-2023</v>
      </c>
      <c r="M1634">
        <f t="shared" si="51"/>
        <v>2023</v>
      </c>
    </row>
    <row r="1635" spans="1:13" x14ac:dyDescent="0.2">
      <c r="A1635" s="1">
        <v>44949</v>
      </c>
      <c r="B1635">
        <v>4</v>
      </c>
      <c r="C1635">
        <v>1</v>
      </c>
      <c r="D1635">
        <v>1</v>
      </c>
      <c r="E1635" t="s">
        <v>50</v>
      </c>
      <c r="F1635">
        <v>0</v>
      </c>
      <c r="G1635">
        <f>INDEX(weekly!$E$2:$E$188,MATCH('Marketing Campaigns 22.11.22'!L1635,weekly!$H$2:$H$188,0))</f>
        <v>5598.9296774193535</v>
      </c>
      <c r="H1635">
        <f>INDEX(weekly!$D$2:$D$188,MATCH('Marketing Campaigns 22.11.22'!L1635,weekly!$H$2:$H$188,0))</f>
        <v>12035.149677419355</v>
      </c>
      <c r="I1635">
        <f>INDEX(weekly!$F$2:$F$188,MATCH('Marketing Campaigns 22.11.22'!L1635,weekly!$H$2:$H$188,0))</f>
        <v>6653.612903225805</v>
      </c>
      <c r="J1635">
        <v>0</v>
      </c>
      <c r="K1635">
        <v>0</v>
      </c>
      <c r="L1635" t="str">
        <f t="shared" si="50"/>
        <v>4-1-2023</v>
      </c>
      <c r="M1635">
        <f t="shared" si="51"/>
        <v>2023</v>
      </c>
    </row>
    <row r="1636" spans="1:13" x14ac:dyDescent="0.2">
      <c r="A1636" s="1">
        <v>44949</v>
      </c>
      <c r="B1636">
        <v>4</v>
      </c>
      <c r="C1636">
        <v>1</v>
      </c>
      <c r="D1636">
        <v>1</v>
      </c>
      <c r="E1636" t="s">
        <v>51</v>
      </c>
      <c r="F1636">
        <v>0</v>
      </c>
      <c r="G1636">
        <f>INDEX(weekly!$E$2:$E$188,MATCH('Marketing Campaigns 22.11.22'!L1636,weekly!$H$2:$H$188,0))</f>
        <v>5598.9296774193535</v>
      </c>
      <c r="H1636">
        <f>INDEX(weekly!$D$2:$D$188,MATCH('Marketing Campaigns 22.11.22'!L1636,weekly!$H$2:$H$188,0))</f>
        <v>12035.149677419355</v>
      </c>
      <c r="I1636">
        <f>INDEX(weekly!$F$2:$F$188,MATCH('Marketing Campaigns 22.11.22'!L1636,weekly!$H$2:$H$188,0))</f>
        <v>6653.612903225805</v>
      </c>
      <c r="J1636">
        <v>0</v>
      </c>
      <c r="K1636">
        <v>0</v>
      </c>
      <c r="L1636" t="str">
        <f t="shared" si="50"/>
        <v>4-1-2023</v>
      </c>
      <c r="M1636">
        <f t="shared" si="51"/>
        <v>2023</v>
      </c>
    </row>
    <row r="1637" spans="1:13" x14ac:dyDescent="0.2">
      <c r="A1637" s="1">
        <v>44949</v>
      </c>
      <c r="B1637">
        <v>4</v>
      </c>
      <c r="C1637">
        <v>1</v>
      </c>
      <c r="D1637">
        <v>1</v>
      </c>
      <c r="E1637" t="s">
        <v>52</v>
      </c>
      <c r="F1637">
        <v>0</v>
      </c>
      <c r="G1637">
        <f>INDEX(weekly!$E$2:$E$188,MATCH('Marketing Campaigns 22.11.22'!L1637,weekly!$H$2:$H$188,0))</f>
        <v>5598.9296774193535</v>
      </c>
      <c r="H1637">
        <f>INDEX(weekly!$D$2:$D$188,MATCH('Marketing Campaigns 22.11.22'!L1637,weekly!$H$2:$H$188,0))</f>
        <v>12035.149677419355</v>
      </c>
      <c r="I1637">
        <f>INDEX(weekly!$F$2:$F$188,MATCH('Marketing Campaigns 22.11.22'!L1637,weekly!$H$2:$H$188,0))</f>
        <v>6653.612903225805</v>
      </c>
      <c r="J1637">
        <v>0</v>
      </c>
      <c r="K1637">
        <v>0</v>
      </c>
      <c r="L1637" t="str">
        <f t="shared" si="50"/>
        <v>4-1-2023</v>
      </c>
      <c r="M1637">
        <f t="shared" si="51"/>
        <v>2023</v>
      </c>
    </row>
    <row r="1638" spans="1:13" x14ac:dyDescent="0.2">
      <c r="A1638" s="1">
        <v>44956</v>
      </c>
      <c r="B1638">
        <v>5</v>
      </c>
      <c r="C1638">
        <v>2</v>
      </c>
      <c r="D1638">
        <v>1</v>
      </c>
      <c r="E1638" t="s">
        <v>24</v>
      </c>
      <c r="F1638">
        <v>0</v>
      </c>
      <c r="G1638">
        <f>INDEX(weekly!$E$2:$E$188,MATCH('Marketing Campaigns 22.11.22'!L1638,weekly!$H$2:$H$188,0))</f>
        <v>4325.6321428571428</v>
      </c>
      <c r="H1638">
        <f>INDEX(weekly!$D$2:$D$188,MATCH('Marketing Campaigns 22.11.22'!L1638,weekly!$H$2:$H$188,0))</f>
        <v>9531.25</v>
      </c>
      <c r="I1638">
        <f>INDEX(weekly!$F$2:$F$188,MATCH('Marketing Campaigns 22.11.22'!L1638,weekly!$H$2:$H$188,0))</f>
        <v>4741.625</v>
      </c>
      <c r="J1638">
        <v>0</v>
      </c>
      <c r="K1638">
        <v>0</v>
      </c>
      <c r="L1638" t="str">
        <f t="shared" si="50"/>
        <v>5-2-2023</v>
      </c>
      <c r="M1638">
        <f t="shared" si="51"/>
        <v>2023</v>
      </c>
    </row>
    <row r="1639" spans="1:13" x14ac:dyDescent="0.2">
      <c r="A1639" s="1">
        <v>44956</v>
      </c>
      <c r="B1639">
        <v>5</v>
      </c>
      <c r="C1639">
        <v>2</v>
      </c>
      <c r="D1639">
        <v>1</v>
      </c>
      <c r="E1639" t="s">
        <v>39</v>
      </c>
      <c r="F1639">
        <v>0</v>
      </c>
      <c r="G1639">
        <f>INDEX(weekly!$E$2:$E$188,MATCH('Marketing Campaigns 22.11.22'!L1639,weekly!$H$2:$H$188,0))</f>
        <v>4325.6321428571428</v>
      </c>
      <c r="H1639">
        <f>INDEX(weekly!$D$2:$D$188,MATCH('Marketing Campaigns 22.11.22'!L1639,weekly!$H$2:$H$188,0))</f>
        <v>9531.25</v>
      </c>
      <c r="I1639">
        <f>INDEX(weekly!$F$2:$F$188,MATCH('Marketing Campaigns 22.11.22'!L1639,weekly!$H$2:$H$188,0))</f>
        <v>4741.625</v>
      </c>
      <c r="J1639">
        <v>0</v>
      </c>
      <c r="K1639">
        <v>0</v>
      </c>
      <c r="L1639" t="str">
        <f t="shared" si="50"/>
        <v>5-2-2023</v>
      </c>
      <c r="M1639">
        <f t="shared" si="51"/>
        <v>2023</v>
      </c>
    </row>
    <row r="1640" spans="1:13" x14ac:dyDescent="0.2">
      <c r="A1640" s="1">
        <v>44956</v>
      </c>
      <c r="B1640">
        <v>5</v>
      </c>
      <c r="C1640">
        <v>2</v>
      </c>
      <c r="D1640">
        <v>1</v>
      </c>
      <c r="E1640" t="s">
        <v>40</v>
      </c>
      <c r="F1640">
        <v>0</v>
      </c>
      <c r="G1640">
        <f>INDEX(weekly!$E$2:$E$188,MATCH('Marketing Campaigns 22.11.22'!L1640,weekly!$H$2:$H$188,0))</f>
        <v>4325.6321428571428</v>
      </c>
      <c r="H1640">
        <f>INDEX(weekly!$D$2:$D$188,MATCH('Marketing Campaigns 22.11.22'!L1640,weekly!$H$2:$H$188,0))</f>
        <v>9531.25</v>
      </c>
      <c r="I1640">
        <f>INDEX(weekly!$F$2:$F$188,MATCH('Marketing Campaigns 22.11.22'!L1640,weekly!$H$2:$H$188,0))</f>
        <v>4741.625</v>
      </c>
      <c r="J1640">
        <v>0</v>
      </c>
      <c r="K1640">
        <v>0</v>
      </c>
      <c r="L1640" t="str">
        <f t="shared" si="50"/>
        <v>5-2-2023</v>
      </c>
      <c r="M1640">
        <f t="shared" si="51"/>
        <v>2023</v>
      </c>
    </row>
    <row r="1641" spans="1:13" x14ac:dyDescent="0.2">
      <c r="A1641" s="1">
        <v>44956</v>
      </c>
      <c r="B1641">
        <v>5</v>
      </c>
      <c r="C1641">
        <v>2</v>
      </c>
      <c r="D1641">
        <v>1</v>
      </c>
      <c r="E1641" t="s">
        <v>41</v>
      </c>
      <c r="F1641">
        <v>0</v>
      </c>
      <c r="G1641">
        <f>INDEX(weekly!$E$2:$E$188,MATCH('Marketing Campaigns 22.11.22'!L1641,weekly!$H$2:$H$188,0))</f>
        <v>4325.6321428571428</v>
      </c>
      <c r="H1641">
        <f>INDEX(weekly!$D$2:$D$188,MATCH('Marketing Campaigns 22.11.22'!L1641,weekly!$H$2:$H$188,0))</f>
        <v>9531.25</v>
      </c>
      <c r="I1641">
        <f>INDEX(weekly!$F$2:$F$188,MATCH('Marketing Campaigns 22.11.22'!L1641,weekly!$H$2:$H$188,0))</f>
        <v>4741.625</v>
      </c>
      <c r="J1641">
        <v>0</v>
      </c>
      <c r="K1641">
        <v>0</v>
      </c>
      <c r="L1641" t="str">
        <f t="shared" si="50"/>
        <v>5-2-2023</v>
      </c>
      <c r="M1641">
        <f t="shared" si="51"/>
        <v>2023</v>
      </c>
    </row>
    <row r="1642" spans="1:13" x14ac:dyDescent="0.2">
      <c r="A1642" s="1">
        <v>44956</v>
      </c>
      <c r="B1642">
        <v>5</v>
      </c>
      <c r="C1642">
        <v>2</v>
      </c>
      <c r="D1642">
        <v>1</v>
      </c>
      <c r="E1642" t="s">
        <v>42</v>
      </c>
      <c r="F1642">
        <v>0</v>
      </c>
      <c r="G1642">
        <f>INDEX(weekly!$E$2:$E$188,MATCH('Marketing Campaigns 22.11.22'!L1642,weekly!$H$2:$H$188,0))</f>
        <v>4325.6321428571428</v>
      </c>
      <c r="H1642">
        <f>INDEX(weekly!$D$2:$D$188,MATCH('Marketing Campaigns 22.11.22'!L1642,weekly!$H$2:$H$188,0))</f>
        <v>9531.25</v>
      </c>
      <c r="I1642">
        <f>INDEX(weekly!$F$2:$F$188,MATCH('Marketing Campaigns 22.11.22'!L1642,weekly!$H$2:$H$188,0))</f>
        <v>4741.625</v>
      </c>
      <c r="J1642">
        <v>0</v>
      </c>
      <c r="K1642">
        <v>0</v>
      </c>
      <c r="L1642" t="str">
        <f t="shared" si="50"/>
        <v>5-2-2023</v>
      </c>
      <c r="M1642">
        <f t="shared" si="51"/>
        <v>2023</v>
      </c>
    </row>
    <row r="1643" spans="1:13" x14ac:dyDescent="0.2">
      <c r="A1643" s="1">
        <v>44956</v>
      </c>
      <c r="B1643">
        <v>5</v>
      </c>
      <c r="C1643">
        <v>2</v>
      </c>
      <c r="D1643">
        <v>1</v>
      </c>
      <c r="E1643" t="s">
        <v>43</v>
      </c>
      <c r="F1643">
        <v>0</v>
      </c>
      <c r="G1643">
        <f>INDEX(weekly!$E$2:$E$188,MATCH('Marketing Campaigns 22.11.22'!L1643,weekly!$H$2:$H$188,0))</f>
        <v>4325.6321428571428</v>
      </c>
      <c r="H1643">
        <f>INDEX(weekly!$D$2:$D$188,MATCH('Marketing Campaigns 22.11.22'!L1643,weekly!$H$2:$H$188,0))</f>
        <v>9531.25</v>
      </c>
      <c r="I1643">
        <f>INDEX(weekly!$F$2:$F$188,MATCH('Marketing Campaigns 22.11.22'!L1643,weekly!$H$2:$H$188,0))</f>
        <v>4741.625</v>
      </c>
      <c r="J1643">
        <v>0</v>
      </c>
      <c r="K1643">
        <v>0</v>
      </c>
      <c r="L1643" t="str">
        <f t="shared" si="50"/>
        <v>5-2-2023</v>
      </c>
      <c r="M1643">
        <f t="shared" si="51"/>
        <v>2023</v>
      </c>
    </row>
    <row r="1644" spans="1:13" x14ac:dyDescent="0.2">
      <c r="A1644" s="1">
        <v>44956</v>
      </c>
      <c r="B1644">
        <v>5</v>
      </c>
      <c r="C1644">
        <v>2</v>
      </c>
      <c r="D1644">
        <v>1</v>
      </c>
      <c r="E1644" t="s">
        <v>44</v>
      </c>
      <c r="F1644">
        <v>0</v>
      </c>
      <c r="G1644">
        <f>INDEX(weekly!$E$2:$E$188,MATCH('Marketing Campaigns 22.11.22'!L1644,weekly!$H$2:$H$188,0))</f>
        <v>4325.6321428571428</v>
      </c>
      <c r="H1644">
        <f>INDEX(weekly!$D$2:$D$188,MATCH('Marketing Campaigns 22.11.22'!L1644,weekly!$H$2:$H$188,0))</f>
        <v>9531.25</v>
      </c>
      <c r="I1644">
        <f>INDEX(weekly!$F$2:$F$188,MATCH('Marketing Campaigns 22.11.22'!L1644,weekly!$H$2:$H$188,0))</f>
        <v>4741.625</v>
      </c>
      <c r="J1644">
        <v>0</v>
      </c>
      <c r="K1644">
        <v>0</v>
      </c>
      <c r="L1644" t="str">
        <f t="shared" si="50"/>
        <v>5-2-2023</v>
      </c>
      <c r="M1644">
        <f t="shared" si="51"/>
        <v>2023</v>
      </c>
    </row>
    <row r="1645" spans="1:13" x14ac:dyDescent="0.2">
      <c r="A1645" s="1">
        <v>44956</v>
      </c>
      <c r="B1645">
        <v>5</v>
      </c>
      <c r="C1645">
        <v>2</v>
      </c>
      <c r="D1645">
        <v>1</v>
      </c>
      <c r="E1645" t="s">
        <v>45</v>
      </c>
      <c r="F1645">
        <v>0</v>
      </c>
      <c r="G1645">
        <f>INDEX(weekly!$E$2:$E$188,MATCH('Marketing Campaigns 22.11.22'!L1645,weekly!$H$2:$H$188,0))</f>
        <v>4325.6321428571428</v>
      </c>
      <c r="H1645">
        <f>INDEX(weekly!$D$2:$D$188,MATCH('Marketing Campaigns 22.11.22'!L1645,weekly!$H$2:$H$188,0))</f>
        <v>9531.25</v>
      </c>
      <c r="I1645">
        <f>INDEX(weekly!$F$2:$F$188,MATCH('Marketing Campaigns 22.11.22'!L1645,weekly!$H$2:$H$188,0))</f>
        <v>4741.625</v>
      </c>
      <c r="J1645">
        <v>0</v>
      </c>
      <c r="K1645">
        <v>0</v>
      </c>
      <c r="L1645" t="str">
        <f t="shared" si="50"/>
        <v>5-2-2023</v>
      </c>
      <c r="M1645">
        <f t="shared" si="51"/>
        <v>2023</v>
      </c>
    </row>
    <row r="1646" spans="1:13" x14ac:dyDescent="0.2">
      <c r="A1646" s="1">
        <v>44956</v>
      </c>
      <c r="B1646">
        <v>5</v>
      </c>
      <c r="C1646">
        <v>2</v>
      </c>
      <c r="D1646">
        <v>1</v>
      </c>
      <c r="E1646" t="s">
        <v>46</v>
      </c>
      <c r="F1646">
        <v>0</v>
      </c>
      <c r="G1646">
        <f>INDEX(weekly!$E$2:$E$188,MATCH('Marketing Campaigns 22.11.22'!L1646,weekly!$H$2:$H$188,0))</f>
        <v>4325.6321428571428</v>
      </c>
      <c r="H1646">
        <f>INDEX(weekly!$D$2:$D$188,MATCH('Marketing Campaigns 22.11.22'!L1646,weekly!$H$2:$H$188,0))</f>
        <v>9531.25</v>
      </c>
      <c r="I1646">
        <f>INDEX(weekly!$F$2:$F$188,MATCH('Marketing Campaigns 22.11.22'!L1646,weekly!$H$2:$H$188,0))</f>
        <v>4741.625</v>
      </c>
      <c r="J1646">
        <v>0</v>
      </c>
      <c r="K1646">
        <v>0</v>
      </c>
      <c r="L1646" t="str">
        <f t="shared" si="50"/>
        <v>5-2-2023</v>
      </c>
      <c r="M1646">
        <f t="shared" si="51"/>
        <v>2023</v>
      </c>
    </row>
    <row r="1647" spans="1:13" x14ac:dyDescent="0.2">
      <c r="A1647" s="1">
        <v>44956</v>
      </c>
      <c r="B1647">
        <v>5</v>
      </c>
      <c r="C1647">
        <v>2</v>
      </c>
      <c r="D1647">
        <v>1</v>
      </c>
      <c r="E1647" t="s">
        <v>47</v>
      </c>
      <c r="F1647">
        <v>0</v>
      </c>
      <c r="G1647">
        <f>INDEX(weekly!$E$2:$E$188,MATCH('Marketing Campaigns 22.11.22'!L1647,weekly!$H$2:$H$188,0))</f>
        <v>4325.6321428571428</v>
      </c>
      <c r="H1647">
        <f>INDEX(weekly!$D$2:$D$188,MATCH('Marketing Campaigns 22.11.22'!L1647,weekly!$H$2:$H$188,0))</f>
        <v>9531.25</v>
      </c>
      <c r="I1647">
        <f>INDEX(weekly!$F$2:$F$188,MATCH('Marketing Campaigns 22.11.22'!L1647,weekly!$H$2:$H$188,0))</f>
        <v>4741.625</v>
      </c>
      <c r="J1647">
        <v>0</v>
      </c>
      <c r="K1647">
        <v>0</v>
      </c>
      <c r="L1647" t="str">
        <f t="shared" si="50"/>
        <v>5-2-2023</v>
      </c>
      <c r="M1647">
        <f t="shared" si="51"/>
        <v>2023</v>
      </c>
    </row>
    <row r="1648" spans="1:13" x14ac:dyDescent="0.2">
      <c r="A1648" s="1">
        <v>44956</v>
      </c>
      <c r="B1648">
        <v>5</v>
      </c>
      <c r="C1648">
        <v>2</v>
      </c>
      <c r="D1648">
        <v>1</v>
      </c>
      <c r="E1648" t="s">
        <v>48</v>
      </c>
      <c r="F1648">
        <v>0</v>
      </c>
      <c r="G1648">
        <f>INDEX(weekly!$E$2:$E$188,MATCH('Marketing Campaigns 22.11.22'!L1648,weekly!$H$2:$H$188,0))</f>
        <v>4325.6321428571428</v>
      </c>
      <c r="H1648">
        <f>INDEX(weekly!$D$2:$D$188,MATCH('Marketing Campaigns 22.11.22'!L1648,weekly!$H$2:$H$188,0))</f>
        <v>9531.25</v>
      </c>
      <c r="I1648">
        <f>INDEX(weekly!$F$2:$F$188,MATCH('Marketing Campaigns 22.11.22'!L1648,weekly!$H$2:$H$188,0))</f>
        <v>4741.625</v>
      </c>
      <c r="J1648">
        <v>0</v>
      </c>
      <c r="K1648">
        <v>0</v>
      </c>
      <c r="L1648" t="str">
        <f t="shared" si="50"/>
        <v>5-2-2023</v>
      </c>
      <c r="M1648">
        <f t="shared" si="51"/>
        <v>2023</v>
      </c>
    </row>
    <row r="1649" spans="1:13" x14ac:dyDescent="0.2">
      <c r="A1649" s="1">
        <v>44956</v>
      </c>
      <c r="B1649">
        <v>5</v>
      </c>
      <c r="C1649">
        <v>2</v>
      </c>
      <c r="D1649">
        <v>1</v>
      </c>
      <c r="E1649" t="s">
        <v>49</v>
      </c>
      <c r="F1649">
        <v>0</v>
      </c>
      <c r="G1649">
        <f>INDEX(weekly!$E$2:$E$188,MATCH('Marketing Campaigns 22.11.22'!L1649,weekly!$H$2:$H$188,0))</f>
        <v>4325.6321428571428</v>
      </c>
      <c r="H1649">
        <f>INDEX(weekly!$D$2:$D$188,MATCH('Marketing Campaigns 22.11.22'!L1649,weekly!$H$2:$H$188,0))</f>
        <v>9531.25</v>
      </c>
      <c r="I1649">
        <f>INDEX(weekly!$F$2:$F$188,MATCH('Marketing Campaigns 22.11.22'!L1649,weekly!$H$2:$H$188,0))</f>
        <v>4741.625</v>
      </c>
      <c r="J1649">
        <v>0</v>
      </c>
      <c r="K1649">
        <v>0</v>
      </c>
      <c r="L1649" t="str">
        <f t="shared" si="50"/>
        <v>5-2-2023</v>
      </c>
      <c r="M1649">
        <f t="shared" si="51"/>
        <v>2023</v>
      </c>
    </row>
    <row r="1650" spans="1:13" x14ac:dyDescent="0.2">
      <c r="A1650" s="1">
        <v>44956</v>
      </c>
      <c r="B1650">
        <v>5</v>
      </c>
      <c r="C1650">
        <v>2</v>
      </c>
      <c r="D1650">
        <v>1</v>
      </c>
      <c r="E1650" t="s">
        <v>50</v>
      </c>
      <c r="F1650">
        <v>0</v>
      </c>
      <c r="G1650">
        <f>INDEX(weekly!$E$2:$E$188,MATCH('Marketing Campaigns 22.11.22'!L1650,weekly!$H$2:$H$188,0))</f>
        <v>4325.6321428571428</v>
      </c>
      <c r="H1650">
        <f>INDEX(weekly!$D$2:$D$188,MATCH('Marketing Campaigns 22.11.22'!L1650,weekly!$H$2:$H$188,0))</f>
        <v>9531.25</v>
      </c>
      <c r="I1650">
        <f>INDEX(weekly!$F$2:$F$188,MATCH('Marketing Campaigns 22.11.22'!L1650,weekly!$H$2:$H$188,0))</f>
        <v>4741.625</v>
      </c>
      <c r="J1650">
        <v>0</v>
      </c>
      <c r="K1650">
        <v>0</v>
      </c>
      <c r="L1650" t="str">
        <f t="shared" si="50"/>
        <v>5-2-2023</v>
      </c>
      <c r="M1650">
        <f t="shared" si="51"/>
        <v>2023</v>
      </c>
    </row>
    <row r="1651" spans="1:13" x14ac:dyDescent="0.2">
      <c r="A1651" s="1">
        <v>44956</v>
      </c>
      <c r="B1651">
        <v>5</v>
      </c>
      <c r="C1651">
        <v>2</v>
      </c>
      <c r="D1651">
        <v>1</v>
      </c>
      <c r="E1651" t="s">
        <v>51</v>
      </c>
      <c r="F1651">
        <v>0</v>
      </c>
      <c r="G1651">
        <f>INDEX(weekly!$E$2:$E$188,MATCH('Marketing Campaigns 22.11.22'!L1651,weekly!$H$2:$H$188,0))</f>
        <v>4325.6321428571428</v>
      </c>
      <c r="H1651">
        <f>INDEX(weekly!$D$2:$D$188,MATCH('Marketing Campaigns 22.11.22'!L1651,weekly!$H$2:$H$188,0))</f>
        <v>9531.25</v>
      </c>
      <c r="I1651">
        <f>INDEX(weekly!$F$2:$F$188,MATCH('Marketing Campaigns 22.11.22'!L1651,weekly!$H$2:$H$188,0))</f>
        <v>4741.625</v>
      </c>
      <c r="J1651">
        <v>0</v>
      </c>
      <c r="K1651">
        <v>0</v>
      </c>
      <c r="L1651" t="str">
        <f t="shared" si="50"/>
        <v>5-2-2023</v>
      </c>
      <c r="M1651">
        <f t="shared" si="51"/>
        <v>2023</v>
      </c>
    </row>
    <row r="1652" spans="1:13" x14ac:dyDescent="0.2">
      <c r="A1652" s="1">
        <v>44956</v>
      </c>
      <c r="B1652">
        <v>5</v>
      </c>
      <c r="C1652">
        <v>2</v>
      </c>
      <c r="D1652">
        <v>1</v>
      </c>
      <c r="E1652" t="s">
        <v>52</v>
      </c>
      <c r="F1652">
        <v>0</v>
      </c>
      <c r="G1652">
        <f>INDEX(weekly!$E$2:$E$188,MATCH('Marketing Campaigns 22.11.22'!L1652,weekly!$H$2:$H$188,0))</f>
        <v>4325.6321428571428</v>
      </c>
      <c r="H1652">
        <f>INDEX(weekly!$D$2:$D$188,MATCH('Marketing Campaigns 22.11.22'!L1652,weekly!$H$2:$H$188,0))</f>
        <v>9531.25</v>
      </c>
      <c r="I1652">
        <f>INDEX(weekly!$F$2:$F$188,MATCH('Marketing Campaigns 22.11.22'!L1652,weekly!$H$2:$H$188,0))</f>
        <v>4741.625</v>
      </c>
      <c r="J1652">
        <v>0</v>
      </c>
      <c r="K1652">
        <v>0</v>
      </c>
      <c r="L1652" t="str">
        <f t="shared" si="50"/>
        <v>5-2-2023</v>
      </c>
      <c r="M1652">
        <f t="shared" si="51"/>
        <v>2023</v>
      </c>
    </row>
    <row r="1653" spans="1:13" x14ac:dyDescent="0.2">
      <c r="A1653" s="1">
        <v>44963</v>
      </c>
      <c r="B1653">
        <v>6</v>
      </c>
      <c r="C1653">
        <v>2</v>
      </c>
      <c r="D1653">
        <v>1</v>
      </c>
      <c r="E1653" t="s">
        <v>24</v>
      </c>
      <c r="F1653">
        <v>0</v>
      </c>
      <c r="G1653">
        <f>INDEX(weekly!$E$2:$E$188,MATCH('Marketing Campaigns 22.11.22'!L1653,weekly!$H$2:$H$188,0))</f>
        <v>6055.8850000000002</v>
      </c>
      <c r="H1653">
        <f>INDEX(weekly!$D$2:$D$188,MATCH('Marketing Campaigns 22.11.22'!L1653,weekly!$H$2:$H$188,0))</f>
        <v>13343.75</v>
      </c>
      <c r="I1653">
        <f>INDEX(weekly!$F$2:$F$188,MATCH('Marketing Campaigns 22.11.22'!L1653,weekly!$H$2:$H$188,0))</f>
        <v>6638.2749999999996</v>
      </c>
      <c r="J1653">
        <v>0</v>
      </c>
      <c r="K1653">
        <v>0</v>
      </c>
      <c r="L1653" t="str">
        <f t="shared" si="50"/>
        <v>6-2-2023</v>
      </c>
      <c r="M1653">
        <f t="shared" si="51"/>
        <v>2023</v>
      </c>
    </row>
    <row r="1654" spans="1:13" x14ac:dyDescent="0.2">
      <c r="A1654" s="1">
        <v>44963</v>
      </c>
      <c r="B1654">
        <v>6</v>
      </c>
      <c r="C1654">
        <v>2</v>
      </c>
      <c r="D1654">
        <v>1</v>
      </c>
      <c r="E1654" t="s">
        <v>39</v>
      </c>
      <c r="F1654">
        <v>0</v>
      </c>
      <c r="G1654">
        <f>INDEX(weekly!$E$2:$E$188,MATCH('Marketing Campaigns 22.11.22'!L1654,weekly!$H$2:$H$188,0))</f>
        <v>6055.8850000000002</v>
      </c>
      <c r="H1654">
        <f>INDEX(weekly!$D$2:$D$188,MATCH('Marketing Campaigns 22.11.22'!L1654,weekly!$H$2:$H$188,0))</f>
        <v>13343.75</v>
      </c>
      <c r="I1654">
        <f>INDEX(weekly!$F$2:$F$188,MATCH('Marketing Campaigns 22.11.22'!L1654,weekly!$H$2:$H$188,0))</f>
        <v>6638.2749999999996</v>
      </c>
      <c r="J1654">
        <v>0</v>
      </c>
      <c r="K1654">
        <v>0</v>
      </c>
      <c r="L1654" t="str">
        <f t="shared" si="50"/>
        <v>6-2-2023</v>
      </c>
      <c r="M1654">
        <f t="shared" si="51"/>
        <v>2023</v>
      </c>
    </row>
    <row r="1655" spans="1:13" x14ac:dyDescent="0.2">
      <c r="A1655" s="1">
        <v>44963</v>
      </c>
      <c r="B1655">
        <v>6</v>
      </c>
      <c r="C1655">
        <v>2</v>
      </c>
      <c r="D1655">
        <v>1</v>
      </c>
      <c r="E1655" t="s">
        <v>40</v>
      </c>
      <c r="F1655">
        <v>0</v>
      </c>
      <c r="G1655">
        <f>INDEX(weekly!$E$2:$E$188,MATCH('Marketing Campaigns 22.11.22'!L1655,weekly!$H$2:$H$188,0))</f>
        <v>6055.8850000000002</v>
      </c>
      <c r="H1655">
        <f>INDEX(weekly!$D$2:$D$188,MATCH('Marketing Campaigns 22.11.22'!L1655,weekly!$H$2:$H$188,0))</f>
        <v>13343.75</v>
      </c>
      <c r="I1655">
        <f>INDEX(weekly!$F$2:$F$188,MATCH('Marketing Campaigns 22.11.22'!L1655,weekly!$H$2:$H$188,0))</f>
        <v>6638.2749999999996</v>
      </c>
      <c r="J1655">
        <v>0</v>
      </c>
      <c r="K1655">
        <v>0</v>
      </c>
      <c r="L1655" t="str">
        <f t="shared" si="50"/>
        <v>6-2-2023</v>
      </c>
      <c r="M1655">
        <f t="shared" si="51"/>
        <v>2023</v>
      </c>
    </row>
    <row r="1656" spans="1:13" x14ac:dyDescent="0.2">
      <c r="A1656" s="1">
        <v>44963</v>
      </c>
      <c r="B1656">
        <v>6</v>
      </c>
      <c r="C1656">
        <v>2</v>
      </c>
      <c r="D1656">
        <v>1</v>
      </c>
      <c r="E1656" t="s">
        <v>41</v>
      </c>
      <c r="F1656">
        <v>0</v>
      </c>
      <c r="G1656">
        <f>INDEX(weekly!$E$2:$E$188,MATCH('Marketing Campaigns 22.11.22'!L1656,weekly!$H$2:$H$188,0))</f>
        <v>6055.8850000000002</v>
      </c>
      <c r="H1656">
        <f>INDEX(weekly!$D$2:$D$188,MATCH('Marketing Campaigns 22.11.22'!L1656,weekly!$H$2:$H$188,0))</f>
        <v>13343.75</v>
      </c>
      <c r="I1656">
        <f>INDEX(weekly!$F$2:$F$188,MATCH('Marketing Campaigns 22.11.22'!L1656,weekly!$H$2:$H$188,0))</f>
        <v>6638.2749999999996</v>
      </c>
      <c r="J1656">
        <v>0</v>
      </c>
      <c r="K1656">
        <v>0</v>
      </c>
      <c r="L1656" t="str">
        <f t="shared" si="50"/>
        <v>6-2-2023</v>
      </c>
      <c r="M1656">
        <f t="shared" si="51"/>
        <v>2023</v>
      </c>
    </row>
    <row r="1657" spans="1:13" x14ac:dyDescent="0.2">
      <c r="A1657" s="1">
        <v>44963</v>
      </c>
      <c r="B1657">
        <v>6</v>
      </c>
      <c r="C1657">
        <v>2</v>
      </c>
      <c r="D1657">
        <v>1</v>
      </c>
      <c r="E1657" t="s">
        <v>42</v>
      </c>
      <c r="F1657">
        <v>0</v>
      </c>
      <c r="G1657">
        <f>INDEX(weekly!$E$2:$E$188,MATCH('Marketing Campaigns 22.11.22'!L1657,weekly!$H$2:$H$188,0))</f>
        <v>6055.8850000000002</v>
      </c>
      <c r="H1657">
        <f>INDEX(weekly!$D$2:$D$188,MATCH('Marketing Campaigns 22.11.22'!L1657,weekly!$H$2:$H$188,0))</f>
        <v>13343.75</v>
      </c>
      <c r="I1657">
        <f>INDEX(weekly!$F$2:$F$188,MATCH('Marketing Campaigns 22.11.22'!L1657,weekly!$H$2:$H$188,0))</f>
        <v>6638.2749999999996</v>
      </c>
      <c r="J1657">
        <v>0</v>
      </c>
      <c r="K1657">
        <v>0</v>
      </c>
      <c r="L1657" t="str">
        <f t="shared" si="50"/>
        <v>6-2-2023</v>
      </c>
      <c r="M1657">
        <f t="shared" si="51"/>
        <v>2023</v>
      </c>
    </row>
    <row r="1658" spans="1:13" x14ac:dyDescent="0.2">
      <c r="A1658" s="1">
        <v>44963</v>
      </c>
      <c r="B1658">
        <v>6</v>
      </c>
      <c r="C1658">
        <v>2</v>
      </c>
      <c r="D1658">
        <v>1</v>
      </c>
      <c r="E1658" t="s">
        <v>43</v>
      </c>
      <c r="F1658">
        <v>0</v>
      </c>
      <c r="G1658">
        <f>INDEX(weekly!$E$2:$E$188,MATCH('Marketing Campaigns 22.11.22'!L1658,weekly!$H$2:$H$188,0))</f>
        <v>6055.8850000000002</v>
      </c>
      <c r="H1658">
        <f>INDEX(weekly!$D$2:$D$188,MATCH('Marketing Campaigns 22.11.22'!L1658,weekly!$H$2:$H$188,0))</f>
        <v>13343.75</v>
      </c>
      <c r="I1658">
        <f>INDEX(weekly!$F$2:$F$188,MATCH('Marketing Campaigns 22.11.22'!L1658,weekly!$H$2:$H$188,0))</f>
        <v>6638.2749999999996</v>
      </c>
      <c r="J1658">
        <v>0</v>
      </c>
      <c r="K1658">
        <v>0</v>
      </c>
      <c r="L1658" t="str">
        <f t="shared" si="50"/>
        <v>6-2-2023</v>
      </c>
      <c r="M1658">
        <f t="shared" si="51"/>
        <v>2023</v>
      </c>
    </row>
    <row r="1659" spans="1:13" x14ac:dyDescent="0.2">
      <c r="A1659" s="1">
        <v>44963</v>
      </c>
      <c r="B1659">
        <v>6</v>
      </c>
      <c r="C1659">
        <v>2</v>
      </c>
      <c r="D1659">
        <v>1</v>
      </c>
      <c r="E1659" t="s">
        <v>44</v>
      </c>
      <c r="F1659">
        <v>0</v>
      </c>
      <c r="G1659">
        <f>INDEX(weekly!$E$2:$E$188,MATCH('Marketing Campaigns 22.11.22'!L1659,weekly!$H$2:$H$188,0))</f>
        <v>6055.8850000000002</v>
      </c>
      <c r="H1659">
        <f>INDEX(weekly!$D$2:$D$188,MATCH('Marketing Campaigns 22.11.22'!L1659,weekly!$H$2:$H$188,0))</f>
        <v>13343.75</v>
      </c>
      <c r="I1659">
        <f>INDEX(weekly!$F$2:$F$188,MATCH('Marketing Campaigns 22.11.22'!L1659,weekly!$H$2:$H$188,0))</f>
        <v>6638.2749999999996</v>
      </c>
      <c r="J1659">
        <v>0</v>
      </c>
      <c r="K1659">
        <v>0</v>
      </c>
      <c r="L1659" t="str">
        <f t="shared" si="50"/>
        <v>6-2-2023</v>
      </c>
      <c r="M1659">
        <f t="shared" si="51"/>
        <v>2023</v>
      </c>
    </row>
    <row r="1660" spans="1:13" x14ac:dyDescent="0.2">
      <c r="A1660" s="1">
        <v>44963</v>
      </c>
      <c r="B1660">
        <v>6</v>
      </c>
      <c r="C1660">
        <v>2</v>
      </c>
      <c r="D1660">
        <v>1</v>
      </c>
      <c r="E1660" t="s">
        <v>45</v>
      </c>
      <c r="F1660">
        <v>0</v>
      </c>
      <c r="G1660">
        <f>INDEX(weekly!$E$2:$E$188,MATCH('Marketing Campaigns 22.11.22'!L1660,weekly!$H$2:$H$188,0))</f>
        <v>6055.8850000000002</v>
      </c>
      <c r="H1660">
        <f>INDEX(weekly!$D$2:$D$188,MATCH('Marketing Campaigns 22.11.22'!L1660,weekly!$H$2:$H$188,0))</f>
        <v>13343.75</v>
      </c>
      <c r="I1660">
        <f>INDEX(weekly!$F$2:$F$188,MATCH('Marketing Campaigns 22.11.22'!L1660,weekly!$H$2:$H$188,0))</f>
        <v>6638.2749999999996</v>
      </c>
      <c r="J1660">
        <v>0</v>
      </c>
      <c r="K1660">
        <v>0</v>
      </c>
      <c r="L1660" t="str">
        <f t="shared" si="50"/>
        <v>6-2-2023</v>
      </c>
      <c r="M1660">
        <f t="shared" si="51"/>
        <v>2023</v>
      </c>
    </row>
    <row r="1661" spans="1:13" x14ac:dyDescent="0.2">
      <c r="A1661" s="1">
        <v>44963</v>
      </c>
      <c r="B1661">
        <v>6</v>
      </c>
      <c r="C1661">
        <v>2</v>
      </c>
      <c r="D1661">
        <v>1</v>
      </c>
      <c r="E1661" t="s">
        <v>46</v>
      </c>
      <c r="F1661">
        <v>0</v>
      </c>
      <c r="G1661">
        <f>INDEX(weekly!$E$2:$E$188,MATCH('Marketing Campaigns 22.11.22'!L1661,weekly!$H$2:$H$188,0))</f>
        <v>6055.8850000000002</v>
      </c>
      <c r="H1661">
        <f>INDEX(weekly!$D$2:$D$188,MATCH('Marketing Campaigns 22.11.22'!L1661,weekly!$H$2:$H$188,0))</f>
        <v>13343.75</v>
      </c>
      <c r="I1661">
        <f>INDEX(weekly!$F$2:$F$188,MATCH('Marketing Campaigns 22.11.22'!L1661,weekly!$H$2:$H$188,0))</f>
        <v>6638.2749999999996</v>
      </c>
      <c r="J1661">
        <v>0</v>
      </c>
      <c r="K1661">
        <v>0</v>
      </c>
      <c r="L1661" t="str">
        <f t="shared" si="50"/>
        <v>6-2-2023</v>
      </c>
      <c r="M1661">
        <f t="shared" si="51"/>
        <v>2023</v>
      </c>
    </row>
    <row r="1662" spans="1:13" x14ac:dyDescent="0.2">
      <c r="A1662" s="1">
        <v>44963</v>
      </c>
      <c r="B1662">
        <v>6</v>
      </c>
      <c r="C1662">
        <v>2</v>
      </c>
      <c r="D1662">
        <v>1</v>
      </c>
      <c r="E1662" t="s">
        <v>47</v>
      </c>
      <c r="F1662">
        <v>0</v>
      </c>
      <c r="G1662">
        <f>INDEX(weekly!$E$2:$E$188,MATCH('Marketing Campaigns 22.11.22'!L1662,weekly!$H$2:$H$188,0))</f>
        <v>6055.8850000000002</v>
      </c>
      <c r="H1662">
        <f>INDEX(weekly!$D$2:$D$188,MATCH('Marketing Campaigns 22.11.22'!L1662,weekly!$H$2:$H$188,0))</f>
        <v>13343.75</v>
      </c>
      <c r="I1662">
        <f>INDEX(weekly!$F$2:$F$188,MATCH('Marketing Campaigns 22.11.22'!L1662,weekly!$H$2:$H$188,0))</f>
        <v>6638.2749999999996</v>
      </c>
      <c r="J1662">
        <v>0</v>
      </c>
      <c r="K1662">
        <v>0</v>
      </c>
      <c r="L1662" t="str">
        <f t="shared" si="50"/>
        <v>6-2-2023</v>
      </c>
      <c r="M1662">
        <f t="shared" si="51"/>
        <v>2023</v>
      </c>
    </row>
    <row r="1663" spans="1:13" x14ac:dyDescent="0.2">
      <c r="A1663" s="1">
        <v>44963</v>
      </c>
      <c r="B1663">
        <v>6</v>
      </c>
      <c r="C1663">
        <v>2</v>
      </c>
      <c r="D1663">
        <v>1</v>
      </c>
      <c r="E1663" t="s">
        <v>48</v>
      </c>
      <c r="F1663">
        <v>0</v>
      </c>
      <c r="G1663">
        <f>INDEX(weekly!$E$2:$E$188,MATCH('Marketing Campaigns 22.11.22'!L1663,weekly!$H$2:$H$188,0))</f>
        <v>6055.8850000000002</v>
      </c>
      <c r="H1663">
        <f>INDEX(weekly!$D$2:$D$188,MATCH('Marketing Campaigns 22.11.22'!L1663,weekly!$H$2:$H$188,0))</f>
        <v>13343.75</v>
      </c>
      <c r="I1663">
        <f>INDEX(weekly!$F$2:$F$188,MATCH('Marketing Campaigns 22.11.22'!L1663,weekly!$H$2:$H$188,0))</f>
        <v>6638.2749999999996</v>
      </c>
      <c r="J1663">
        <v>0</v>
      </c>
      <c r="K1663">
        <v>0</v>
      </c>
      <c r="L1663" t="str">
        <f t="shared" si="50"/>
        <v>6-2-2023</v>
      </c>
      <c r="M1663">
        <f t="shared" si="51"/>
        <v>2023</v>
      </c>
    </row>
    <row r="1664" spans="1:13" x14ac:dyDescent="0.2">
      <c r="A1664" s="1">
        <v>44963</v>
      </c>
      <c r="B1664">
        <v>6</v>
      </c>
      <c r="C1664">
        <v>2</v>
      </c>
      <c r="D1664">
        <v>1</v>
      </c>
      <c r="E1664" t="s">
        <v>49</v>
      </c>
      <c r="F1664">
        <v>0</v>
      </c>
      <c r="G1664">
        <f>INDEX(weekly!$E$2:$E$188,MATCH('Marketing Campaigns 22.11.22'!L1664,weekly!$H$2:$H$188,0))</f>
        <v>6055.8850000000002</v>
      </c>
      <c r="H1664">
        <f>INDEX(weekly!$D$2:$D$188,MATCH('Marketing Campaigns 22.11.22'!L1664,weekly!$H$2:$H$188,0))</f>
        <v>13343.75</v>
      </c>
      <c r="I1664">
        <f>INDEX(weekly!$F$2:$F$188,MATCH('Marketing Campaigns 22.11.22'!L1664,weekly!$H$2:$H$188,0))</f>
        <v>6638.2749999999996</v>
      </c>
      <c r="J1664">
        <v>0</v>
      </c>
      <c r="K1664">
        <v>0</v>
      </c>
      <c r="L1664" t="str">
        <f t="shared" si="50"/>
        <v>6-2-2023</v>
      </c>
      <c r="M1664">
        <f t="shared" si="51"/>
        <v>2023</v>
      </c>
    </row>
    <row r="1665" spans="1:13" x14ac:dyDescent="0.2">
      <c r="A1665" s="1">
        <v>44963</v>
      </c>
      <c r="B1665">
        <v>6</v>
      </c>
      <c r="C1665">
        <v>2</v>
      </c>
      <c r="D1665">
        <v>1</v>
      </c>
      <c r="E1665" t="s">
        <v>50</v>
      </c>
      <c r="F1665">
        <v>0</v>
      </c>
      <c r="G1665">
        <f>INDEX(weekly!$E$2:$E$188,MATCH('Marketing Campaigns 22.11.22'!L1665,weekly!$H$2:$H$188,0))</f>
        <v>6055.8850000000002</v>
      </c>
      <c r="H1665">
        <f>INDEX(weekly!$D$2:$D$188,MATCH('Marketing Campaigns 22.11.22'!L1665,weekly!$H$2:$H$188,0))</f>
        <v>13343.75</v>
      </c>
      <c r="I1665">
        <f>INDEX(weekly!$F$2:$F$188,MATCH('Marketing Campaigns 22.11.22'!L1665,weekly!$H$2:$H$188,0))</f>
        <v>6638.2749999999996</v>
      </c>
      <c r="J1665">
        <v>0</v>
      </c>
      <c r="K1665">
        <v>0</v>
      </c>
      <c r="L1665" t="str">
        <f t="shared" si="50"/>
        <v>6-2-2023</v>
      </c>
      <c r="M1665">
        <f t="shared" si="51"/>
        <v>2023</v>
      </c>
    </row>
    <row r="1666" spans="1:13" x14ac:dyDescent="0.2">
      <c r="A1666" s="1">
        <v>44963</v>
      </c>
      <c r="B1666">
        <v>6</v>
      </c>
      <c r="C1666">
        <v>2</v>
      </c>
      <c r="D1666">
        <v>1</v>
      </c>
      <c r="E1666" t="s">
        <v>51</v>
      </c>
      <c r="F1666">
        <v>0</v>
      </c>
      <c r="G1666">
        <f>INDEX(weekly!$E$2:$E$188,MATCH('Marketing Campaigns 22.11.22'!L1666,weekly!$H$2:$H$188,0))</f>
        <v>6055.8850000000002</v>
      </c>
      <c r="H1666">
        <f>INDEX(weekly!$D$2:$D$188,MATCH('Marketing Campaigns 22.11.22'!L1666,weekly!$H$2:$H$188,0))</f>
        <v>13343.75</v>
      </c>
      <c r="I1666">
        <f>INDEX(weekly!$F$2:$F$188,MATCH('Marketing Campaigns 22.11.22'!L1666,weekly!$H$2:$H$188,0))</f>
        <v>6638.2749999999996</v>
      </c>
      <c r="J1666">
        <v>0</v>
      </c>
      <c r="K1666">
        <v>0</v>
      </c>
      <c r="L1666" t="str">
        <f t="shared" si="50"/>
        <v>6-2-2023</v>
      </c>
      <c r="M1666">
        <f t="shared" si="51"/>
        <v>2023</v>
      </c>
    </row>
    <row r="1667" spans="1:13" x14ac:dyDescent="0.2">
      <c r="A1667" s="1">
        <v>44963</v>
      </c>
      <c r="B1667">
        <v>6</v>
      </c>
      <c r="C1667">
        <v>2</v>
      </c>
      <c r="D1667">
        <v>1</v>
      </c>
      <c r="E1667" t="s">
        <v>52</v>
      </c>
      <c r="F1667">
        <v>0</v>
      </c>
      <c r="G1667">
        <f>INDEX(weekly!$E$2:$E$188,MATCH('Marketing Campaigns 22.11.22'!L1667,weekly!$H$2:$H$188,0))</f>
        <v>6055.8850000000002</v>
      </c>
      <c r="H1667">
        <f>INDEX(weekly!$D$2:$D$188,MATCH('Marketing Campaigns 22.11.22'!L1667,weekly!$H$2:$H$188,0))</f>
        <v>13343.75</v>
      </c>
      <c r="I1667">
        <f>INDEX(weekly!$F$2:$F$188,MATCH('Marketing Campaigns 22.11.22'!L1667,weekly!$H$2:$H$188,0))</f>
        <v>6638.2749999999996</v>
      </c>
      <c r="J1667">
        <v>0</v>
      </c>
      <c r="K1667">
        <v>0</v>
      </c>
      <c r="L1667" t="str">
        <f t="shared" si="50"/>
        <v>6-2-2023</v>
      </c>
      <c r="M1667">
        <f t="shared" si="51"/>
        <v>2023</v>
      </c>
    </row>
    <row r="1668" spans="1:13" x14ac:dyDescent="0.2">
      <c r="A1668" s="1">
        <v>44970</v>
      </c>
      <c r="B1668">
        <v>7</v>
      </c>
      <c r="C1668">
        <v>2</v>
      </c>
      <c r="D1668">
        <v>1</v>
      </c>
      <c r="E1668" t="s">
        <v>24</v>
      </c>
      <c r="F1668">
        <v>0</v>
      </c>
      <c r="G1668">
        <f>INDEX(weekly!$E$2:$E$188,MATCH('Marketing Campaigns 22.11.22'!L1668,weekly!$H$2:$H$188,0))</f>
        <v>6055.8850000000002</v>
      </c>
      <c r="H1668">
        <f>INDEX(weekly!$D$2:$D$188,MATCH('Marketing Campaigns 22.11.22'!L1668,weekly!$H$2:$H$188,0))</f>
        <v>13343.75</v>
      </c>
      <c r="I1668">
        <f>INDEX(weekly!$F$2:$F$188,MATCH('Marketing Campaigns 22.11.22'!L1668,weekly!$H$2:$H$188,0))</f>
        <v>6638.2749999999996</v>
      </c>
      <c r="J1668">
        <v>0</v>
      </c>
      <c r="K1668">
        <v>0</v>
      </c>
      <c r="L1668" t="str">
        <f t="shared" ref="L1668:L1731" si="52">B1668&amp;"-"&amp;C1668&amp;"-"&amp;M1668</f>
        <v>7-2-2023</v>
      </c>
      <c r="M1668">
        <f t="shared" ref="M1668:M1731" si="53">YEAR(A1668)</f>
        <v>2023</v>
      </c>
    </row>
    <row r="1669" spans="1:13" x14ac:dyDescent="0.2">
      <c r="A1669" s="1">
        <v>44970</v>
      </c>
      <c r="B1669">
        <v>7</v>
      </c>
      <c r="C1669">
        <v>2</v>
      </c>
      <c r="D1669">
        <v>1</v>
      </c>
      <c r="E1669" t="s">
        <v>39</v>
      </c>
      <c r="F1669">
        <v>0</v>
      </c>
      <c r="G1669">
        <f>INDEX(weekly!$E$2:$E$188,MATCH('Marketing Campaigns 22.11.22'!L1669,weekly!$H$2:$H$188,0))</f>
        <v>6055.8850000000002</v>
      </c>
      <c r="H1669">
        <f>INDEX(weekly!$D$2:$D$188,MATCH('Marketing Campaigns 22.11.22'!L1669,weekly!$H$2:$H$188,0))</f>
        <v>13343.75</v>
      </c>
      <c r="I1669">
        <f>INDEX(weekly!$F$2:$F$188,MATCH('Marketing Campaigns 22.11.22'!L1669,weekly!$H$2:$H$188,0))</f>
        <v>6638.2749999999996</v>
      </c>
      <c r="J1669">
        <v>0</v>
      </c>
      <c r="K1669">
        <v>0</v>
      </c>
      <c r="L1669" t="str">
        <f t="shared" si="52"/>
        <v>7-2-2023</v>
      </c>
      <c r="M1669">
        <f t="shared" si="53"/>
        <v>2023</v>
      </c>
    </row>
    <row r="1670" spans="1:13" x14ac:dyDescent="0.2">
      <c r="A1670" s="1">
        <v>44970</v>
      </c>
      <c r="B1670">
        <v>7</v>
      </c>
      <c r="C1670">
        <v>2</v>
      </c>
      <c r="D1670">
        <v>1</v>
      </c>
      <c r="E1670" t="s">
        <v>40</v>
      </c>
      <c r="F1670">
        <v>0</v>
      </c>
      <c r="G1670">
        <f>INDEX(weekly!$E$2:$E$188,MATCH('Marketing Campaigns 22.11.22'!L1670,weekly!$H$2:$H$188,0))</f>
        <v>6055.8850000000002</v>
      </c>
      <c r="H1670">
        <f>INDEX(weekly!$D$2:$D$188,MATCH('Marketing Campaigns 22.11.22'!L1670,weekly!$H$2:$H$188,0))</f>
        <v>13343.75</v>
      </c>
      <c r="I1670">
        <f>INDEX(weekly!$F$2:$F$188,MATCH('Marketing Campaigns 22.11.22'!L1670,weekly!$H$2:$H$188,0))</f>
        <v>6638.2749999999996</v>
      </c>
      <c r="J1670">
        <v>0</v>
      </c>
      <c r="K1670">
        <v>0</v>
      </c>
      <c r="L1670" t="str">
        <f t="shared" si="52"/>
        <v>7-2-2023</v>
      </c>
      <c r="M1670">
        <f t="shared" si="53"/>
        <v>2023</v>
      </c>
    </row>
    <row r="1671" spans="1:13" x14ac:dyDescent="0.2">
      <c r="A1671" s="1">
        <v>44970</v>
      </c>
      <c r="B1671">
        <v>7</v>
      </c>
      <c r="C1671">
        <v>2</v>
      </c>
      <c r="D1671">
        <v>1</v>
      </c>
      <c r="E1671" t="s">
        <v>41</v>
      </c>
      <c r="F1671">
        <v>0</v>
      </c>
      <c r="G1671">
        <f>INDEX(weekly!$E$2:$E$188,MATCH('Marketing Campaigns 22.11.22'!L1671,weekly!$H$2:$H$188,0))</f>
        <v>6055.8850000000002</v>
      </c>
      <c r="H1671">
        <f>INDEX(weekly!$D$2:$D$188,MATCH('Marketing Campaigns 22.11.22'!L1671,weekly!$H$2:$H$188,0))</f>
        <v>13343.75</v>
      </c>
      <c r="I1671">
        <f>INDEX(weekly!$F$2:$F$188,MATCH('Marketing Campaigns 22.11.22'!L1671,weekly!$H$2:$H$188,0))</f>
        <v>6638.2749999999996</v>
      </c>
      <c r="J1671">
        <v>0</v>
      </c>
      <c r="K1671">
        <v>0</v>
      </c>
      <c r="L1671" t="str">
        <f t="shared" si="52"/>
        <v>7-2-2023</v>
      </c>
      <c r="M1671">
        <f t="shared" si="53"/>
        <v>2023</v>
      </c>
    </row>
    <row r="1672" spans="1:13" x14ac:dyDescent="0.2">
      <c r="A1672" s="1">
        <v>44970</v>
      </c>
      <c r="B1672">
        <v>7</v>
      </c>
      <c r="C1672">
        <v>2</v>
      </c>
      <c r="D1672">
        <v>1</v>
      </c>
      <c r="E1672" t="s">
        <v>42</v>
      </c>
      <c r="F1672">
        <v>0</v>
      </c>
      <c r="G1672">
        <f>INDEX(weekly!$E$2:$E$188,MATCH('Marketing Campaigns 22.11.22'!L1672,weekly!$H$2:$H$188,0))</f>
        <v>6055.8850000000002</v>
      </c>
      <c r="H1672">
        <f>INDEX(weekly!$D$2:$D$188,MATCH('Marketing Campaigns 22.11.22'!L1672,weekly!$H$2:$H$188,0))</f>
        <v>13343.75</v>
      </c>
      <c r="I1672">
        <f>INDEX(weekly!$F$2:$F$188,MATCH('Marketing Campaigns 22.11.22'!L1672,weekly!$H$2:$H$188,0))</f>
        <v>6638.2749999999996</v>
      </c>
      <c r="J1672">
        <v>0</v>
      </c>
      <c r="K1672">
        <v>0</v>
      </c>
      <c r="L1672" t="str">
        <f t="shared" si="52"/>
        <v>7-2-2023</v>
      </c>
      <c r="M1672">
        <f t="shared" si="53"/>
        <v>2023</v>
      </c>
    </row>
    <row r="1673" spans="1:13" x14ac:dyDescent="0.2">
      <c r="A1673" s="1">
        <v>44970</v>
      </c>
      <c r="B1673">
        <v>7</v>
      </c>
      <c r="C1673">
        <v>2</v>
      </c>
      <c r="D1673">
        <v>1</v>
      </c>
      <c r="E1673" t="s">
        <v>43</v>
      </c>
      <c r="F1673">
        <v>0</v>
      </c>
      <c r="G1673">
        <f>INDEX(weekly!$E$2:$E$188,MATCH('Marketing Campaigns 22.11.22'!L1673,weekly!$H$2:$H$188,0))</f>
        <v>6055.8850000000002</v>
      </c>
      <c r="H1673">
        <f>INDEX(weekly!$D$2:$D$188,MATCH('Marketing Campaigns 22.11.22'!L1673,weekly!$H$2:$H$188,0))</f>
        <v>13343.75</v>
      </c>
      <c r="I1673">
        <f>INDEX(weekly!$F$2:$F$188,MATCH('Marketing Campaigns 22.11.22'!L1673,weekly!$H$2:$H$188,0))</f>
        <v>6638.2749999999996</v>
      </c>
      <c r="J1673">
        <v>0</v>
      </c>
      <c r="K1673">
        <v>0</v>
      </c>
      <c r="L1673" t="str">
        <f t="shared" si="52"/>
        <v>7-2-2023</v>
      </c>
      <c r="M1673">
        <f t="shared" si="53"/>
        <v>2023</v>
      </c>
    </row>
    <row r="1674" spans="1:13" x14ac:dyDescent="0.2">
      <c r="A1674" s="1">
        <v>44970</v>
      </c>
      <c r="B1674">
        <v>7</v>
      </c>
      <c r="C1674">
        <v>2</v>
      </c>
      <c r="D1674">
        <v>1</v>
      </c>
      <c r="E1674" t="s">
        <v>44</v>
      </c>
      <c r="F1674">
        <v>0</v>
      </c>
      <c r="G1674">
        <f>INDEX(weekly!$E$2:$E$188,MATCH('Marketing Campaigns 22.11.22'!L1674,weekly!$H$2:$H$188,0))</f>
        <v>6055.8850000000002</v>
      </c>
      <c r="H1674">
        <f>INDEX(weekly!$D$2:$D$188,MATCH('Marketing Campaigns 22.11.22'!L1674,weekly!$H$2:$H$188,0))</f>
        <v>13343.75</v>
      </c>
      <c r="I1674">
        <f>INDEX(weekly!$F$2:$F$188,MATCH('Marketing Campaigns 22.11.22'!L1674,weekly!$H$2:$H$188,0))</f>
        <v>6638.2749999999996</v>
      </c>
      <c r="J1674">
        <v>0</v>
      </c>
      <c r="K1674">
        <v>0</v>
      </c>
      <c r="L1674" t="str">
        <f t="shared" si="52"/>
        <v>7-2-2023</v>
      </c>
      <c r="M1674">
        <f t="shared" si="53"/>
        <v>2023</v>
      </c>
    </row>
    <row r="1675" spans="1:13" x14ac:dyDescent="0.2">
      <c r="A1675" s="1">
        <v>44970</v>
      </c>
      <c r="B1675">
        <v>7</v>
      </c>
      <c r="C1675">
        <v>2</v>
      </c>
      <c r="D1675">
        <v>1</v>
      </c>
      <c r="E1675" t="s">
        <v>45</v>
      </c>
      <c r="F1675">
        <v>0</v>
      </c>
      <c r="G1675">
        <f>INDEX(weekly!$E$2:$E$188,MATCH('Marketing Campaigns 22.11.22'!L1675,weekly!$H$2:$H$188,0))</f>
        <v>6055.8850000000002</v>
      </c>
      <c r="H1675">
        <f>INDEX(weekly!$D$2:$D$188,MATCH('Marketing Campaigns 22.11.22'!L1675,weekly!$H$2:$H$188,0))</f>
        <v>13343.75</v>
      </c>
      <c r="I1675">
        <f>INDEX(weekly!$F$2:$F$188,MATCH('Marketing Campaigns 22.11.22'!L1675,weekly!$H$2:$H$188,0))</f>
        <v>6638.2749999999996</v>
      </c>
      <c r="J1675">
        <v>0</v>
      </c>
      <c r="K1675">
        <v>0</v>
      </c>
      <c r="L1675" t="str">
        <f t="shared" si="52"/>
        <v>7-2-2023</v>
      </c>
      <c r="M1675">
        <f t="shared" si="53"/>
        <v>2023</v>
      </c>
    </row>
    <row r="1676" spans="1:13" x14ac:dyDescent="0.2">
      <c r="A1676" s="1">
        <v>44970</v>
      </c>
      <c r="B1676">
        <v>7</v>
      </c>
      <c r="C1676">
        <v>2</v>
      </c>
      <c r="D1676">
        <v>1</v>
      </c>
      <c r="E1676" t="s">
        <v>46</v>
      </c>
      <c r="F1676">
        <v>0</v>
      </c>
      <c r="G1676">
        <f>INDEX(weekly!$E$2:$E$188,MATCH('Marketing Campaigns 22.11.22'!L1676,weekly!$H$2:$H$188,0))</f>
        <v>6055.8850000000002</v>
      </c>
      <c r="H1676">
        <f>INDEX(weekly!$D$2:$D$188,MATCH('Marketing Campaigns 22.11.22'!L1676,weekly!$H$2:$H$188,0))</f>
        <v>13343.75</v>
      </c>
      <c r="I1676">
        <f>INDEX(weekly!$F$2:$F$188,MATCH('Marketing Campaigns 22.11.22'!L1676,weekly!$H$2:$H$188,0))</f>
        <v>6638.2749999999996</v>
      </c>
      <c r="J1676">
        <v>0</v>
      </c>
      <c r="K1676">
        <v>0</v>
      </c>
      <c r="L1676" t="str">
        <f t="shared" si="52"/>
        <v>7-2-2023</v>
      </c>
      <c r="M1676">
        <f t="shared" si="53"/>
        <v>2023</v>
      </c>
    </row>
    <row r="1677" spans="1:13" x14ac:dyDescent="0.2">
      <c r="A1677" s="1">
        <v>44970</v>
      </c>
      <c r="B1677">
        <v>7</v>
      </c>
      <c r="C1677">
        <v>2</v>
      </c>
      <c r="D1677">
        <v>1</v>
      </c>
      <c r="E1677" t="s">
        <v>47</v>
      </c>
      <c r="F1677">
        <v>0</v>
      </c>
      <c r="G1677">
        <f>INDEX(weekly!$E$2:$E$188,MATCH('Marketing Campaigns 22.11.22'!L1677,weekly!$H$2:$H$188,0))</f>
        <v>6055.8850000000002</v>
      </c>
      <c r="H1677">
        <f>INDEX(weekly!$D$2:$D$188,MATCH('Marketing Campaigns 22.11.22'!L1677,weekly!$H$2:$H$188,0))</f>
        <v>13343.75</v>
      </c>
      <c r="I1677">
        <f>INDEX(weekly!$F$2:$F$188,MATCH('Marketing Campaigns 22.11.22'!L1677,weekly!$H$2:$H$188,0))</f>
        <v>6638.2749999999996</v>
      </c>
      <c r="J1677">
        <v>0</v>
      </c>
      <c r="K1677">
        <v>0</v>
      </c>
      <c r="L1677" t="str">
        <f t="shared" si="52"/>
        <v>7-2-2023</v>
      </c>
      <c r="M1677">
        <f t="shared" si="53"/>
        <v>2023</v>
      </c>
    </row>
    <row r="1678" spans="1:13" x14ac:dyDescent="0.2">
      <c r="A1678" s="1">
        <v>44970</v>
      </c>
      <c r="B1678">
        <v>7</v>
      </c>
      <c r="C1678">
        <v>2</v>
      </c>
      <c r="D1678">
        <v>1</v>
      </c>
      <c r="E1678" t="s">
        <v>48</v>
      </c>
      <c r="F1678">
        <v>0</v>
      </c>
      <c r="G1678">
        <f>INDEX(weekly!$E$2:$E$188,MATCH('Marketing Campaigns 22.11.22'!L1678,weekly!$H$2:$H$188,0))</f>
        <v>6055.8850000000002</v>
      </c>
      <c r="H1678">
        <f>INDEX(weekly!$D$2:$D$188,MATCH('Marketing Campaigns 22.11.22'!L1678,weekly!$H$2:$H$188,0))</f>
        <v>13343.75</v>
      </c>
      <c r="I1678">
        <f>INDEX(weekly!$F$2:$F$188,MATCH('Marketing Campaigns 22.11.22'!L1678,weekly!$H$2:$H$188,0))</f>
        <v>6638.2749999999996</v>
      </c>
      <c r="J1678">
        <v>0</v>
      </c>
      <c r="K1678">
        <v>0</v>
      </c>
      <c r="L1678" t="str">
        <f t="shared" si="52"/>
        <v>7-2-2023</v>
      </c>
      <c r="M1678">
        <f t="shared" si="53"/>
        <v>2023</v>
      </c>
    </row>
    <row r="1679" spans="1:13" x14ac:dyDescent="0.2">
      <c r="A1679" s="1">
        <v>44970</v>
      </c>
      <c r="B1679">
        <v>7</v>
      </c>
      <c r="C1679">
        <v>2</v>
      </c>
      <c r="D1679">
        <v>1</v>
      </c>
      <c r="E1679" t="s">
        <v>49</v>
      </c>
      <c r="F1679">
        <v>0</v>
      </c>
      <c r="G1679">
        <f>INDEX(weekly!$E$2:$E$188,MATCH('Marketing Campaigns 22.11.22'!L1679,weekly!$H$2:$H$188,0))</f>
        <v>6055.8850000000002</v>
      </c>
      <c r="H1679">
        <f>INDEX(weekly!$D$2:$D$188,MATCH('Marketing Campaigns 22.11.22'!L1679,weekly!$H$2:$H$188,0))</f>
        <v>13343.75</v>
      </c>
      <c r="I1679">
        <f>INDEX(weekly!$F$2:$F$188,MATCH('Marketing Campaigns 22.11.22'!L1679,weekly!$H$2:$H$188,0))</f>
        <v>6638.2749999999996</v>
      </c>
      <c r="J1679">
        <v>0</v>
      </c>
      <c r="K1679">
        <v>0</v>
      </c>
      <c r="L1679" t="str">
        <f t="shared" si="52"/>
        <v>7-2-2023</v>
      </c>
      <c r="M1679">
        <f t="shared" si="53"/>
        <v>2023</v>
      </c>
    </row>
    <row r="1680" spans="1:13" x14ac:dyDescent="0.2">
      <c r="A1680" s="1">
        <v>44970</v>
      </c>
      <c r="B1680">
        <v>7</v>
      </c>
      <c r="C1680">
        <v>2</v>
      </c>
      <c r="D1680">
        <v>1</v>
      </c>
      <c r="E1680" t="s">
        <v>50</v>
      </c>
      <c r="F1680">
        <v>0</v>
      </c>
      <c r="G1680">
        <f>INDEX(weekly!$E$2:$E$188,MATCH('Marketing Campaigns 22.11.22'!L1680,weekly!$H$2:$H$188,0))</f>
        <v>6055.8850000000002</v>
      </c>
      <c r="H1680">
        <f>INDEX(weekly!$D$2:$D$188,MATCH('Marketing Campaigns 22.11.22'!L1680,weekly!$H$2:$H$188,0))</f>
        <v>13343.75</v>
      </c>
      <c r="I1680">
        <f>INDEX(weekly!$F$2:$F$188,MATCH('Marketing Campaigns 22.11.22'!L1680,weekly!$H$2:$H$188,0))</f>
        <v>6638.2749999999996</v>
      </c>
      <c r="J1680">
        <v>0</v>
      </c>
      <c r="K1680">
        <v>0</v>
      </c>
      <c r="L1680" t="str">
        <f t="shared" si="52"/>
        <v>7-2-2023</v>
      </c>
      <c r="M1680">
        <f t="shared" si="53"/>
        <v>2023</v>
      </c>
    </row>
    <row r="1681" spans="1:13" x14ac:dyDescent="0.2">
      <c r="A1681" s="1">
        <v>44970</v>
      </c>
      <c r="B1681">
        <v>7</v>
      </c>
      <c r="C1681">
        <v>2</v>
      </c>
      <c r="D1681">
        <v>1</v>
      </c>
      <c r="E1681" t="s">
        <v>51</v>
      </c>
      <c r="F1681">
        <v>0</v>
      </c>
      <c r="G1681">
        <f>INDEX(weekly!$E$2:$E$188,MATCH('Marketing Campaigns 22.11.22'!L1681,weekly!$H$2:$H$188,0))</f>
        <v>6055.8850000000002</v>
      </c>
      <c r="H1681">
        <f>INDEX(weekly!$D$2:$D$188,MATCH('Marketing Campaigns 22.11.22'!L1681,weekly!$H$2:$H$188,0))</f>
        <v>13343.75</v>
      </c>
      <c r="I1681">
        <f>INDEX(weekly!$F$2:$F$188,MATCH('Marketing Campaigns 22.11.22'!L1681,weekly!$H$2:$H$188,0))</f>
        <v>6638.2749999999996</v>
      </c>
      <c r="J1681">
        <v>0</v>
      </c>
      <c r="K1681">
        <v>0</v>
      </c>
      <c r="L1681" t="str">
        <f t="shared" si="52"/>
        <v>7-2-2023</v>
      </c>
      <c r="M1681">
        <f t="shared" si="53"/>
        <v>2023</v>
      </c>
    </row>
    <row r="1682" spans="1:13" x14ac:dyDescent="0.2">
      <c r="A1682" s="1">
        <v>44970</v>
      </c>
      <c r="B1682">
        <v>7</v>
      </c>
      <c r="C1682">
        <v>2</v>
      </c>
      <c r="D1682">
        <v>1</v>
      </c>
      <c r="E1682" t="s">
        <v>52</v>
      </c>
      <c r="F1682">
        <v>0</v>
      </c>
      <c r="G1682">
        <f>INDEX(weekly!$E$2:$E$188,MATCH('Marketing Campaigns 22.11.22'!L1682,weekly!$H$2:$H$188,0))</f>
        <v>6055.8850000000002</v>
      </c>
      <c r="H1682">
        <f>INDEX(weekly!$D$2:$D$188,MATCH('Marketing Campaigns 22.11.22'!L1682,weekly!$H$2:$H$188,0))</f>
        <v>13343.75</v>
      </c>
      <c r="I1682">
        <f>INDEX(weekly!$F$2:$F$188,MATCH('Marketing Campaigns 22.11.22'!L1682,weekly!$H$2:$H$188,0))</f>
        <v>6638.2749999999996</v>
      </c>
      <c r="J1682">
        <v>0</v>
      </c>
      <c r="K1682">
        <v>0</v>
      </c>
      <c r="L1682" t="str">
        <f t="shared" si="52"/>
        <v>7-2-2023</v>
      </c>
      <c r="M1682">
        <f t="shared" si="53"/>
        <v>2023</v>
      </c>
    </row>
    <row r="1683" spans="1:13" x14ac:dyDescent="0.2">
      <c r="A1683" s="1">
        <v>44977</v>
      </c>
      <c r="B1683">
        <v>8</v>
      </c>
      <c r="C1683">
        <v>2</v>
      </c>
      <c r="D1683">
        <v>1</v>
      </c>
      <c r="E1683" t="s">
        <v>24</v>
      </c>
      <c r="F1683">
        <v>0</v>
      </c>
      <c r="G1683">
        <f>INDEX(weekly!$E$2:$E$188,MATCH('Marketing Campaigns 22.11.22'!L1683,weekly!$H$2:$H$188,0))</f>
        <v>6055.8850000000002</v>
      </c>
      <c r="H1683">
        <f>INDEX(weekly!$D$2:$D$188,MATCH('Marketing Campaigns 22.11.22'!L1683,weekly!$H$2:$H$188,0))</f>
        <v>13343.75</v>
      </c>
      <c r="I1683">
        <f>INDEX(weekly!$F$2:$F$188,MATCH('Marketing Campaigns 22.11.22'!L1683,weekly!$H$2:$H$188,0))</f>
        <v>6638.2749999999996</v>
      </c>
      <c r="J1683">
        <v>0</v>
      </c>
      <c r="K1683">
        <v>0</v>
      </c>
      <c r="L1683" t="str">
        <f t="shared" si="52"/>
        <v>8-2-2023</v>
      </c>
      <c r="M1683">
        <f t="shared" si="53"/>
        <v>2023</v>
      </c>
    </row>
    <row r="1684" spans="1:13" x14ac:dyDescent="0.2">
      <c r="A1684" s="1">
        <v>44977</v>
      </c>
      <c r="B1684">
        <v>8</v>
      </c>
      <c r="C1684">
        <v>2</v>
      </c>
      <c r="D1684">
        <v>1</v>
      </c>
      <c r="E1684" t="s">
        <v>39</v>
      </c>
      <c r="F1684">
        <v>0</v>
      </c>
      <c r="G1684">
        <f>INDEX(weekly!$E$2:$E$188,MATCH('Marketing Campaigns 22.11.22'!L1684,weekly!$H$2:$H$188,0))</f>
        <v>6055.8850000000002</v>
      </c>
      <c r="H1684">
        <f>INDEX(weekly!$D$2:$D$188,MATCH('Marketing Campaigns 22.11.22'!L1684,weekly!$H$2:$H$188,0))</f>
        <v>13343.75</v>
      </c>
      <c r="I1684">
        <f>INDEX(weekly!$F$2:$F$188,MATCH('Marketing Campaigns 22.11.22'!L1684,weekly!$H$2:$H$188,0))</f>
        <v>6638.2749999999996</v>
      </c>
      <c r="J1684">
        <v>0</v>
      </c>
      <c r="K1684">
        <v>0</v>
      </c>
      <c r="L1684" t="str">
        <f t="shared" si="52"/>
        <v>8-2-2023</v>
      </c>
      <c r="M1684">
        <f t="shared" si="53"/>
        <v>2023</v>
      </c>
    </row>
    <row r="1685" spans="1:13" x14ac:dyDescent="0.2">
      <c r="A1685" s="1">
        <v>44977</v>
      </c>
      <c r="B1685">
        <v>8</v>
      </c>
      <c r="C1685">
        <v>2</v>
      </c>
      <c r="D1685">
        <v>1</v>
      </c>
      <c r="E1685" t="s">
        <v>40</v>
      </c>
      <c r="F1685">
        <v>0</v>
      </c>
      <c r="G1685">
        <f>INDEX(weekly!$E$2:$E$188,MATCH('Marketing Campaigns 22.11.22'!L1685,weekly!$H$2:$H$188,0))</f>
        <v>6055.8850000000002</v>
      </c>
      <c r="H1685">
        <f>INDEX(weekly!$D$2:$D$188,MATCH('Marketing Campaigns 22.11.22'!L1685,weekly!$H$2:$H$188,0))</f>
        <v>13343.75</v>
      </c>
      <c r="I1685">
        <f>INDEX(weekly!$F$2:$F$188,MATCH('Marketing Campaigns 22.11.22'!L1685,weekly!$H$2:$H$188,0))</f>
        <v>6638.2749999999996</v>
      </c>
      <c r="J1685">
        <v>0</v>
      </c>
      <c r="K1685">
        <v>0</v>
      </c>
      <c r="L1685" t="str">
        <f t="shared" si="52"/>
        <v>8-2-2023</v>
      </c>
      <c r="M1685">
        <f t="shared" si="53"/>
        <v>2023</v>
      </c>
    </row>
    <row r="1686" spans="1:13" x14ac:dyDescent="0.2">
      <c r="A1686" s="1">
        <v>44977</v>
      </c>
      <c r="B1686">
        <v>8</v>
      </c>
      <c r="C1686">
        <v>2</v>
      </c>
      <c r="D1686">
        <v>1</v>
      </c>
      <c r="E1686" t="s">
        <v>41</v>
      </c>
      <c r="F1686">
        <v>0</v>
      </c>
      <c r="G1686">
        <f>INDEX(weekly!$E$2:$E$188,MATCH('Marketing Campaigns 22.11.22'!L1686,weekly!$H$2:$H$188,0))</f>
        <v>6055.8850000000002</v>
      </c>
      <c r="H1686">
        <f>INDEX(weekly!$D$2:$D$188,MATCH('Marketing Campaigns 22.11.22'!L1686,weekly!$H$2:$H$188,0))</f>
        <v>13343.75</v>
      </c>
      <c r="I1686">
        <f>INDEX(weekly!$F$2:$F$188,MATCH('Marketing Campaigns 22.11.22'!L1686,weekly!$H$2:$H$188,0))</f>
        <v>6638.2749999999996</v>
      </c>
      <c r="J1686">
        <v>0</v>
      </c>
      <c r="K1686">
        <v>0</v>
      </c>
      <c r="L1686" t="str">
        <f t="shared" si="52"/>
        <v>8-2-2023</v>
      </c>
      <c r="M1686">
        <f t="shared" si="53"/>
        <v>2023</v>
      </c>
    </row>
    <row r="1687" spans="1:13" x14ac:dyDescent="0.2">
      <c r="A1687" s="1">
        <v>44977</v>
      </c>
      <c r="B1687">
        <v>8</v>
      </c>
      <c r="C1687">
        <v>2</v>
      </c>
      <c r="D1687">
        <v>1</v>
      </c>
      <c r="E1687" t="s">
        <v>42</v>
      </c>
      <c r="F1687">
        <v>0</v>
      </c>
      <c r="G1687">
        <f>INDEX(weekly!$E$2:$E$188,MATCH('Marketing Campaigns 22.11.22'!L1687,weekly!$H$2:$H$188,0))</f>
        <v>6055.8850000000002</v>
      </c>
      <c r="H1687">
        <f>INDEX(weekly!$D$2:$D$188,MATCH('Marketing Campaigns 22.11.22'!L1687,weekly!$H$2:$H$188,0))</f>
        <v>13343.75</v>
      </c>
      <c r="I1687">
        <f>INDEX(weekly!$F$2:$F$188,MATCH('Marketing Campaigns 22.11.22'!L1687,weekly!$H$2:$H$188,0))</f>
        <v>6638.2749999999996</v>
      </c>
      <c r="J1687">
        <v>0</v>
      </c>
      <c r="K1687">
        <v>0</v>
      </c>
      <c r="L1687" t="str">
        <f t="shared" si="52"/>
        <v>8-2-2023</v>
      </c>
      <c r="M1687">
        <f t="shared" si="53"/>
        <v>2023</v>
      </c>
    </row>
    <row r="1688" spans="1:13" x14ac:dyDescent="0.2">
      <c r="A1688" s="1">
        <v>44977</v>
      </c>
      <c r="B1688">
        <v>8</v>
      </c>
      <c r="C1688">
        <v>2</v>
      </c>
      <c r="D1688">
        <v>1</v>
      </c>
      <c r="E1688" t="s">
        <v>43</v>
      </c>
      <c r="F1688">
        <v>0</v>
      </c>
      <c r="G1688">
        <f>INDEX(weekly!$E$2:$E$188,MATCH('Marketing Campaigns 22.11.22'!L1688,weekly!$H$2:$H$188,0))</f>
        <v>6055.8850000000002</v>
      </c>
      <c r="H1688">
        <f>INDEX(weekly!$D$2:$D$188,MATCH('Marketing Campaigns 22.11.22'!L1688,weekly!$H$2:$H$188,0))</f>
        <v>13343.75</v>
      </c>
      <c r="I1688">
        <f>INDEX(weekly!$F$2:$F$188,MATCH('Marketing Campaigns 22.11.22'!L1688,weekly!$H$2:$H$188,0))</f>
        <v>6638.2749999999996</v>
      </c>
      <c r="J1688">
        <v>0</v>
      </c>
      <c r="K1688">
        <v>0</v>
      </c>
      <c r="L1688" t="str">
        <f t="shared" si="52"/>
        <v>8-2-2023</v>
      </c>
      <c r="M1688">
        <f t="shared" si="53"/>
        <v>2023</v>
      </c>
    </row>
    <row r="1689" spans="1:13" x14ac:dyDescent="0.2">
      <c r="A1689" s="1">
        <v>44977</v>
      </c>
      <c r="B1689">
        <v>8</v>
      </c>
      <c r="C1689">
        <v>2</v>
      </c>
      <c r="D1689">
        <v>1</v>
      </c>
      <c r="E1689" t="s">
        <v>44</v>
      </c>
      <c r="F1689">
        <v>0</v>
      </c>
      <c r="G1689">
        <f>INDEX(weekly!$E$2:$E$188,MATCH('Marketing Campaigns 22.11.22'!L1689,weekly!$H$2:$H$188,0))</f>
        <v>6055.8850000000002</v>
      </c>
      <c r="H1689">
        <f>INDEX(weekly!$D$2:$D$188,MATCH('Marketing Campaigns 22.11.22'!L1689,weekly!$H$2:$H$188,0))</f>
        <v>13343.75</v>
      </c>
      <c r="I1689">
        <f>INDEX(weekly!$F$2:$F$188,MATCH('Marketing Campaigns 22.11.22'!L1689,weekly!$H$2:$H$188,0))</f>
        <v>6638.2749999999996</v>
      </c>
      <c r="J1689">
        <v>0</v>
      </c>
      <c r="K1689">
        <v>0</v>
      </c>
      <c r="L1689" t="str">
        <f t="shared" si="52"/>
        <v>8-2-2023</v>
      </c>
      <c r="M1689">
        <f t="shared" si="53"/>
        <v>2023</v>
      </c>
    </row>
    <row r="1690" spans="1:13" x14ac:dyDescent="0.2">
      <c r="A1690" s="1">
        <v>44977</v>
      </c>
      <c r="B1690">
        <v>8</v>
      </c>
      <c r="C1690">
        <v>2</v>
      </c>
      <c r="D1690">
        <v>1</v>
      </c>
      <c r="E1690" t="s">
        <v>45</v>
      </c>
      <c r="F1690">
        <v>0</v>
      </c>
      <c r="G1690">
        <f>INDEX(weekly!$E$2:$E$188,MATCH('Marketing Campaigns 22.11.22'!L1690,weekly!$H$2:$H$188,0))</f>
        <v>6055.8850000000002</v>
      </c>
      <c r="H1690">
        <f>INDEX(weekly!$D$2:$D$188,MATCH('Marketing Campaigns 22.11.22'!L1690,weekly!$H$2:$H$188,0))</f>
        <v>13343.75</v>
      </c>
      <c r="I1690">
        <f>INDEX(weekly!$F$2:$F$188,MATCH('Marketing Campaigns 22.11.22'!L1690,weekly!$H$2:$H$188,0))</f>
        <v>6638.2749999999996</v>
      </c>
      <c r="J1690">
        <v>0</v>
      </c>
      <c r="K1690">
        <v>0</v>
      </c>
      <c r="L1690" t="str">
        <f t="shared" si="52"/>
        <v>8-2-2023</v>
      </c>
      <c r="M1690">
        <f t="shared" si="53"/>
        <v>2023</v>
      </c>
    </row>
    <row r="1691" spans="1:13" x14ac:dyDescent="0.2">
      <c r="A1691" s="1">
        <v>44977</v>
      </c>
      <c r="B1691">
        <v>8</v>
      </c>
      <c r="C1691">
        <v>2</v>
      </c>
      <c r="D1691">
        <v>1</v>
      </c>
      <c r="E1691" t="s">
        <v>46</v>
      </c>
      <c r="F1691">
        <v>0</v>
      </c>
      <c r="G1691">
        <f>INDEX(weekly!$E$2:$E$188,MATCH('Marketing Campaigns 22.11.22'!L1691,weekly!$H$2:$H$188,0))</f>
        <v>6055.8850000000002</v>
      </c>
      <c r="H1691">
        <f>INDEX(weekly!$D$2:$D$188,MATCH('Marketing Campaigns 22.11.22'!L1691,weekly!$H$2:$H$188,0))</f>
        <v>13343.75</v>
      </c>
      <c r="I1691">
        <f>INDEX(weekly!$F$2:$F$188,MATCH('Marketing Campaigns 22.11.22'!L1691,weekly!$H$2:$H$188,0))</f>
        <v>6638.2749999999996</v>
      </c>
      <c r="J1691">
        <v>0</v>
      </c>
      <c r="K1691">
        <v>0</v>
      </c>
      <c r="L1691" t="str">
        <f t="shared" si="52"/>
        <v>8-2-2023</v>
      </c>
      <c r="M1691">
        <f t="shared" si="53"/>
        <v>2023</v>
      </c>
    </row>
    <row r="1692" spans="1:13" x14ac:dyDescent="0.2">
      <c r="A1692" s="1">
        <v>44977</v>
      </c>
      <c r="B1692">
        <v>8</v>
      </c>
      <c r="C1692">
        <v>2</v>
      </c>
      <c r="D1692">
        <v>1</v>
      </c>
      <c r="E1692" t="s">
        <v>47</v>
      </c>
      <c r="F1692">
        <v>0</v>
      </c>
      <c r="G1692">
        <f>INDEX(weekly!$E$2:$E$188,MATCH('Marketing Campaigns 22.11.22'!L1692,weekly!$H$2:$H$188,0))</f>
        <v>6055.8850000000002</v>
      </c>
      <c r="H1692">
        <f>INDEX(weekly!$D$2:$D$188,MATCH('Marketing Campaigns 22.11.22'!L1692,weekly!$H$2:$H$188,0))</f>
        <v>13343.75</v>
      </c>
      <c r="I1692">
        <f>INDEX(weekly!$F$2:$F$188,MATCH('Marketing Campaigns 22.11.22'!L1692,weekly!$H$2:$H$188,0))</f>
        <v>6638.2749999999996</v>
      </c>
      <c r="J1692">
        <v>0</v>
      </c>
      <c r="K1692">
        <v>0</v>
      </c>
      <c r="L1692" t="str">
        <f t="shared" si="52"/>
        <v>8-2-2023</v>
      </c>
      <c r="M1692">
        <f t="shared" si="53"/>
        <v>2023</v>
      </c>
    </row>
    <row r="1693" spans="1:13" x14ac:dyDescent="0.2">
      <c r="A1693" s="1">
        <v>44977</v>
      </c>
      <c r="B1693">
        <v>8</v>
      </c>
      <c r="C1693">
        <v>2</v>
      </c>
      <c r="D1693">
        <v>1</v>
      </c>
      <c r="E1693" t="s">
        <v>48</v>
      </c>
      <c r="F1693">
        <v>0</v>
      </c>
      <c r="G1693">
        <f>INDEX(weekly!$E$2:$E$188,MATCH('Marketing Campaigns 22.11.22'!L1693,weekly!$H$2:$H$188,0))</f>
        <v>6055.8850000000002</v>
      </c>
      <c r="H1693">
        <f>INDEX(weekly!$D$2:$D$188,MATCH('Marketing Campaigns 22.11.22'!L1693,weekly!$H$2:$H$188,0))</f>
        <v>13343.75</v>
      </c>
      <c r="I1693">
        <f>INDEX(weekly!$F$2:$F$188,MATCH('Marketing Campaigns 22.11.22'!L1693,weekly!$H$2:$H$188,0))</f>
        <v>6638.2749999999996</v>
      </c>
      <c r="J1693">
        <v>0</v>
      </c>
      <c r="K1693">
        <v>0</v>
      </c>
      <c r="L1693" t="str">
        <f t="shared" si="52"/>
        <v>8-2-2023</v>
      </c>
      <c r="M1693">
        <f t="shared" si="53"/>
        <v>2023</v>
      </c>
    </row>
    <row r="1694" spans="1:13" x14ac:dyDescent="0.2">
      <c r="A1694" s="1">
        <v>44977</v>
      </c>
      <c r="B1694">
        <v>8</v>
      </c>
      <c r="C1694">
        <v>2</v>
      </c>
      <c r="D1694">
        <v>1</v>
      </c>
      <c r="E1694" t="s">
        <v>49</v>
      </c>
      <c r="F1694">
        <v>0</v>
      </c>
      <c r="G1694">
        <f>INDEX(weekly!$E$2:$E$188,MATCH('Marketing Campaigns 22.11.22'!L1694,weekly!$H$2:$H$188,0))</f>
        <v>6055.8850000000002</v>
      </c>
      <c r="H1694">
        <f>INDEX(weekly!$D$2:$D$188,MATCH('Marketing Campaigns 22.11.22'!L1694,weekly!$H$2:$H$188,0))</f>
        <v>13343.75</v>
      </c>
      <c r="I1694">
        <f>INDEX(weekly!$F$2:$F$188,MATCH('Marketing Campaigns 22.11.22'!L1694,weekly!$H$2:$H$188,0))</f>
        <v>6638.2749999999996</v>
      </c>
      <c r="J1694">
        <v>0</v>
      </c>
      <c r="K1694">
        <v>0</v>
      </c>
      <c r="L1694" t="str">
        <f t="shared" si="52"/>
        <v>8-2-2023</v>
      </c>
      <c r="M1694">
        <f t="shared" si="53"/>
        <v>2023</v>
      </c>
    </row>
    <row r="1695" spans="1:13" x14ac:dyDescent="0.2">
      <c r="A1695" s="1">
        <v>44977</v>
      </c>
      <c r="B1695">
        <v>8</v>
      </c>
      <c r="C1695">
        <v>2</v>
      </c>
      <c r="D1695">
        <v>1</v>
      </c>
      <c r="E1695" t="s">
        <v>50</v>
      </c>
      <c r="F1695">
        <v>0</v>
      </c>
      <c r="G1695">
        <f>INDEX(weekly!$E$2:$E$188,MATCH('Marketing Campaigns 22.11.22'!L1695,weekly!$H$2:$H$188,0))</f>
        <v>6055.8850000000002</v>
      </c>
      <c r="H1695">
        <f>INDEX(weekly!$D$2:$D$188,MATCH('Marketing Campaigns 22.11.22'!L1695,weekly!$H$2:$H$188,0))</f>
        <v>13343.75</v>
      </c>
      <c r="I1695">
        <f>INDEX(weekly!$F$2:$F$188,MATCH('Marketing Campaigns 22.11.22'!L1695,weekly!$H$2:$H$188,0))</f>
        <v>6638.2749999999996</v>
      </c>
      <c r="J1695">
        <v>0</v>
      </c>
      <c r="K1695">
        <v>0</v>
      </c>
      <c r="L1695" t="str">
        <f t="shared" si="52"/>
        <v>8-2-2023</v>
      </c>
      <c r="M1695">
        <f t="shared" si="53"/>
        <v>2023</v>
      </c>
    </row>
    <row r="1696" spans="1:13" x14ac:dyDescent="0.2">
      <c r="A1696" s="1">
        <v>44977</v>
      </c>
      <c r="B1696">
        <v>8</v>
      </c>
      <c r="C1696">
        <v>2</v>
      </c>
      <c r="D1696">
        <v>1</v>
      </c>
      <c r="E1696" t="s">
        <v>51</v>
      </c>
      <c r="F1696">
        <v>0</v>
      </c>
      <c r="G1696">
        <f>INDEX(weekly!$E$2:$E$188,MATCH('Marketing Campaigns 22.11.22'!L1696,weekly!$H$2:$H$188,0))</f>
        <v>6055.8850000000002</v>
      </c>
      <c r="H1696">
        <f>INDEX(weekly!$D$2:$D$188,MATCH('Marketing Campaigns 22.11.22'!L1696,weekly!$H$2:$H$188,0))</f>
        <v>13343.75</v>
      </c>
      <c r="I1696">
        <f>INDEX(weekly!$F$2:$F$188,MATCH('Marketing Campaigns 22.11.22'!L1696,weekly!$H$2:$H$188,0))</f>
        <v>6638.2749999999996</v>
      </c>
      <c r="J1696">
        <v>0</v>
      </c>
      <c r="K1696">
        <v>0</v>
      </c>
      <c r="L1696" t="str">
        <f t="shared" si="52"/>
        <v>8-2-2023</v>
      </c>
      <c r="M1696">
        <f t="shared" si="53"/>
        <v>2023</v>
      </c>
    </row>
    <row r="1697" spans="1:13" x14ac:dyDescent="0.2">
      <c r="A1697" s="1">
        <v>44977</v>
      </c>
      <c r="B1697">
        <v>8</v>
      </c>
      <c r="C1697">
        <v>2</v>
      </c>
      <c r="D1697">
        <v>1</v>
      </c>
      <c r="E1697" t="s">
        <v>52</v>
      </c>
      <c r="F1697">
        <v>0</v>
      </c>
      <c r="G1697">
        <f>INDEX(weekly!$E$2:$E$188,MATCH('Marketing Campaigns 22.11.22'!L1697,weekly!$H$2:$H$188,0))</f>
        <v>6055.8850000000002</v>
      </c>
      <c r="H1697">
        <f>INDEX(weekly!$D$2:$D$188,MATCH('Marketing Campaigns 22.11.22'!L1697,weekly!$H$2:$H$188,0))</f>
        <v>13343.75</v>
      </c>
      <c r="I1697">
        <f>INDEX(weekly!$F$2:$F$188,MATCH('Marketing Campaigns 22.11.22'!L1697,weekly!$H$2:$H$188,0))</f>
        <v>6638.2749999999996</v>
      </c>
      <c r="J1697">
        <v>0</v>
      </c>
      <c r="K1697">
        <v>0</v>
      </c>
      <c r="L1697" t="str">
        <f t="shared" si="52"/>
        <v>8-2-2023</v>
      </c>
      <c r="M1697">
        <f t="shared" si="53"/>
        <v>2023</v>
      </c>
    </row>
    <row r="1698" spans="1:13" x14ac:dyDescent="0.2">
      <c r="A1698" s="1">
        <v>44984</v>
      </c>
      <c r="B1698">
        <v>9</v>
      </c>
      <c r="C1698">
        <v>3</v>
      </c>
      <c r="D1698">
        <v>1</v>
      </c>
      <c r="E1698" t="s">
        <v>24</v>
      </c>
      <c r="F1698">
        <v>0</v>
      </c>
      <c r="G1698">
        <f>INDEX(weekly!$E$2:$E$188,MATCH('Marketing Campaigns 22.11.22'!L1698,weekly!$H$2:$H$188,0))</f>
        <v>4176.2903225806449</v>
      </c>
      <c r="H1698">
        <f>INDEX(weekly!$D$2:$D$188,MATCH('Marketing Campaigns 22.11.22'!L1698,weekly!$H$2:$H$188,0))</f>
        <v>7345.3354838709683</v>
      </c>
      <c r="I1698">
        <f>INDEX(weekly!$F$2:$F$188,MATCH('Marketing Campaigns 22.11.22'!L1698,weekly!$H$2:$H$188,0))</f>
        <v>2304.1241935483872</v>
      </c>
      <c r="J1698">
        <v>0</v>
      </c>
      <c r="K1698">
        <v>0</v>
      </c>
      <c r="L1698" t="str">
        <f t="shared" si="52"/>
        <v>9-3-2023</v>
      </c>
      <c r="M1698">
        <f t="shared" si="53"/>
        <v>2023</v>
      </c>
    </row>
    <row r="1699" spans="1:13" x14ac:dyDescent="0.2">
      <c r="A1699" s="1">
        <v>44984</v>
      </c>
      <c r="B1699">
        <v>9</v>
      </c>
      <c r="C1699">
        <v>3</v>
      </c>
      <c r="D1699">
        <v>1</v>
      </c>
      <c r="E1699" t="s">
        <v>39</v>
      </c>
      <c r="F1699">
        <v>0</v>
      </c>
      <c r="G1699">
        <f>INDEX(weekly!$E$2:$E$188,MATCH('Marketing Campaigns 22.11.22'!L1699,weekly!$H$2:$H$188,0))</f>
        <v>4176.2903225806449</v>
      </c>
      <c r="H1699">
        <f>INDEX(weekly!$D$2:$D$188,MATCH('Marketing Campaigns 22.11.22'!L1699,weekly!$H$2:$H$188,0))</f>
        <v>7345.3354838709683</v>
      </c>
      <c r="I1699">
        <f>INDEX(weekly!$F$2:$F$188,MATCH('Marketing Campaigns 22.11.22'!L1699,weekly!$H$2:$H$188,0))</f>
        <v>2304.1241935483872</v>
      </c>
      <c r="J1699">
        <v>0</v>
      </c>
      <c r="K1699">
        <v>0</v>
      </c>
      <c r="L1699" t="str">
        <f t="shared" si="52"/>
        <v>9-3-2023</v>
      </c>
      <c r="M1699">
        <f t="shared" si="53"/>
        <v>2023</v>
      </c>
    </row>
    <row r="1700" spans="1:13" x14ac:dyDescent="0.2">
      <c r="A1700" s="1">
        <v>44984</v>
      </c>
      <c r="B1700">
        <v>9</v>
      </c>
      <c r="C1700">
        <v>3</v>
      </c>
      <c r="D1700">
        <v>1</v>
      </c>
      <c r="E1700" t="s">
        <v>40</v>
      </c>
      <c r="F1700">
        <v>0</v>
      </c>
      <c r="G1700">
        <f>INDEX(weekly!$E$2:$E$188,MATCH('Marketing Campaigns 22.11.22'!L1700,weekly!$H$2:$H$188,0))</f>
        <v>4176.2903225806449</v>
      </c>
      <c r="H1700">
        <f>INDEX(weekly!$D$2:$D$188,MATCH('Marketing Campaigns 22.11.22'!L1700,weekly!$H$2:$H$188,0))</f>
        <v>7345.3354838709683</v>
      </c>
      <c r="I1700">
        <f>INDEX(weekly!$F$2:$F$188,MATCH('Marketing Campaigns 22.11.22'!L1700,weekly!$H$2:$H$188,0))</f>
        <v>2304.1241935483872</v>
      </c>
      <c r="J1700">
        <v>0</v>
      </c>
      <c r="K1700">
        <v>0</v>
      </c>
      <c r="L1700" t="str">
        <f t="shared" si="52"/>
        <v>9-3-2023</v>
      </c>
      <c r="M1700">
        <f t="shared" si="53"/>
        <v>2023</v>
      </c>
    </row>
    <row r="1701" spans="1:13" x14ac:dyDescent="0.2">
      <c r="A1701" s="1">
        <v>44984</v>
      </c>
      <c r="B1701">
        <v>9</v>
      </c>
      <c r="C1701">
        <v>3</v>
      </c>
      <c r="D1701">
        <v>1</v>
      </c>
      <c r="E1701" t="s">
        <v>41</v>
      </c>
      <c r="F1701">
        <v>0</v>
      </c>
      <c r="G1701">
        <f>INDEX(weekly!$E$2:$E$188,MATCH('Marketing Campaigns 22.11.22'!L1701,weekly!$H$2:$H$188,0))</f>
        <v>4176.2903225806449</v>
      </c>
      <c r="H1701">
        <f>INDEX(weekly!$D$2:$D$188,MATCH('Marketing Campaigns 22.11.22'!L1701,weekly!$H$2:$H$188,0))</f>
        <v>7345.3354838709683</v>
      </c>
      <c r="I1701">
        <f>INDEX(weekly!$F$2:$F$188,MATCH('Marketing Campaigns 22.11.22'!L1701,weekly!$H$2:$H$188,0))</f>
        <v>2304.1241935483872</v>
      </c>
      <c r="J1701">
        <v>0</v>
      </c>
      <c r="K1701">
        <v>0</v>
      </c>
      <c r="L1701" t="str">
        <f t="shared" si="52"/>
        <v>9-3-2023</v>
      </c>
      <c r="M1701">
        <f t="shared" si="53"/>
        <v>2023</v>
      </c>
    </row>
    <row r="1702" spans="1:13" x14ac:dyDescent="0.2">
      <c r="A1702" s="1">
        <v>44984</v>
      </c>
      <c r="B1702">
        <v>9</v>
      </c>
      <c r="C1702">
        <v>3</v>
      </c>
      <c r="D1702">
        <v>1</v>
      </c>
      <c r="E1702" t="s">
        <v>42</v>
      </c>
      <c r="F1702">
        <v>0</v>
      </c>
      <c r="G1702">
        <f>INDEX(weekly!$E$2:$E$188,MATCH('Marketing Campaigns 22.11.22'!L1702,weekly!$H$2:$H$188,0))</f>
        <v>4176.2903225806449</v>
      </c>
      <c r="H1702">
        <f>INDEX(weekly!$D$2:$D$188,MATCH('Marketing Campaigns 22.11.22'!L1702,weekly!$H$2:$H$188,0))</f>
        <v>7345.3354838709683</v>
      </c>
      <c r="I1702">
        <f>INDEX(weekly!$F$2:$F$188,MATCH('Marketing Campaigns 22.11.22'!L1702,weekly!$H$2:$H$188,0))</f>
        <v>2304.1241935483872</v>
      </c>
      <c r="J1702">
        <v>0</v>
      </c>
      <c r="K1702">
        <v>0</v>
      </c>
      <c r="L1702" t="str">
        <f t="shared" si="52"/>
        <v>9-3-2023</v>
      </c>
      <c r="M1702">
        <f t="shared" si="53"/>
        <v>2023</v>
      </c>
    </row>
    <row r="1703" spans="1:13" x14ac:dyDescent="0.2">
      <c r="A1703" s="1">
        <v>44984</v>
      </c>
      <c r="B1703">
        <v>9</v>
      </c>
      <c r="C1703">
        <v>3</v>
      </c>
      <c r="D1703">
        <v>1</v>
      </c>
      <c r="E1703" t="s">
        <v>43</v>
      </c>
      <c r="F1703">
        <v>0</v>
      </c>
      <c r="G1703">
        <f>INDEX(weekly!$E$2:$E$188,MATCH('Marketing Campaigns 22.11.22'!L1703,weekly!$H$2:$H$188,0))</f>
        <v>4176.2903225806449</v>
      </c>
      <c r="H1703">
        <f>INDEX(weekly!$D$2:$D$188,MATCH('Marketing Campaigns 22.11.22'!L1703,weekly!$H$2:$H$188,0))</f>
        <v>7345.3354838709683</v>
      </c>
      <c r="I1703">
        <f>INDEX(weekly!$F$2:$F$188,MATCH('Marketing Campaigns 22.11.22'!L1703,weekly!$H$2:$H$188,0))</f>
        <v>2304.1241935483872</v>
      </c>
      <c r="J1703">
        <v>0</v>
      </c>
      <c r="K1703">
        <v>0</v>
      </c>
      <c r="L1703" t="str">
        <f t="shared" si="52"/>
        <v>9-3-2023</v>
      </c>
      <c r="M1703">
        <f t="shared" si="53"/>
        <v>2023</v>
      </c>
    </row>
    <row r="1704" spans="1:13" x14ac:dyDescent="0.2">
      <c r="A1704" s="1">
        <v>44984</v>
      </c>
      <c r="B1704">
        <v>9</v>
      </c>
      <c r="C1704">
        <v>3</v>
      </c>
      <c r="D1704">
        <v>1</v>
      </c>
      <c r="E1704" t="s">
        <v>44</v>
      </c>
      <c r="F1704">
        <v>0</v>
      </c>
      <c r="G1704">
        <f>INDEX(weekly!$E$2:$E$188,MATCH('Marketing Campaigns 22.11.22'!L1704,weekly!$H$2:$H$188,0))</f>
        <v>4176.2903225806449</v>
      </c>
      <c r="H1704">
        <f>INDEX(weekly!$D$2:$D$188,MATCH('Marketing Campaigns 22.11.22'!L1704,weekly!$H$2:$H$188,0))</f>
        <v>7345.3354838709683</v>
      </c>
      <c r="I1704">
        <f>INDEX(weekly!$F$2:$F$188,MATCH('Marketing Campaigns 22.11.22'!L1704,weekly!$H$2:$H$188,0))</f>
        <v>2304.1241935483872</v>
      </c>
      <c r="J1704">
        <v>0</v>
      </c>
      <c r="K1704">
        <v>0</v>
      </c>
      <c r="L1704" t="str">
        <f t="shared" si="52"/>
        <v>9-3-2023</v>
      </c>
      <c r="M1704">
        <f t="shared" si="53"/>
        <v>2023</v>
      </c>
    </row>
    <row r="1705" spans="1:13" x14ac:dyDescent="0.2">
      <c r="A1705" s="1">
        <v>44984</v>
      </c>
      <c r="B1705">
        <v>9</v>
      </c>
      <c r="C1705">
        <v>3</v>
      </c>
      <c r="D1705">
        <v>1</v>
      </c>
      <c r="E1705" t="s">
        <v>45</v>
      </c>
      <c r="F1705">
        <v>0</v>
      </c>
      <c r="G1705">
        <f>INDEX(weekly!$E$2:$E$188,MATCH('Marketing Campaigns 22.11.22'!L1705,weekly!$H$2:$H$188,0))</f>
        <v>4176.2903225806449</v>
      </c>
      <c r="H1705">
        <f>INDEX(weekly!$D$2:$D$188,MATCH('Marketing Campaigns 22.11.22'!L1705,weekly!$H$2:$H$188,0))</f>
        <v>7345.3354838709683</v>
      </c>
      <c r="I1705">
        <f>INDEX(weekly!$F$2:$F$188,MATCH('Marketing Campaigns 22.11.22'!L1705,weekly!$H$2:$H$188,0))</f>
        <v>2304.1241935483872</v>
      </c>
      <c r="J1705">
        <v>0</v>
      </c>
      <c r="K1705">
        <v>0</v>
      </c>
      <c r="L1705" t="str">
        <f t="shared" si="52"/>
        <v>9-3-2023</v>
      </c>
      <c r="M1705">
        <f t="shared" si="53"/>
        <v>2023</v>
      </c>
    </row>
    <row r="1706" spans="1:13" x14ac:dyDescent="0.2">
      <c r="A1706" s="1">
        <v>44984</v>
      </c>
      <c r="B1706">
        <v>9</v>
      </c>
      <c r="C1706">
        <v>3</v>
      </c>
      <c r="D1706">
        <v>1</v>
      </c>
      <c r="E1706" t="s">
        <v>46</v>
      </c>
      <c r="F1706">
        <v>0</v>
      </c>
      <c r="G1706">
        <f>INDEX(weekly!$E$2:$E$188,MATCH('Marketing Campaigns 22.11.22'!L1706,weekly!$H$2:$H$188,0))</f>
        <v>4176.2903225806449</v>
      </c>
      <c r="H1706">
        <f>INDEX(weekly!$D$2:$D$188,MATCH('Marketing Campaigns 22.11.22'!L1706,weekly!$H$2:$H$188,0))</f>
        <v>7345.3354838709683</v>
      </c>
      <c r="I1706">
        <f>INDEX(weekly!$F$2:$F$188,MATCH('Marketing Campaigns 22.11.22'!L1706,weekly!$H$2:$H$188,0))</f>
        <v>2304.1241935483872</v>
      </c>
      <c r="J1706">
        <v>0</v>
      </c>
      <c r="K1706">
        <v>0</v>
      </c>
      <c r="L1706" t="str">
        <f t="shared" si="52"/>
        <v>9-3-2023</v>
      </c>
      <c r="M1706">
        <f t="shared" si="53"/>
        <v>2023</v>
      </c>
    </row>
    <row r="1707" spans="1:13" x14ac:dyDescent="0.2">
      <c r="A1707" s="1">
        <v>44984</v>
      </c>
      <c r="B1707">
        <v>9</v>
      </c>
      <c r="C1707">
        <v>3</v>
      </c>
      <c r="D1707">
        <v>1</v>
      </c>
      <c r="E1707" t="s">
        <v>47</v>
      </c>
      <c r="F1707">
        <v>0</v>
      </c>
      <c r="G1707">
        <f>INDEX(weekly!$E$2:$E$188,MATCH('Marketing Campaigns 22.11.22'!L1707,weekly!$H$2:$H$188,0))</f>
        <v>4176.2903225806449</v>
      </c>
      <c r="H1707">
        <f>INDEX(weekly!$D$2:$D$188,MATCH('Marketing Campaigns 22.11.22'!L1707,weekly!$H$2:$H$188,0))</f>
        <v>7345.3354838709683</v>
      </c>
      <c r="I1707">
        <f>INDEX(weekly!$F$2:$F$188,MATCH('Marketing Campaigns 22.11.22'!L1707,weekly!$H$2:$H$188,0))</f>
        <v>2304.1241935483872</v>
      </c>
      <c r="J1707">
        <v>0</v>
      </c>
      <c r="K1707">
        <v>0</v>
      </c>
      <c r="L1707" t="str">
        <f t="shared" si="52"/>
        <v>9-3-2023</v>
      </c>
      <c r="M1707">
        <f t="shared" si="53"/>
        <v>2023</v>
      </c>
    </row>
    <row r="1708" spans="1:13" x14ac:dyDescent="0.2">
      <c r="A1708" s="1">
        <v>44984</v>
      </c>
      <c r="B1708">
        <v>9</v>
      </c>
      <c r="C1708">
        <v>3</v>
      </c>
      <c r="D1708">
        <v>1</v>
      </c>
      <c r="E1708" t="s">
        <v>48</v>
      </c>
      <c r="F1708">
        <v>0</v>
      </c>
      <c r="G1708">
        <f>INDEX(weekly!$E$2:$E$188,MATCH('Marketing Campaigns 22.11.22'!L1708,weekly!$H$2:$H$188,0))</f>
        <v>4176.2903225806449</v>
      </c>
      <c r="H1708">
        <f>INDEX(weekly!$D$2:$D$188,MATCH('Marketing Campaigns 22.11.22'!L1708,weekly!$H$2:$H$188,0))</f>
        <v>7345.3354838709683</v>
      </c>
      <c r="I1708">
        <f>INDEX(weekly!$F$2:$F$188,MATCH('Marketing Campaigns 22.11.22'!L1708,weekly!$H$2:$H$188,0))</f>
        <v>2304.1241935483872</v>
      </c>
      <c r="J1708">
        <v>0</v>
      </c>
      <c r="K1708">
        <v>0</v>
      </c>
      <c r="L1708" t="str">
        <f t="shared" si="52"/>
        <v>9-3-2023</v>
      </c>
      <c r="M1708">
        <f t="shared" si="53"/>
        <v>2023</v>
      </c>
    </row>
    <row r="1709" spans="1:13" x14ac:dyDescent="0.2">
      <c r="A1709" s="1">
        <v>44984</v>
      </c>
      <c r="B1709">
        <v>9</v>
      </c>
      <c r="C1709">
        <v>3</v>
      </c>
      <c r="D1709">
        <v>1</v>
      </c>
      <c r="E1709" t="s">
        <v>49</v>
      </c>
      <c r="F1709">
        <v>0</v>
      </c>
      <c r="G1709">
        <f>INDEX(weekly!$E$2:$E$188,MATCH('Marketing Campaigns 22.11.22'!L1709,weekly!$H$2:$H$188,0))</f>
        <v>4176.2903225806449</v>
      </c>
      <c r="H1709">
        <f>INDEX(weekly!$D$2:$D$188,MATCH('Marketing Campaigns 22.11.22'!L1709,weekly!$H$2:$H$188,0))</f>
        <v>7345.3354838709683</v>
      </c>
      <c r="I1709">
        <f>INDEX(weekly!$F$2:$F$188,MATCH('Marketing Campaigns 22.11.22'!L1709,weekly!$H$2:$H$188,0))</f>
        <v>2304.1241935483872</v>
      </c>
      <c r="J1709">
        <v>0</v>
      </c>
      <c r="K1709">
        <v>0</v>
      </c>
      <c r="L1709" t="str">
        <f t="shared" si="52"/>
        <v>9-3-2023</v>
      </c>
      <c r="M1709">
        <f t="shared" si="53"/>
        <v>2023</v>
      </c>
    </row>
    <row r="1710" spans="1:13" x14ac:dyDescent="0.2">
      <c r="A1710" s="1">
        <v>44984</v>
      </c>
      <c r="B1710">
        <v>9</v>
      </c>
      <c r="C1710">
        <v>3</v>
      </c>
      <c r="D1710">
        <v>1</v>
      </c>
      <c r="E1710" t="s">
        <v>50</v>
      </c>
      <c r="F1710">
        <v>0</v>
      </c>
      <c r="G1710">
        <f>INDEX(weekly!$E$2:$E$188,MATCH('Marketing Campaigns 22.11.22'!L1710,weekly!$H$2:$H$188,0))</f>
        <v>4176.2903225806449</v>
      </c>
      <c r="H1710">
        <f>INDEX(weekly!$D$2:$D$188,MATCH('Marketing Campaigns 22.11.22'!L1710,weekly!$H$2:$H$188,0))</f>
        <v>7345.3354838709683</v>
      </c>
      <c r="I1710">
        <f>INDEX(weekly!$F$2:$F$188,MATCH('Marketing Campaigns 22.11.22'!L1710,weekly!$H$2:$H$188,0))</f>
        <v>2304.1241935483872</v>
      </c>
      <c r="J1710">
        <v>0</v>
      </c>
      <c r="K1710">
        <v>0</v>
      </c>
      <c r="L1710" t="str">
        <f t="shared" si="52"/>
        <v>9-3-2023</v>
      </c>
      <c r="M1710">
        <f t="shared" si="53"/>
        <v>2023</v>
      </c>
    </row>
    <row r="1711" spans="1:13" x14ac:dyDescent="0.2">
      <c r="A1711" s="1">
        <v>44984</v>
      </c>
      <c r="B1711">
        <v>9</v>
      </c>
      <c r="C1711">
        <v>3</v>
      </c>
      <c r="D1711">
        <v>1</v>
      </c>
      <c r="E1711" t="s">
        <v>51</v>
      </c>
      <c r="F1711">
        <v>0</v>
      </c>
      <c r="G1711">
        <f>INDEX(weekly!$E$2:$E$188,MATCH('Marketing Campaigns 22.11.22'!L1711,weekly!$H$2:$H$188,0))</f>
        <v>4176.2903225806449</v>
      </c>
      <c r="H1711">
        <f>INDEX(weekly!$D$2:$D$188,MATCH('Marketing Campaigns 22.11.22'!L1711,weekly!$H$2:$H$188,0))</f>
        <v>7345.3354838709683</v>
      </c>
      <c r="I1711">
        <f>INDEX(weekly!$F$2:$F$188,MATCH('Marketing Campaigns 22.11.22'!L1711,weekly!$H$2:$H$188,0))</f>
        <v>2304.1241935483872</v>
      </c>
      <c r="J1711">
        <v>0</v>
      </c>
      <c r="K1711">
        <v>0</v>
      </c>
      <c r="L1711" t="str">
        <f t="shared" si="52"/>
        <v>9-3-2023</v>
      </c>
      <c r="M1711">
        <f t="shared" si="53"/>
        <v>2023</v>
      </c>
    </row>
    <row r="1712" spans="1:13" x14ac:dyDescent="0.2">
      <c r="A1712" s="1">
        <v>44984</v>
      </c>
      <c r="B1712">
        <v>9</v>
      </c>
      <c r="C1712">
        <v>3</v>
      </c>
      <c r="D1712">
        <v>1</v>
      </c>
      <c r="E1712" t="s">
        <v>52</v>
      </c>
      <c r="F1712">
        <v>0</v>
      </c>
      <c r="G1712">
        <f>INDEX(weekly!$E$2:$E$188,MATCH('Marketing Campaigns 22.11.22'!L1712,weekly!$H$2:$H$188,0))</f>
        <v>4176.2903225806449</v>
      </c>
      <c r="H1712">
        <f>INDEX(weekly!$D$2:$D$188,MATCH('Marketing Campaigns 22.11.22'!L1712,weekly!$H$2:$H$188,0))</f>
        <v>7345.3354838709683</v>
      </c>
      <c r="I1712">
        <f>INDEX(weekly!$F$2:$F$188,MATCH('Marketing Campaigns 22.11.22'!L1712,weekly!$H$2:$H$188,0))</f>
        <v>2304.1241935483872</v>
      </c>
      <c r="J1712">
        <v>0</v>
      </c>
      <c r="K1712">
        <v>0</v>
      </c>
      <c r="L1712" t="str">
        <f t="shared" si="52"/>
        <v>9-3-2023</v>
      </c>
      <c r="M1712">
        <f t="shared" si="53"/>
        <v>2023</v>
      </c>
    </row>
    <row r="1713" spans="1:13" x14ac:dyDescent="0.2">
      <c r="A1713" s="1">
        <v>44991</v>
      </c>
      <c r="B1713">
        <v>10</v>
      </c>
      <c r="C1713">
        <v>3</v>
      </c>
      <c r="D1713">
        <v>1</v>
      </c>
      <c r="E1713" t="s">
        <v>24</v>
      </c>
      <c r="F1713">
        <v>0</v>
      </c>
      <c r="G1713">
        <f>INDEX(weekly!$E$2:$E$188,MATCH('Marketing Campaigns 22.11.22'!L1713,weekly!$H$2:$H$188,0))</f>
        <v>5846.8064516129025</v>
      </c>
      <c r="H1713">
        <f>INDEX(weekly!$D$2:$D$188,MATCH('Marketing Campaigns 22.11.22'!L1713,weekly!$H$2:$H$188,0))</f>
        <v>10283.469677419356</v>
      </c>
      <c r="I1713">
        <f>INDEX(weekly!$F$2:$F$188,MATCH('Marketing Campaigns 22.11.22'!L1713,weekly!$H$2:$H$188,0))</f>
        <v>3225.7738709677419</v>
      </c>
      <c r="J1713">
        <v>0</v>
      </c>
      <c r="K1713">
        <v>0</v>
      </c>
      <c r="L1713" t="str">
        <f t="shared" si="52"/>
        <v>10-3-2023</v>
      </c>
      <c r="M1713">
        <f t="shared" si="53"/>
        <v>2023</v>
      </c>
    </row>
    <row r="1714" spans="1:13" x14ac:dyDescent="0.2">
      <c r="A1714" s="1">
        <v>44991</v>
      </c>
      <c r="B1714">
        <v>10</v>
      </c>
      <c r="C1714">
        <v>3</v>
      </c>
      <c r="D1714">
        <v>1</v>
      </c>
      <c r="E1714" t="s">
        <v>39</v>
      </c>
      <c r="F1714">
        <v>0</v>
      </c>
      <c r="G1714">
        <f>INDEX(weekly!$E$2:$E$188,MATCH('Marketing Campaigns 22.11.22'!L1714,weekly!$H$2:$H$188,0))</f>
        <v>5846.8064516129025</v>
      </c>
      <c r="H1714">
        <f>INDEX(weekly!$D$2:$D$188,MATCH('Marketing Campaigns 22.11.22'!L1714,weekly!$H$2:$H$188,0))</f>
        <v>10283.469677419356</v>
      </c>
      <c r="I1714">
        <f>INDEX(weekly!$F$2:$F$188,MATCH('Marketing Campaigns 22.11.22'!L1714,weekly!$H$2:$H$188,0))</f>
        <v>3225.7738709677419</v>
      </c>
      <c r="J1714">
        <v>0</v>
      </c>
      <c r="K1714">
        <v>0</v>
      </c>
      <c r="L1714" t="str">
        <f t="shared" si="52"/>
        <v>10-3-2023</v>
      </c>
      <c r="M1714">
        <f t="shared" si="53"/>
        <v>2023</v>
      </c>
    </row>
    <row r="1715" spans="1:13" x14ac:dyDescent="0.2">
      <c r="A1715" s="1">
        <v>44991</v>
      </c>
      <c r="B1715">
        <v>10</v>
      </c>
      <c r="C1715">
        <v>3</v>
      </c>
      <c r="D1715">
        <v>1</v>
      </c>
      <c r="E1715" t="s">
        <v>40</v>
      </c>
      <c r="F1715">
        <v>0</v>
      </c>
      <c r="G1715">
        <f>INDEX(weekly!$E$2:$E$188,MATCH('Marketing Campaigns 22.11.22'!L1715,weekly!$H$2:$H$188,0))</f>
        <v>5846.8064516129025</v>
      </c>
      <c r="H1715">
        <f>INDEX(weekly!$D$2:$D$188,MATCH('Marketing Campaigns 22.11.22'!L1715,weekly!$H$2:$H$188,0))</f>
        <v>10283.469677419356</v>
      </c>
      <c r="I1715">
        <f>INDEX(weekly!$F$2:$F$188,MATCH('Marketing Campaigns 22.11.22'!L1715,weekly!$H$2:$H$188,0))</f>
        <v>3225.7738709677419</v>
      </c>
      <c r="J1715">
        <v>0</v>
      </c>
      <c r="K1715">
        <v>0</v>
      </c>
      <c r="L1715" t="str">
        <f t="shared" si="52"/>
        <v>10-3-2023</v>
      </c>
      <c r="M1715">
        <f t="shared" si="53"/>
        <v>2023</v>
      </c>
    </row>
    <row r="1716" spans="1:13" x14ac:dyDescent="0.2">
      <c r="A1716" s="1">
        <v>44991</v>
      </c>
      <c r="B1716">
        <v>10</v>
      </c>
      <c r="C1716">
        <v>3</v>
      </c>
      <c r="D1716">
        <v>1</v>
      </c>
      <c r="E1716" t="s">
        <v>41</v>
      </c>
      <c r="F1716">
        <v>0</v>
      </c>
      <c r="G1716">
        <f>INDEX(weekly!$E$2:$E$188,MATCH('Marketing Campaigns 22.11.22'!L1716,weekly!$H$2:$H$188,0))</f>
        <v>5846.8064516129025</v>
      </c>
      <c r="H1716">
        <f>INDEX(weekly!$D$2:$D$188,MATCH('Marketing Campaigns 22.11.22'!L1716,weekly!$H$2:$H$188,0))</f>
        <v>10283.469677419356</v>
      </c>
      <c r="I1716">
        <f>INDEX(weekly!$F$2:$F$188,MATCH('Marketing Campaigns 22.11.22'!L1716,weekly!$H$2:$H$188,0))</f>
        <v>3225.7738709677419</v>
      </c>
      <c r="J1716">
        <v>0</v>
      </c>
      <c r="K1716">
        <v>0</v>
      </c>
      <c r="L1716" t="str">
        <f t="shared" si="52"/>
        <v>10-3-2023</v>
      </c>
      <c r="M1716">
        <f t="shared" si="53"/>
        <v>2023</v>
      </c>
    </row>
    <row r="1717" spans="1:13" x14ac:dyDescent="0.2">
      <c r="A1717" s="1">
        <v>44991</v>
      </c>
      <c r="B1717">
        <v>10</v>
      </c>
      <c r="C1717">
        <v>3</v>
      </c>
      <c r="D1717">
        <v>1</v>
      </c>
      <c r="E1717" t="s">
        <v>42</v>
      </c>
      <c r="F1717">
        <v>0</v>
      </c>
      <c r="G1717">
        <f>INDEX(weekly!$E$2:$E$188,MATCH('Marketing Campaigns 22.11.22'!L1717,weekly!$H$2:$H$188,0))</f>
        <v>5846.8064516129025</v>
      </c>
      <c r="H1717">
        <f>INDEX(weekly!$D$2:$D$188,MATCH('Marketing Campaigns 22.11.22'!L1717,weekly!$H$2:$H$188,0))</f>
        <v>10283.469677419356</v>
      </c>
      <c r="I1717">
        <f>INDEX(weekly!$F$2:$F$188,MATCH('Marketing Campaigns 22.11.22'!L1717,weekly!$H$2:$H$188,0))</f>
        <v>3225.7738709677419</v>
      </c>
      <c r="J1717">
        <v>0</v>
      </c>
      <c r="K1717">
        <v>0</v>
      </c>
      <c r="L1717" t="str">
        <f t="shared" si="52"/>
        <v>10-3-2023</v>
      </c>
      <c r="M1717">
        <f t="shared" si="53"/>
        <v>2023</v>
      </c>
    </row>
    <row r="1718" spans="1:13" x14ac:dyDescent="0.2">
      <c r="A1718" s="1">
        <v>44991</v>
      </c>
      <c r="B1718">
        <v>10</v>
      </c>
      <c r="C1718">
        <v>3</v>
      </c>
      <c r="D1718">
        <v>1</v>
      </c>
      <c r="E1718" t="s">
        <v>43</v>
      </c>
      <c r="F1718">
        <v>0</v>
      </c>
      <c r="G1718">
        <f>INDEX(weekly!$E$2:$E$188,MATCH('Marketing Campaigns 22.11.22'!L1718,weekly!$H$2:$H$188,0))</f>
        <v>5846.8064516129025</v>
      </c>
      <c r="H1718">
        <f>INDEX(weekly!$D$2:$D$188,MATCH('Marketing Campaigns 22.11.22'!L1718,weekly!$H$2:$H$188,0))</f>
        <v>10283.469677419356</v>
      </c>
      <c r="I1718">
        <f>INDEX(weekly!$F$2:$F$188,MATCH('Marketing Campaigns 22.11.22'!L1718,weekly!$H$2:$H$188,0))</f>
        <v>3225.7738709677419</v>
      </c>
      <c r="J1718">
        <v>0</v>
      </c>
      <c r="K1718">
        <v>0</v>
      </c>
      <c r="L1718" t="str">
        <f t="shared" si="52"/>
        <v>10-3-2023</v>
      </c>
      <c r="M1718">
        <f t="shared" si="53"/>
        <v>2023</v>
      </c>
    </row>
    <row r="1719" spans="1:13" x14ac:dyDescent="0.2">
      <c r="A1719" s="1">
        <v>44991</v>
      </c>
      <c r="B1719">
        <v>10</v>
      </c>
      <c r="C1719">
        <v>3</v>
      </c>
      <c r="D1719">
        <v>1</v>
      </c>
      <c r="E1719" t="s">
        <v>44</v>
      </c>
      <c r="F1719">
        <v>0</v>
      </c>
      <c r="G1719">
        <f>INDEX(weekly!$E$2:$E$188,MATCH('Marketing Campaigns 22.11.22'!L1719,weekly!$H$2:$H$188,0))</f>
        <v>5846.8064516129025</v>
      </c>
      <c r="H1719">
        <f>INDEX(weekly!$D$2:$D$188,MATCH('Marketing Campaigns 22.11.22'!L1719,weekly!$H$2:$H$188,0))</f>
        <v>10283.469677419356</v>
      </c>
      <c r="I1719">
        <f>INDEX(weekly!$F$2:$F$188,MATCH('Marketing Campaigns 22.11.22'!L1719,weekly!$H$2:$H$188,0))</f>
        <v>3225.7738709677419</v>
      </c>
      <c r="J1719">
        <v>0</v>
      </c>
      <c r="K1719">
        <v>0</v>
      </c>
      <c r="L1719" t="str">
        <f t="shared" si="52"/>
        <v>10-3-2023</v>
      </c>
      <c r="M1719">
        <f t="shared" si="53"/>
        <v>2023</v>
      </c>
    </row>
    <row r="1720" spans="1:13" x14ac:dyDescent="0.2">
      <c r="A1720" s="1">
        <v>44991</v>
      </c>
      <c r="B1720">
        <v>10</v>
      </c>
      <c r="C1720">
        <v>3</v>
      </c>
      <c r="D1720">
        <v>1</v>
      </c>
      <c r="E1720" t="s">
        <v>45</v>
      </c>
      <c r="F1720">
        <v>0</v>
      </c>
      <c r="G1720">
        <f>INDEX(weekly!$E$2:$E$188,MATCH('Marketing Campaigns 22.11.22'!L1720,weekly!$H$2:$H$188,0))</f>
        <v>5846.8064516129025</v>
      </c>
      <c r="H1720">
        <f>INDEX(weekly!$D$2:$D$188,MATCH('Marketing Campaigns 22.11.22'!L1720,weekly!$H$2:$H$188,0))</f>
        <v>10283.469677419356</v>
      </c>
      <c r="I1720">
        <f>INDEX(weekly!$F$2:$F$188,MATCH('Marketing Campaigns 22.11.22'!L1720,weekly!$H$2:$H$188,0))</f>
        <v>3225.7738709677419</v>
      </c>
      <c r="J1720">
        <v>0</v>
      </c>
      <c r="K1720">
        <v>0</v>
      </c>
      <c r="L1720" t="str">
        <f t="shared" si="52"/>
        <v>10-3-2023</v>
      </c>
      <c r="M1720">
        <f t="shared" si="53"/>
        <v>2023</v>
      </c>
    </row>
    <row r="1721" spans="1:13" x14ac:dyDescent="0.2">
      <c r="A1721" s="1">
        <v>44991</v>
      </c>
      <c r="B1721">
        <v>10</v>
      </c>
      <c r="C1721">
        <v>3</v>
      </c>
      <c r="D1721">
        <v>1</v>
      </c>
      <c r="E1721" t="s">
        <v>46</v>
      </c>
      <c r="F1721">
        <v>0</v>
      </c>
      <c r="G1721">
        <f>INDEX(weekly!$E$2:$E$188,MATCH('Marketing Campaigns 22.11.22'!L1721,weekly!$H$2:$H$188,0))</f>
        <v>5846.8064516129025</v>
      </c>
      <c r="H1721">
        <f>INDEX(weekly!$D$2:$D$188,MATCH('Marketing Campaigns 22.11.22'!L1721,weekly!$H$2:$H$188,0))</f>
        <v>10283.469677419356</v>
      </c>
      <c r="I1721">
        <f>INDEX(weekly!$F$2:$F$188,MATCH('Marketing Campaigns 22.11.22'!L1721,weekly!$H$2:$H$188,0))</f>
        <v>3225.7738709677419</v>
      </c>
      <c r="J1721">
        <v>0</v>
      </c>
      <c r="K1721">
        <v>0</v>
      </c>
      <c r="L1721" t="str">
        <f t="shared" si="52"/>
        <v>10-3-2023</v>
      </c>
      <c r="M1721">
        <f t="shared" si="53"/>
        <v>2023</v>
      </c>
    </row>
    <row r="1722" spans="1:13" x14ac:dyDescent="0.2">
      <c r="A1722" s="1">
        <v>44991</v>
      </c>
      <c r="B1722">
        <v>10</v>
      </c>
      <c r="C1722">
        <v>3</v>
      </c>
      <c r="D1722">
        <v>1</v>
      </c>
      <c r="E1722" t="s">
        <v>47</v>
      </c>
      <c r="F1722">
        <v>0</v>
      </c>
      <c r="G1722">
        <f>INDEX(weekly!$E$2:$E$188,MATCH('Marketing Campaigns 22.11.22'!L1722,weekly!$H$2:$H$188,0))</f>
        <v>5846.8064516129025</v>
      </c>
      <c r="H1722">
        <f>INDEX(weekly!$D$2:$D$188,MATCH('Marketing Campaigns 22.11.22'!L1722,weekly!$H$2:$H$188,0))</f>
        <v>10283.469677419356</v>
      </c>
      <c r="I1722">
        <f>INDEX(weekly!$F$2:$F$188,MATCH('Marketing Campaigns 22.11.22'!L1722,weekly!$H$2:$H$188,0))</f>
        <v>3225.7738709677419</v>
      </c>
      <c r="J1722">
        <v>0</v>
      </c>
      <c r="K1722">
        <v>0</v>
      </c>
      <c r="L1722" t="str">
        <f t="shared" si="52"/>
        <v>10-3-2023</v>
      </c>
      <c r="M1722">
        <f t="shared" si="53"/>
        <v>2023</v>
      </c>
    </row>
    <row r="1723" spans="1:13" x14ac:dyDescent="0.2">
      <c r="A1723" s="1">
        <v>44991</v>
      </c>
      <c r="B1723">
        <v>10</v>
      </c>
      <c r="C1723">
        <v>3</v>
      </c>
      <c r="D1723">
        <v>1</v>
      </c>
      <c r="E1723" t="s">
        <v>48</v>
      </c>
      <c r="F1723">
        <v>0</v>
      </c>
      <c r="G1723">
        <f>INDEX(weekly!$E$2:$E$188,MATCH('Marketing Campaigns 22.11.22'!L1723,weekly!$H$2:$H$188,0))</f>
        <v>5846.8064516129025</v>
      </c>
      <c r="H1723">
        <f>INDEX(weekly!$D$2:$D$188,MATCH('Marketing Campaigns 22.11.22'!L1723,weekly!$H$2:$H$188,0))</f>
        <v>10283.469677419356</v>
      </c>
      <c r="I1723">
        <f>INDEX(weekly!$F$2:$F$188,MATCH('Marketing Campaigns 22.11.22'!L1723,weekly!$H$2:$H$188,0))</f>
        <v>3225.7738709677419</v>
      </c>
      <c r="J1723">
        <v>0</v>
      </c>
      <c r="K1723">
        <v>0</v>
      </c>
      <c r="L1723" t="str">
        <f t="shared" si="52"/>
        <v>10-3-2023</v>
      </c>
      <c r="M1723">
        <f t="shared" si="53"/>
        <v>2023</v>
      </c>
    </row>
    <row r="1724" spans="1:13" x14ac:dyDescent="0.2">
      <c r="A1724" s="1">
        <v>44991</v>
      </c>
      <c r="B1724">
        <v>10</v>
      </c>
      <c r="C1724">
        <v>3</v>
      </c>
      <c r="D1724">
        <v>1</v>
      </c>
      <c r="E1724" t="s">
        <v>49</v>
      </c>
      <c r="F1724">
        <v>0</v>
      </c>
      <c r="G1724">
        <f>INDEX(weekly!$E$2:$E$188,MATCH('Marketing Campaigns 22.11.22'!L1724,weekly!$H$2:$H$188,0))</f>
        <v>5846.8064516129025</v>
      </c>
      <c r="H1724">
        <f>INDEX(weekly!$D$2:$D$188,MATCH('Marketing Campaigns 22.11.22'!L1724,weekly!$H$2:$H$188,0))</f>
        <v>10283.469677419356</v>
      </c>
      <c r="I1724">
        <f>INDEX(weekly!$F$2:$F$188,MATCH('Marketing Campaigns 22.11.22'!L1724,weekly!$H$2:$H$188,0))</f>
        <v>3225.7738709677419</v>
      </c>
      <c r="J1724">
        <v>0</v>
      </c>
      <c r="K1724">
        <v>0</v>
      </c>
      <c r="L1724" t="str">
        <f t="shared" si="52"/>
        <v>10-3-2023</v>
      </c>
      <c r="M1724">
        <f t="shared" si="53"/>
        <v>2023</v>
      </c>
    </row>
    <row r="1725" spans="1:13" x14ac:dyDescent="0.2">
      <c r="A1725" s="1">
        <v>44991</v>
      </c>
      <c r="B1725">
        <v>10</v>
      </c>
      <c r="C1725">
        <v>3</v>
      </c>
      <c r="D1725">
        <v>1</v>
      </c>
      <c r="E1725" t="s">
        <v>50</v>
      </c>
      <c r="F1725">
        <v>0</v>
      </c>
      <c r="G1725">
        <f>INDEX(weekly!$E$2:$E$188,MATCH('Marketing Campaigns 22.11.22'!L1725,weekly!$H$2:$H$188,0))</f>
        <v>5846.8064516129025</v>
      </c>
      <c r="H1725">
        <f>INDEX(weekly!$D$2:$D$188,MATCH('Marketing Campaigns 22.11.22'!L1725,weekly!$H$2:$H$188,0))</f>
        <v>10283.469677419356</v>
      </c>
      <c r="I1725">
        <f>INDEX(weekly!$F$2:$F$188,MATCH('Marketing Campaigns 22.11.22'!L1725,weekly!$H$2:$H$188,0))</f>
        <v>3225.7738709677419</v>
      </c>
      <c r="J1725">
        <v>0</v>
      </c>
      <c r="K1725">
        <v>0</v>
      </c>
      <c r="L1725" t="str">
        <f t="shared" si="52"/>
        <v>10-3-2023</v>
      </c>
      <c r="M1725">
        <f t="shared" si="53"/>
        <v>2023</v>
      </c>
    </row>
    <row r="1726" spans="1:13" x14ac:dyDescent="0.2">
      <c r="A1726" s="1">
        <v>44991</v>
      </c>
      <c r="B1726">
        <v>10</v>
      </c>
      <c r="C1726">
        <v>3</v>
      </c>
      <c r="D1726">
        <v>1</v>
      </c>
      <c r="E1726" t="s">
        <v>51</v>
      </c>
      <c r="F1726">
        <v>0</v>
      </c>
      <c r="G1726">
        <f>INDEX(weekly!$E$2:$E$188,MATCH('Marketing Campaigns 22.11.22'!L1726,weekly!$H$2:$H$188,0))</f>
        <v>5846.8064516129025</v>
      </c>
      <c r="H1726">
        <f>INDEX(weekly!$D$2:$D$188,MATCH('Marketing Campaigns 22.11.22'!L1726,weekly!$H$2:$H$188,0))</f>
        <v>10283.469677419356</v>
      </c>
      <c r="I1726">
        <f>INDEX(weekly!$F$2:$F$188,MATCH('Marketing Campaigns 22.11.22'!L1726,weekly!$H$2:$H$188,0))</f>
        <v>3225.7738709677419</v>
      </c>
      <c r="J1726">
        <v>0</v>
      </c>
      <c r="K1726">
        <v>0</v>
      </c>
      <c r="L1726" t="str">
        <f t="shared" si="52"/>
        <v>10-3-2023</v>
      </c>
      <c r="M1726">
        <f t="shared" si="53"/>
        <v>2023</v>
      </c>
    </row>
    <row r="1727" spans="1:13" x14ac:dyDescent="0.2">
      <c r="A1727" s="1">
        <v>44991</v>
      </c>
      <c r="B1727">
        <v>10</v>
      </c>
      <c r="C1727">
        <v>3</v>
      </c>
      <c r="D1727">
        <v>1</v>
      </c>
      <c r="E1727" t="s">
        <v>52</v>
      </c>
      <c r="F1727">
        <v>0</v>
      </c>
      <c r="G1727">
        <f>INDEX(weekly!$E$2:$E$188,MATCH('Marketing Campaigns 22.11.22'!L1727,weekly!$H$2:$H$188,0))</f>
        <v>5846.8064516129025</v>
      </c>
      <c r="H1727">
        <f>INDEX(weekly!$D$2:$D$188,MATCH('Marketing Campaigns 22.11.22'!L1727,weekly!$H$2:$H$188,0))</f>
        <v>10283.469677419356</v>
      </c>
      <c r="I1727">
        <f>INDEX(weekly!$F$2:$F$188,MATCH('Marketing Campaigns 22.11.22'!L1727,weekly!$H$2:$H$188,0))</f>
        <v>3225.7738709677419</v>
      </c>
      <c r="J1727">
        <v>0</v>
      </c>
      <c r="K1727">
        <v>0</v>
      </c>
      <c r="L1727" t="str">
        <f t="shared" si="52"/>
        <v>10-3-2023</v>
      </c>
      <c r="M1727">
        <f t="shared" si="53"/>
        <v>2023</v>
      </c>
    </row>
    <row r="1728" spans="1:13" x14ac:dyDescent="0.2">
      <c r="A1728" s="1">
        <v>44998</v>
      </c>
      <c r="B1728">
        <v>11</v>
      </c>
      <c r="C1728">
        <v>3</v>
      </c>
      <c r="D1728">
        <v>1</v>
      </c>
      <c r="E1728" t="s">
        <v>24</v>
      </c>
      <c r="F1728">
        <v>0</v>
      </c>
      <c r="G1728">
        <f>INDEX(weekly!$E$2:$E$188,MATCH('Marketing Campaigns 22.11.22'!L1728,weekly!$H$2:$H$188,0))</f>
        <v>5846.8064516129025</v>
      </c>
      <c r="H1728">
        <f>INDEX(weekly!$D$2:$D$188,MATCH('Marketing Campaigns 22.11.22'!L1728,weekly!$H$2:$H$188,0))</f>
        <v>10283.469677419356</v>
      </c>
      <c r="I1728">
        <f>INDEX(weekly!$F$2:$F$188,MATCH('Marketing Campaigns 22.11.22'!L1728,weekly!$H$2:$H$188,0))</f>
        <v>3225.7738709677419</v>
      </c>
      <c r="J1728">
        <v>0</v>
      </c>
      <c r="K1728">
        <v>0</v>
      </c>
      <c r="L1728" t="str">
        <f t="shared" si="52"/>
        <v>11-3-2023</v>
      </c>
      <c r="M1728">
        <f t="shared" si="53"/>
        <v>2023</v>
      </c>
    </row>
    <row r="1729" spans="1:13" x14ac:dyDescent="0.2">
      <c r="A1729" s="1">
        <v>44998</v>
      </c>
      <c r="B1729">
        <v>11</v>
      </c>
      <c r="C1729">
        <v>3</v>
      </c>
      <c r="D1729">
        <v>1</v>
      </c>
      <c r="E1729" t="s">
        <v>39</v>
      </c>
      <c r="F1729">
        <v>0</v>
      </c>
      <c r="G1729">
        <f>INDEX(weekly!$E$2:$E$188,MATCH('Marketing Campaigns 22.11.22'!L1729,weekly!$H$2:$H$188,0))</f>
        <v>5846.8064516129025</v>
      </c>
      <c r="H1729">
        <f>INDEX(weekly!$D$2:$D$188,MATCH('Marketing Campaigns 22.11.22'!L1729,weekly!$H$2:$H$188,0))</f>
        <v>10283.469677419356</v>
      </c>
      <c r="I1729">
        <f>INDEX(weekly!$F$2:$F$188,MATCH('Marketing Campaigns 22.11.22'!L1729,weekly!$H$2:$H$188,0))</f>
        <v>3225.7738709677419</v>
      </c>
      <c r="J1729">
        <v>0</v>
      </c>
      <c r="K1729">
        <v>0</v>
      </c>
      <c r="L1729" t="str">
        <f t="shared" si="52"/>
        <v>11-3-2023</v>
      </c>
      <c r="M1729">
        <f t="shared" si="53"/>
        <v>2023</v>
      </c>
    </row>
    <row r="1730" spans="1:13" x14ac:dyDescent="0.2">
      <c r="A1730" s="1">
        <v>44998</v>
      </c>
      <c r="B1730">
        <v>11</v>
      </c>
      <c r="C1730">
        <v>3</v>
      </c>
      <c r="D1730">
        <v>1</v>
      </c>
      <c r="E1730" t="s">
        <v>40</v>
      </c>
      <c r="F1730">
        <v>0</v>
      </c>
      <c r="G1730">
        <f>INDEX(weekly!$E$2:$E$188,MATCH('Marketing Campaigns 22.11.22'!L1730,weekly!$H$2:$H$188,0))</f>
        <v>5846.8064516129025</v>
      </c>
      <c r="H1730">
        <f>INDEX(weekly!$D$2:$D$188,MATCH('Marketing Campaigns 22.11.22'!L1730,weekly!$H$2:$H$188,0))</f>
        <v>10283.469677419356</v>
      </c>
      <c r="I1730">
        <f>INDEX(weekly!$F$2:$F$188,MATCH('Marketing Campaigns 22.11.22'!L1730,weekly!$H$2:$H$188,0))</f>
        <v>3225.7738709677419</v>
      </c>
      <c r="J1730">
        <v>0</v>
      </c>
      <c r="K1730">
        <v>0</v>
      </c>
      <c r="L1730" t="str">
        <f t="shared" si="52"/>
        <v>11-3-2023</v>
      </c>
      <c r="M1730">
        <f t="shared" si="53"/>
        <v>2023</v>
      </c>
    </row>
    <row r="1731" spans="1:13" x14ac:dyDescent="0.2">
      <c r="A1731" s="1">
        <v>44998</v>
      </c>
      <c r="B1731">
        <v>11</v>
      </c>
      <c r="C1731">
        <v>3</v>
      </c>
      <c r="D1731">
        <v>1</v>
      </c>
      <c r="E1731" t="s">
        <v>41</v>
      </c>
      <c r="F1731">
        <v>0</v>
      </c>
      <c r="G1731">
        <f>INDEX(weekly!$E$2:$E$188,MATCH('Marketing Campaigns 22.11.22'!L1731,weekly!$H$2:$H$188,0))</f>
        <v>5846.8064516129025</v>
      </c>
      <c r="H1731">
        <f>INDEX(weekly!$D$2:$D$188,MATCH('Marketing Campaigns 22.11.22'!L1731,weekly!$H$2:$H$188,0))</f>
        <v>10283.469677419356</v>
      </c>
      <c r="I1731">
        <f>INDEX(weekly!$F$2:$F$188,MATCH('Marketing Campaigns 22.11.22'!L1731,weekly!$H$2:$H$188,0))</f>
        <v>3225.7738709677419</v>
      </c>
      <c r="J1731">
        <v>0</v>
      </c>
      <c r="K1731">
        <v>0</v>
      </c>
      <c r="L1731" t="str">
        <f t="shared" si="52"/>
        <v>11-3-2023</v>
      </c>
      <c r="M1731">
        <f t="shared" si="53"/>
        <v>2023</v>
      </c>
    </row>
    <row r="1732" spans="1:13" x14ac:dyDescent="0.2">
      <c r="A1732" s="1">
        <v>44998</v>
      </c>
      <c r="B1732">
        <v>11</v>
      </c>
      <c r="C1732">
        <v>3</v>
      </c>
      <c r="D1732">
        <v>1</v>
      </c>
      <c r="E1732" t="s">
        <v>42</v>
      </c>
      <c r="F1732">
        <v>0</v>
      </c>
      <c r="G1732">
        <f>INDEX(weekly!$E$2:$E$188,MATCH('Marketing Campaigns 22.11.22'!L1732,weekly!$H$2:$H$188,0))</f>
        <v>5846.8064516129025</v>
      </c>
      <c r="H1732">
        <f>INDEX(weekly!$D$2:$D$188,MATCH('Marketing Campaigns 22.11.22'!L1732,weekly!$H$2:$H$188,0))</f>
        <v>10283.469677419356</v>
      </c>
      <c r="I1732">
        <f>INDEX(weekly!$F$2:$F$188,MATCH('Marketing Campaigns 22.11.22'!L1732,weekly!$H$2:$H$188,0))</f>
        <v>3225.7738709677419</v>
      </c>
      <c r="J1732">
        <v>0</v>
      </c>
      <c r="K1732">
        <v>0</v>
      </c>
      <c r="L1732" t="str">
        <f t="shared" ref="L1732:L1795" si="54">B1732&amp;"-"&amp;C1732&amp;"-"&amp;M1732</f>
        <v>11-3-2023</v>
      </c>
      <c r="M1732">
        <f t="shared" ref="M1732:M1795" si="55">YEAR(A1732)</f>
        <v>2023</v>
      </c>
    </row>
    <row r="1733" spans="1:13" x14ac:dyDescent="0.2">
      <c r="A1733" s="1">
        <v>44998</v>
      </c>
      <c r="B1733">
        <v>11</v>
      </c>
      <c r="C1733">
        <v>3</v>
      </c>
      <c r="D1733">
        <v>1</v>
      </c>
      <c r="E1733" t="s">
        <v>43</v>
      </c>
      <c r="F1733">
        <v>0</v>
      </c>
      <c r="G1733">
        <f>INDEX(weekly!$E$2:$E$188,MATCH('Marketing Campaigns 22.11.22'!L1733,weekly!$H$2:$H$188,0))</f>
        <v>5846.8064516129025</v>
      </c>
      <c r="H1733">
        <f>INDEX(weekly!$D$2:$D$188,MATCH('Marketing Campaigns 22.11.22'!L1733,weekly!$H$2:$H$188,0))</f>
        <v>10283.469677419356</v>
      </c>
      <c r="I1733">
        <f>INDEX(weekly!$F$2:$F$188,MATCH('Marketing Campaigns 22.11.22'!L1733,weekly!$H$2:$H$188,0))</f>
        <v>3225.7738709677419</v>
      </c>
      <c r="J1733">
        <v>0</v>
      </c>
      <c r="K1733">
        <v>0</v>
      </c>
      <c r="L1733" t="str">
        <f t="shared" si="54"/>
        <v>11-3-2023</v>
      </c>
      <c r="M1733">
        <f t="shared" si="55"/>
        <v>2023</v>
      </c>
    </row>
    <row r="1734" spans="1:13" x14ac:dyDescent="0.2">
      <c r="A1734" s="1">
        <v>44998</v>
      </c>
      <c r="B1734">
        <v>11</v>
      </c>
      <c r="C1734">
        <v>3</v>
      </c>
      <c r="D1734">
        <v>1</v>
      </c>
      <c r="E1734" t="s">
        <v>44</v>
      </c>
      <c r="F1734">
        <v>0</v>
      </c>
      <c r="G1734">
        <f>INDEX(weekly!$E$2:$E$188,MATCH('Marketing Campaigns 22.11.22'!L1734,weekly!$H$2:$H$188,0))</f>
        <v>5846.8064516129025</v>
      </c>
      <c r="H1734">
        <f>INDEX(weekly!$D$2:$D$188,MATCH('Marketing Campaigns 22.11.22'!L1734,weekly!$H$2:$H$188,0))</f>
        <v>10283.469677419356</v>
      </c>
      <c r="I1734">
        <f>INDEX(weekly!$F$2:$F$188,MATCH('Marketing Campaigns 22.11.22'!L1734,weekly!$H$2:$H$188,0))</f>
        <v>3225.7738709677419</v>
      </c>
      <c r="J1734">
        <v>0</v>
      </c>
      <c r="K1734">
        <v>0</v>
      </c>
      <c r="L1734" t="str">
        <f t="shared" si="54"/>
        <v>11-3-2023</v>
      </c>
      <c r="M1734">
        <f t="shared" si="55"/>
        <v>2023</v>
      </c>
    </row>
    <row r="1735" spans="1:13" x14ac:dyDescent="0.2">
      <c r="A1735" s="1">
        <v>44998</v>
      </c>
      <c r="B1735">
        <v>11</v>
      </c>
      <c r="C1735">
        <v>3</v>
      </c>
      <c r="D1735">
        <v>1</v>
      </c>
      <c r="E1735" t="s">
        <v>45</v>
      </c>
      <c r="F1735">
        <v>0</v>
      </c>
      <c r="G1735">
        <f>INDEX(weekly!$E$2:$E$188,MATCH('Marketing Campaigns 22.11.22'!L1735,weekly!$H$2:$H$188,0))</f>
        <v>5846.8064516129025</v>
      </c>
      <c r="H1735">
        <f>INDEX(weekly!$D$2:$D$188,MATCH('Marketing Campaigns 22.11.22'!L1735,weekly!$H$2:$H$188,0))</f>
        <v>10283.469677419356</v>
      </c>
      <c r="I1735">
        <f>INDEX(weekly!$F$2:$F$188,MATCH('Marketing Campaigns 22.11.22'!L1735,weekly!$H$2:$H$188,0))</f>
        <v>3225.7738709677419</v>
      </c>
      <c r="J1735">
        <v>0</v>
      </c>
      <c r="K1735">
        <v>0</v>
      </c>
      <c r="L1735" t="str">
        <f t="shared" si="54"/>
        <v>11-3-2023</v>
      </c>
      <c r="M1735">
        <f t="shared" si="55"/>
        <v>2023</v>
      </c>
    </row>
    <row r="1736" spans="1:13" x14ac:dyDescent="0.2">
      <c r="A1736" s="1">
        <v>44998</v>
      </c>
      <c r="B1736">
        <v>11</v>
      </c>
      <c r="C1736">
        <v>3</v>
      </c>
      <c r="D1736">
        <v>1</v>
      </c>
      <c r="E1736" t="s">
        <v>46</v>
      </c>
      <c r="F1736">
        <v>0</v>
      </c>
      <c r="G1736">
        <f>INDEX(weekly!$E$2:$E$188,MATCH('Marketing Campaigns 22.11.22'!L1736,weekly!$H$2:$H$188,0))</f>
        <v>5846.8064516129025</v>
      </c>
      <c r="H1736">
        <f>INDEX(weekly!$D$2:$D$188,MATCH('Marketing Campaigns 22.11.22'!L1736,weekly!$H$2:$H$188,0))</f>
        <v>10283.469677419356</v>
      </c>
      <c r="I1736">
        <f>INDEX(weekly!$F$2:$F$188,MATCH('Marketing Campaigns 22.11.22'!L1736,weekly!$H$2:$H$188,0))</f>
        <v>3225.7738709677419</v>
      </c>
      <c r="J1736">
        <v>0</v>
      </c>
      <c r="K1736">
        <v>0</v>
      </c>
      <c r="L1736" t="str">
        <f t="shared" si="54"/>
        <v>11-3-2023</v>
      </c>
      <c r="M1736">
        <f t="shared" si="55"/>
        <v>2023</v>
      </c>
    </row>
    <row r="1737" spans="1:13" x14ac:dyDescent="0.2">
      <c r="A1737" s="1">
        <v>44998</v>
      </c>
      <c r="B1737">
        <v>11</v>
      </c>
      <c r="C1737">
        <v>3</v>
      </c>
      <c r="D1737">
        <v>1</v>
      </c>
      <c r="E1737" t="s">
        <v>47</v>
      </c>
      <c r="F1737">
        <v>0</v>
      </c>
      <c r="G1737">
        <f>INDEX(weekly!$E$2:$E$188,MATCH('Marketing Campaigns 22.11.22'!L1737,weekly!$H$2:$H$188,0))</f>
        <v>5846.8064516129025</v>
      </c>
      <c r="H1737">
        <f>INDEX(weekly!$D$2:$D$188,MATCH('Marketing Campaigns 22.11.22'!L1737,weekly!$H$2:$H$188,0))</f>
        <v>10283.469677419356</v>
      </c>
      <c r="I1737">
        <f>INDEX(weekly!$F$2:$F$188,MATCH('Marketing Campaigns 22.11.22'!L1737,weekly!$H$2:$H$188,0))</f>
        <v>3225.7738709677419</v>
      </c>
      <c r="J1737">
        <v>0</v>
      </c>
      <c r="K1737">
        <v>0</v>
      </c>
      <c r="L1737" t="str">
        <f t="shared" si="54"/>
        <v>11-3-2023</v>
      </c>
      <c r="M1737">
        <f t="shared" si="55"/>
        <v>2023</v>
      </c>
    </row>
    <row r="1738" spans="1:13" x14ac:dyDescent="0.2">
      <c r="A1738" s="1">
        <v>44998</v>
      </c>
      <c r="B1738">
        <v>11</v>
      </c>
      <c r="C1738">
        <v>3</v>
      </c>
      <c r="D1738">
        <v>1</v>
      </c>
      <c r="E1738" t="s">
        <v>48</v>
      </c>
      <c r="F1738">
        <v>0</v>
      </c>
      <c r="G1738">
        <f>INDEX(weekly!$E$2:$E$188,MATCH('Marketing Campaigns 22.11.22'!L1738,weekly!$H$2:$H$188,0))</f>
        <v>5846.8064516129025</v>
      </c>
      <c r="H1738">
        <f>INDEX(weekly!$D$2:$D$188,MATCH('Marketing Campaigns 22.11.22'!L1738,weekly!$H$2:$H$188,0))</f>
        <v>10283.469677419356</v>
      </c>
      <c r="I1738">
        <f>INDEX(weekly!$F$2:$F$188,MATCH('Marketing Campaigns 22.11.22'!L1738,weekly!$H$2:$H$188,0))</f>
        <v>3225.7738709677419</v>
      </c>
      <c r="J1738">
        <v>0</v>
      </c>
      <c r="K1738">
        <v>0</v>
      </c>
      <c r="L1738" t="str">
        <f t="shared" si="54"/>
        <v>11-3-2023</v>
      </c>
      <c r="M1738">
        <f t="shared" si="55"/>
        <v>2023</v>
      </c>
    </row>
    <row r="1739" spans="1:13" x14ac:dyDescent="0.2">
      <c r="A1739" s="1">
        <v>44998</v>
      </c>
      <c r="B1739">
        <v>11</v>
      </c>
      <c r="C1739">
        <v>3</v>
      </c>
      <c r="D1739">
        <v>1</v>
      </c>
      <c r="E1739" t="s">
        <v>49</v>
      </c>
      <c r="F1739">
        <v>0</v>
      </c>
      <c r="G1739">
        <f>INDEX(weekly!$E$2:$E$188,MATCH('Marketing Campaigns 22.11.22'!L1739,weekly!$H$2:$H$188,0))</f>
        <v>5846.8064516129025</v>
      </c>
      <c r="H1739">
        <f>INDEX(weekly!$D$2:$D$188,MATCH('Marketing Campaigns 22.11.22'!L1739,weekly!$H$2:$H$188,0))</f>
        <v>10283.469677419356</v>
      </c>
      <c r="I1739">
        <f>INDEX(weekly!$F$2:$F$188,MATCH('Marketing Campaigns 22.11.22'!L1739,weekly!$H$2:$H$188,0))</f>
        <v>3225.7738709677419</v>
      </c>
      <c r="J1739">
        <v>0</v>
      </c>
      <c r="K1739">
        <v>0</v>
      </c>
      <c r="L1739" t="str">
        <f t="shared" si="54"/>
        <v>11-3-2023</v>
      </c>
      <c r="M1739">
        <f t="shared" si="55"/>
        <v>2023</v>
      </c>
    </row>
    <row r="1740" spans="1:13" x14ac:dyDescent="0.2">
      <c r="A1740" s="1">
        <v>44998</v>
      </c>
      <c r="B1740">
        <v>11</v>
      </c>
      <c r="C1740">
        <v>3</v>
      </c>
      <c r="D1740">
        <v>1</v>
      </c>
      <c r="E1740" t="s">
        <v>50</v>
      </c>
      <c r="F1740">
        <v>0</v>
      </c>
      <c r="G1740">
        <f>INDEX(weekly!$E$2:$E$188,MATCH('Marketing Campaigns 22.11.22'!L1740,weekly!$H$2:$H$188,0))</f>
        <v>5846.8064516129025</v>
      </c>
      <c r="H1740">
        <f>INDEX(weekly!$D$2:$D$188,MATCH('Marketing Campaigns 22.11.22'!L1740,weekly!$H$2:$H$188,0))</f>
        <v>10283.469677419356</v>
      </c>
      <c r="I1740">
        <f>INDEX(weekly!$F$2:$F$188,MATCH('Marketing Campaigns 22.11.22'!L1740,weekly!$H$2:$H$188,0))</f>
        <v>3225.7738709677419</v>
      </c>
      <c r="J1740">
        <v>0</v>
      </c>
      <c r="K1740">
        <v>0</v>
      </c>
      <c r="L1740" t="str">
        <f t="shared" si="54"/>
        <v>11-3-2023</v>
      </c>
      <c r="M1740">
        <f t="shared" si="55"/>
        <v>2023</v>
      </c>
    </row>
    <row r="1741" spans="1:13" x14ac:dyDescent="0.2">
      <c r="A1741" s="1">
        <v>44998</v>
      </c>
      <c r="B1741">
        <v>11</v>
      </c>
      <c r="C1741">
        <v>3</v>
      </c>
      <c r="D1741">
        <v>1</v>
      </c>
      <c r="E1741" t="s">
        <v>51</v>
      </c>
      <c r="F1741">
        <v>0</v>
      </c>
      <c r="G1741">
        <f>INDEX(weekly!$E$2:$E$188,MATCH('Marketing Campaigns 22.11.22'!L1741,weekly!$H$2:$H$188,0))</f>
        <v>5846.8064516129025</v>
      </c>
      <c r="H1741">
        <f>INDEX(weekly!$D$2:$D$188,MATCH('Marketing Campaigns 22.11.22'!L1741,weekly!$H$2:$H$188,0))</f>
        <v>10283.469677419356</v>
      </c>
      <c r="I1741">
        <f>INDEX(weekly!$F$2:$F$188,MATCH('Marketing Campaigns 22.11.22'!L1741,weekly!$H$2:$H$188,0))</f>
        <v>3225.7738709677419</v>
      </c>
      <c r="J1741">
        <v>0</v>
      </c>
      <c r="K1741">
        <v>0</v>
      </c>
      <c r="L1741" t="str">
        <f t="shared" si="54"/>
        <v>11-3-2023</v>
      </c>
      <c r="M1741">
        <f t="shared" si="55"/>
        <v>2023</v>
      </c>
    </row>
    <row r="1742" spans="1:13" x14ac:dyDescent="0.2">
      <c r="A1742" s="1">
        <v>44998</v>
      </c>
      <c r="B1742">
        <v>11</v>
      </c>
      <c r="C1742">
        <v>3</v>
      </c>
      <c r="D1742">
        <v>1</v>
      </c>
      <c r="E1742" t="s">
        <v>52</v>
      </c>
      <c r="F1742">
        <v>0</v>
      </c>
      <c r="G1742">
        <f>INDEX(weekly!$E$2:$E$188,MATCH('Marketing Campaigns 22.11.22'!L1742,weekly!$H$2:$H$188,0))</f>
        <v>5846.8064516129025</v>
      </c>
      <c r="H1742">
        <f>INDEX(weekly!$D$2:$D$188,MATCH('Marketing Campaigns 22.11.22'!L1742,weekly!$H$2:$H$188,0))</f>
        <v>10283.469677419356</v>
      </c>
      <c r="I1742">
        <f>INDEX(weekly!$F$2:$F$188,MATCH('Marketing Campaigns 22.11.22'!L1742,weekly!$H$2:$H$188,0))</f>
        <v>3225.7738709677419</v>
      </c>
      <c r="J1742">
        <v>0</v>
      </c>
      <c r="K1742">
        <v>0</v>
      </c>
      <c r="L1742" t="str">
        <f t="shared" si="54"/>
        <v>11-3-2023</v>
      </c>
      <c r="M1742">
        <f t="shared" si="55"/>
        <v>2023</v>
      </c>
    </row>
    <row r="1743" spans="1:13" x14ac:dyDescent="0.2">
      <c r="A1743" s="1">
        <v>45005</v>
      </c>
      <c r="B1743">
        <v>12</v>
      </c>
      <c r="C1743">
        <v>3</v>
      </c>
      <c r="D1743">
        <v>1</v>
      </c>
      <c r="E1743" t="s">
        <v>24</v>
      </c>
      <c r="F1743">
        <v>0</v>
      </c>
      <c r="G1743">
        <f>INDEX(weekly!$E$2:$E$188,MATCH('Marketing Campaigns 22.11.22'!L1743,weekly!$H$2:$H$188,0))</f>
        <v>5846.8064516129025</v>
      </c>
      <c r="H1743">
        <f>INDEX(weekly!$D$2:$D$188,MATCH('Marketing Campaigns 22.11.22'!L1743,weekly!$H$2:$H$188,0))</f>
        <v>10283.469677419356</v>
      </c>
      <c r="I1743">
        <f>INDEX(weekly!$F$2:$F$188,MATCH('Marketing Campaigns 22.11.22'!L1743,weekly!$H$2:$H$188,0))</f>
        <v>3225.7738709677419</v>
      </c>
      <c r="J1743">
        <v>0</v>
      </c>
      <c r="K1743">
        <v>0</v>
      </c>
      <c r="L1743" t="str">
        <f t="shared" si="54"/>
        <v>12-3-2023</v>
      </c>
      <c r="M1743">
        <f t="shared" si="55"/>
        <v>2023</v>
      </c>
    </row>
    <row r="1744" spans="1:13" x14ac:dyDescent="0.2">
      <c r="A1744" s="1">
        <v>45005</v>
      </c>
      <c r="B1744">
        <v>12</v>
      </c>
      <c r="C1744">
        <v>3</v>
      </c>
      <c r="D1744">
        <v>1</v>
      </c>
      <c r="E1744" t="s">
        <v>39</v>
      </c>
      <c r="F1744">
        <v>0</v>
      </c>
      <c r="G1744">
        <f>INDEX(weekly!$E$2:$E$188,MATCH('Marketing Campaigns 22.11.22'!L1744,weekly!$H$2:$H$188,0))</f>
        <v>5846.8064516129025</v>
      </c>
      <c r="H1744">
        <f>INDEX(weekly!$D$2:$D$188,MATCH('Marketing Campaigns 22.11.22'!L1744,weekly!$H$2:$H$188,0))</f>
        <v>10283.469677419356</v>
      </c>
      <c r="I1744">
        <f>INDEX(weekly!$F$2:$F$188,MATCH('Marketing Campaigns 22.11.22'!L1744,weekly!$H$2:$H$188,0))</f>
        <v>3225.7738709677419</v>
      </c>
      <c r="J1744">
        <v>0</v>
      </c>
      <c r="K1744">
        <v>0</v>
      </c>
      <c r="L1744" t="str">
        <f t="shared" si="54"/>
        <v>12-3-2023</v>
      </c>
      <c r="M1744">
        <f t="shared" si="55"/>
        <v>2023</v>
      </c>
    </row>
    <row r="1745" spans="1:13" x14ac:dyDescent="0.2">
      <c r="A1745" s="1">
        <v>45005</v>
      </c>
      <c r="B1745">
        <v>12</v>
      </c>
      <c r="C1745">
        <v>3</v>
      </c>
      <c r="D1745">
        <v>1</v>
      </c>
      <c r="E1745" t="s">
        <v>40</v>
      </c>
      <c r="F1745">
        <v>0</v>
      </c>
      <c r="G1745">
        <f>INDEX(weekly!$E$2:$E$188,MATCH('Marketing Campaigns 22.11.22'!L1745,weekly!$H$2:$H$188,0))</f>
        <v>5846.8064516129025</v>
      </c>
      <c r="H1745">
        <f>INDEX(weekly!$D$2:$D$188,MATCH('Marketing Campaigns 22.11.22'!L1745,weekly!$H$2:$H$188,0))</f>
        <v>10283.469677419356</v>
      </c>
      <c r="I1745">
        <f>INDEX(weekly!$F$2:$F$188,MATCH('Marketing Campaigns 22.11.22'!L1745,weekly!$H$2:$H$188,0))</f>
        <v>3225.7738709677419</v>
      </c>
      <c r="J1745">
        <v>0</v>
      </c>
      <c r="K1745">
        <v>0</v>
      </c>
      <c r="L1745" t="str">
        <f t="shared" si="54"/>
        <v>12-3-2023</v>
      </c>
      <c r="M1745">
        <f t="shared" si="55"/>
        <v>2023</v>
      </c>
    </row>
    <row r="1746" spans="1:13" x14ac:dyDescent="0.2">
      <c r="A1746" s="1">
        <v>45005</v>
      </c>
      <c r="B1746">
        <v>12</v>
      </c>
      <c r="C1746">
        <v>3</v>
      </c>
      <c r="D1746">
        <v>1</v>
      </c>
      <c r="E1746" t="s">
        <v>41</v>
      </c>
      <c r="F1746">
        <v>0</v>
      </c>
      <c r="G1746">
        <f>INDEX(weekly!$E$2:$E$188,MATCH('Marketing Campaigns 22.11.22'!L1746,weekly!$H$2:$H$188,0))</f>
        <v>5846.8064516129025</v>
      </c>
      <c r="H1746">
        <f>INDEX(weekly!$D$2:$D$188,MATCH('Marketing Campaigns 22.11.22'!L1746,weekly!$H$2:$H$188,0))</f>
        <v>10283.469677419356</v>
      </c>
      <c r="I1746">
        <f>INDEX(weekly!$F$2:$F$188,MATCH('Marketing Campaigns 22.11.22'!L1746,weekly!$H$2:$H$188,0))</f>
        <v>3225.7738709677419</v>
      </c>
      <c r="J1746">
        <v>0</v>
      </c>
      <c r="K1746">
        <v>0</v>
      </c>
      <c r="L1746" t="str">
        <f t="shared" si="54"/>
        <v>12-3-2023</v>
      </c>
      <c r="M1746">
        <f t="shared" si="55"/>
        <v>2023</v>
      </c>
    </row>
    <row r="1747" spans="1:13" x14ac:dyDescent="0.2">
      <c r="A1747" s="1">
        <v>45005</v>
      </c>
      <c r="B1747">
        <v>12</v>
      </c>
      <c r="C1747">
        <v>3</v>
      </c>
      <c r="D1747">
        <v>1</v>
      </c>
      <c r="E1747" t="s">
        <v>42</v>
      </c>
      <c r="F1747">
        <v>0</v>
      </c>
      <c r="G1747">
        <f>INDEX(weekly!$E$2:$E$188,MATCH('Marketing Campaigns 22.11.22'!L1747,weekly!$H$2:$H$188,0))</f>
        <v>5846.8064516129025</v>
      </c>
      <c r="H1747">
        <f>INDEX(weekly!$D$2:$D$188,MATCH('Marketing Campaigns 22.11.22'!L1747,weekly!$H$2:$H$188,0))</f>
        <v>10283.469677419356</v>
      </c>
      <c r="I1747">
        <f>INDEX(weekly!$F$2:$F$188,MATCH('Marketing Campaigns 22.11.22'!L1747,weekly!$H$2:$H$188,0))</f>
        <v>3225.7738709677419</v>
      </c>
      <c r="J1747">
        <v>0</v>
      </c>
      <c r="K1747">
        <v>0</v>
      </c>
      <c r="L1747" t="str">
        <f t="shared" si="54"/>
        <v>12-3-2023</v>
      </c>
      <c r="M1747">
        <f t="shared" si="55"/>
        <v>2023</v>
      </c>
    </row>
    <row r="1748" spans="1:13" x14ac:dyDescent="0.2">
      <c r="A1748" s="1">
        <v>45005</v>
      </c>
      <c r="B1748">
        <v>12</v>
      </c>
      <c r="C1748">
        <v>3</v>
      </c>
      <c r="D1748">
        <v>1</v>
      </c>
      <c r="E1748" t="s">
        <v>43</v>
      </c>
      <c r="F1748">
        <v>0</v>
      </c>
      <c r="G1748">
        <f>INDEX(weekly!$E$2:$E$188,MATCH('Marketing Campaigns 22.11.22'!L1748,weekly!$H$2:$H$188,0))</f>
        <v>5846.8064516129025</v>
      </c>
      <c r="H1748">
        <f>INDEX(weekly!$D$2:$D$188,MATCH('Marketing Campaigns 22.11.22'!L1748,weekly!$H$2:$H$188,0))</f>
        <v>10283.469677419356</v>
      </c>
      <c r="I1748">
        <f>INDEX(weekly!$F$2:$F$188,MATCH('Marketing Campaigns 22.11.22'!L1748,weekly!$H$2:$H$188,0))</f>
        <v>3225.7738709677419</v>
      </c>
      <c r="J1748">
        <v>0</v>
      </c>
      <c r="K1748">
        <v>0</v>
      </c>
      <c r="L1748" t="str">
        <f t="shared" si="54"/>
        <v>12-3-2023</v>
      </c>
      <c r="M1748">
        <f t="shared" si="55"/>
        <v>2023</v>
      </c>
    </row>
    <row r="1749" spans="1:13" x14ac:dyDescent="0.2">
      <c r="A1749" s="1">
        <v>45005</v>
      </c>
      <c r="B1749">
        <v>12</v>
      </c>
      <c r="C1749">
        <v>3</v>
      </c>
      <c r="D1749">
        <v>1</v>
      </c>
      <c r="E1749" t="s">
        <v>44</v>
      </c>
      <c r="F1749">
        <v>0</v>
      </c>
      <c r="G1749">
        <f>INDEX(weekly!$E$2:$E$188,MATCH('Marketing Campaigns 22.11.22'!L1749,weekly!$H$2:$H$188,0))</f>
        <v>5846.8064516129025</v>
      </c>
      <c r="H1749">
        <f>INDEX(weekly!$D$2:$D$188,MATCH('Marketing Campaigns 22.11.22'!L1749,weekly!$H$2:$H$188,0))</f>
        <v>10283.469677419356</v>
      </c>
      <c r="I1749">
        <f>INDEX(weekly!$F$2:$F$188,MATCH('Marketing Campaigns 22.11.22'!L1749,weekly!$H$2:$H$188,0))</f>
        <v>3225.7738709677419</v>
      </c>
      <c r="J1749">
        <v>0</v>
      </c>
      <c r="K1749">
        <v>0</v>
      </c>
      <c r="L1749" t="str">
        <f t="shared" si="54"/>
        <v>12-3-2023</v>
      </c>
      <c r="M1749">
        <f t="shared" si="55"/>
        <v>2023</v>
      </c>
    </row>
    <row r="1750" spans="1:13" x14ac:dyDescent="0.2">
      <c r="A1750" s="1">
        <v>45005</v>
      </c>
      <c r="B1750">
        <v>12</v>
      </c>
      <c r="C1750">
        <v>3</v>
      </c>
      <c r="D1750">
        <v>1</v>
      </c>
      <c r="E1750" t="s">
        <v>45</v>
      </c>
      <c r="F1750">
        <v>0</v>
      </c>
      <c r="G1750">
        <f>INDEX(weekly!$E$2:$E$188,MATCH('Marketing Campaigns 22.11.22'!L1750,weekly!$H$2:$H$188,0))</f>
        <v>5846.8064516129025</v>
      </c>
      <c r="H1750">
        <f>INDEX(weekly!$D$2:$D$188,MATCH('Marketing Campaigns 22.11.22'!L1750,weekly!$H$2:$H$188,0))</f>
        <v>10283.469677419356</v>
      </c>
      <c r="I1750">
        <f>INDEX(weekly!$F$2:$F$188,MATCH('Marketing Campaigns 22.11.22'!L1750,weekly!$H$2:$H$188,0))</f>
        <v>3225.7738709677419</v>
      </c>
      <c r="J1750">
        <v>0</v>
      </c>
      <c r="K1750">
        <v>0</v>
      </c>
      <c r="L1750" t="str">
        <f t="shared" si="54"/>
        <v>12-3-2023</v>
      </c>
      <c r="M1750">
        <f t="shared" si="55"/>
        <v>2023</v>
      </c>
    </row>
    <row r="1751" spans="1:13" x14ac:dyDescent="0.2">
      <c r="A1751" s="1">
        <v>45005</v>
      </c>
      <c r="B1751">
        <v>12</v>
      </c>
      <c r="C1751">
        <v>3</v>
      </c>
      <c r="D1751">
        <v>1</v>
      </c>
      <c r="E1751" t="s">
        <v>46</v>
      </c>
      <c r="F1751">
        <v>0</v>
      </c>
      <c r="G1751">
        <f>INDEX(weekly!$E$2:$E$188,MATCH('Marketing Campaigns 22.11.22'!L1751,weekly!$H$2:$H$188,0))</f>
        <v>5846.8064516129025</v>
      </c>
      <c r="H1751">
        <f>INDEX(weekly!$D$2:$D$188,MATCH('Marketing Campaigns 22.11.22'!L1751,weekly!$H$2:$H$188,0))</f>
        <v>10283.469677419356</v>
      </c>
      <c r="I1751">
        <f>INDEX(weekly!$F$2:$F$188,MATCH('Marketing Campaigns 22.11.22'!L1751,weekly!$H$2:$H$188,0))</f>
        <v>3225.7738709677419</v>
      </c>
      <c r="J1751">
        <v>0</v>
      </c>
      <c r="K1751">
        <v>0</v>
      </c>
      <c r="L1751" t="str">
        <f t="shared" si="54"/>
        <v>12-3-2023</v>
      </c>
      <c r="M1751">
        <f t="shared" si="55"/>
        <v>2023</v>
      </c>
    </row>
    <row r="1752" spans="1:13" x14ac:dyDescent="0.2">
      <c r="A1752" s="1">
        <v>45005</v>
      </c>
      <c r="B1752">
        <v>12</v>
      </c>
      <c r="C1752">
        <v>3</v>
      </c>
      <c r="D1752">
        <v>1</v>
      </c>
      <c r="E1752" t="s">
        <v>47</v>
      </c>
      <c r="F1752">
        <v>0</v>
      </c>
      <c r="G1752">
        <f>INDEX(weekly!$E$2:$E$188,MATCH('Marketing Campaigns 22.11.22'!L1752,weekly!$H$2:$H$188,0))</f>
        <v>5846.8064516129025</v>
      </c>
      <c r="H1752">
        <f>INDEX(weekly!$D$2:$D$188,MATCH('Marketing Campaigns 22.11.22'!L1752,weekly!$H$2:$H$188,0))</f>
        <v>10283.469677419356</v>
      </c>
      <c r="I1752">
        <f>INDEX(weekly!$F$2:$F$188,MATCH('Marketing Campaigns 22.11.22'!L1752,weekly!$H$2:$H$188,0))</f>
        <v>3225.7738709677419</v>
      </c>
      <c r="J1752">
        <v>0</v>
      </c>
      <c r="K1752">
        <v>0</v>
      </c>
      <c r="L1752" t="str">
        <f t="shared" si="54"/>
        <v>12-3-2023</v>
      </c>
      <c r="M1752">
        <f t="shared" si="55"/>
        <v>2023</v>
      </c>
    </row>
    <row r="1753" spans="1:13" x14ac:dyDescent="0.2">
      <c r="A1753" s="1">
        <v>45005</v>
      </c>
      <c r="B1753">
        <v>12</v>
      </c>
      <c r="C1753">
        <v>3</v>
      </c>
      <c r="D1753">
        <v>1</v>
      </c>
      <c r="E1753" t="s">
        <v>48</v>
      </c>
      <c r="F1753">
        <v>0</v>
      </c>
      <c r="G1753">
        <f>INDEX(weekly!$E$2:$E$188,MATCH('Marketing Campaigns 22.11.22'!L1753,weekly!$H$2:$H$188,0))</f>
        <v>5846.8064516129025</v>
      </c>
      <c r="H1753">
        <f>INDEX(weekly!$D$2:$D$188,MATCH('Marketing Campaigns 22.11.22'!L1753,weekly!$H$2:$H$188,0))</f>
        <v>10283.469677419356</v>
      </c>
      <c r="I1753">
        <f>INDEX(weekly!$F$2:$F$188,MATCH('Marketing Campaigns 22.11.22'!L1753,weekly!$H$2:$H$188,0))</f>
        <v>3225.7738709677419</v>
      </c>
      <c r="J1753">
        <v>0</v>
      </c>
      <c r="K1753">
        <v>0</v>
      </c>
      <c r="L1753" t="str">
        <f t="shared" si="54"/>
        <v>12-3-2023</v>
      </c>
      <c r="M1753">
        <f t="shared" si="55"/>
        <v>2023</v>
      </c>
    </row>
    <row r="1754" spans="1:13" x14ac:dyDescent="0.2">
      <c r="A1754" s="1">
        <v>45005</v>
      </c>
      <c r="B1754">
        <v>12</v>
      </c>
      <c r="C1754">
        <v>3</v>
      </c>
      <c r="D1754">
        <v>1</v>
      </c>
      <c r="E1754" t="s">
        <v>49</v>
      </c>
      <c r="F1754">
        <v>0</v>
      </c>
      <c r="G1754">
        <f>INDEX(weekly!$E$2:$E$188,MATCH('Marketing Campaigns 22.11.22'!L1754,weekly!$H$2:$H$188,0))</f>
        <v>5846.8064516129025</v>
      </c>
      <c r="H1754">
        <f>INDEX(weekly!$D$2:$D$188,MATCH('Marketing Campaigns 22.11.22'!L1754,weekly!$H$2:$H$188,0))</f>
        <v>10283.469677419356</v>
      </c>
      <c r="I1754">
        <f>INDEX(weekly!$F$2:$F$188,MATCH('Marketing Campaigns 22.11.22'!L1754,weekly!$H$2:$H$188,0))</f>
        <v>3225.7738709677419</v>
      </c>
      <c r="J1754">
        <v>0</v>
      </c>
      <c r="K1754">
        <v>0</v>
      </c>
      <c r="L1754" t="str">
        <f t="shared" si="54"/>
        <v>12-3-2023</v>
      </c>
      <c r="M1754">
        <f t="shared" si="55"/>
        <v>2023</v>
      </c>
    </row>
    <row r="1755" spans="1:13" x14ac:dyDescent="0.2">
      <c r="A1755" s="1">
        <v>45005</v>
      </c>
      <c r="B1755">
        <v>12</v>
      </c>
      <c r="C1755">
        <v>3</v>
      </c>
      <c r="D1755">
        <v>1</v>
      </c>
      <c r="E1755" t="s">
        <v>50</v>
      </c>
      <c r="F1755">
        <v>0</v>
      </c>
      <c r="G1755">
        <f>INDEX(weekly!$E$2:$E$188,MATCH('Marketing Campaigns 22.11.22'!L1755,weekly!$H$2:$H$188,0))</f>
        <v>5846.8064516129025</v>
      </c>
      <c r="H1755">
        <f>INDEX(weekly!$D$2:$D$188,MATCH('Marketing Campaigns 22.11.22'!L1755,weekly!$H$2:$H$188,0))</f>
        <v>10283.469677419356</v>
      </c>
      <c r="I1755">
        <f>INDEX(weekly!$F$2:$F$188,MATCH('Marketing Campaigns 22.11.22'!L1755,weekly!$H$2:$H$188,0))</f>
        <v>3225.7738709677419</v>
      </c>
      <c r="J1755">
        <v>0</v>
      </c>
      <c r="K1755">
        <v>0</v>
      </c>
      <c r="L1755" t="str">
        <f t="shared" si="54"/>
        <v>12-3-2023</v>
      </c>
      <c r="M1755">
        <f t="shared" si="55"/>
        <v>2023</v>
      </c>
    </row>
    <row r="1756" spans="1:13" x14ac:dyDescent="0.2">
      <c r="A1756" s="1">
        <v>45005</v>
      </c>
      <c r="B1756">
        <v>12</v>
      </c>
      <c r="C1756">
        <v>3</v>
      </c>
      <c r="D1756">
        <v>1</v>
      </c>
      <c r="E1756" t="s">
        <v>51</v>
      </c>
      <c r="F1756">
        <v>0</v>
      </c>
      <c r="G1756">
        <f>INDEX(weekly!$E$2:$E$188,MATCH('Marketing Campaigns 22.11.22'!L1756,weekly!$H$2:$H$188,0))</f>
        <v>5846.8064516129025</v>
      </c>
      <c r="H1756">
        <f>INDEX(weekly!$D$2:$D$188,MATCH('Marketing Campaigns 22.11.22'!L1756,weekly!$H$2:$H$188,0))</f>
        <v>10283.469677419356</v>
      </c>
      <c r="I1756">
        <f>INDEX(weekly!$F$2:$F$188,MATCH('Marketing Campaigns 22.11.22'!L1756,weekly!$H$2:$H$188,0))</f>
        <v>3225.7738709677419</v>
      </c>
      <c r="J1756">
        <v>0</v>
      </c>
      <c r="K1756">
        <v>0</v>
      </c>
      <c r="L1756" t="str">
        <f t="shared" si="54"/>
        <v>12-3-2023</v>
      </c>
      <c r="M1756">
        <f t="shared" si="55"/>
        <v>2023</v>
      </c>
    </row>
    <row r="1757" spans="1:13" x14ac:dyDescent="0.2">
      <c r="A1757" s="1">
        <v>45005</v>
      </c>
      <c r="B1757">
        <v>12</v>
      </c>
      <c r="C1757">
        <v>3</v>
      </c>
      <c r="D1757">
        <v>1</v>
      </c>
      <c r="E1757" t="s">
        <v>52</v>
      </c>
      <c r="F1757">
        <v>0</v>
      </c>
      <c r="G1757">
        <f>INDEX(weekly!$E$2:$E$188,MATCH('Marketing Campaigns 22.11.22'!L1757,weekly!$H$2:$H$188,0))</f>
        <v>5846.8064516129025</v>
      </c>
      <c r="H1757">
        <f>INDEX(weekly!$D$2:$D$188,MATCH('Marketing Campaigns 22.11.22'!L1757,weekly!$H$2:$H$188,0))</f>
        <v>10283.469677419356</v>
      </c>
      <c r="I1757">
        <f>INDEX(weekly!$F$2:$F$188,MATCH('Marketing Campaigns 22.11.22'!L1757,weekly!$H$2:$H$188,0))</f>
        <v>3225.7738709677419</v>
      </c>
      <c r="J1757">
        <v>0</v>
      </c>
      <c r="K1757">
        <v>0</v>
      </c>
      <c r="L1757" t="str">
        <f t="shared" si="54"/>
        <v>12-3-2023</v>
      </c>
      <c r="M1757">
        <f t="shared" si="55"/>
        <v>2023</v>
      </c>
    </row>
    <row r="1758" spans="1:13" x14ac:dyDescent="0.2">
      <c r="A1758" s="1">
        <v>45012</v>
      </c>
      <c r="B1758">
        <v>13</v>
      </c>
      <c r="C1758">
        <v>3</v>
      </c>
      <c r="D1758">
        <v>1</v>
      </c>
      <c r="E1758" t="s">
        <v>24</v>
      </c>
      <c r="F1758">
        <v>0</v>
      </c>
      <c r="G1758">
        <f>INDEX(weekly!$E$2:$E$188,MATCH('Marketing Campaigns 22.11.22'!L1758,weekly!$H$2:$H$188,0))</f>
        <v>4176.2903225806449</v>
      </c>
      <c r="H1758">
        <f>INDEX(weekly!$D$2:$D$188,MATCH('Marketing Campaigns 22.11.22'!L1758,weekly!$H$2:$H$188,0))</f>
        <v>7345.3354838709683</v>
      </c>
      <c r="I1758">
        <f>INDEX(weekly!$F$2:$F$188,MATCH('Marketing Campaigns 22.11.22'!L1758,weekly!$H$2:$H$188,0))</f>
        <v>2304.1241935483872</v>
      </c>
      <c r="J1758">
        <v>0</v>
      </c>
      <c r="K1758">
        <v>0</v>
      </c>
      <c r="L1758" t="str">
        <f t="shared" si="54"/>
        <v>13-3-2023</v>
      </c>
      <c r="M1758">
        <f t="shared" si="55"/>
        <v>2023</v>
      </c>
    </row>
    <row r="1759" spans="1:13" x14ac:dyDescent="0.2">
      <c r="A1759" s="1">
        <v>45012</v>
      </c>
      <c r="B1759">
        <v>13</v>
      </c>
      <c r="C1759">
        <v>3</v>
      </c>
      <c r="D1759">
        <v>1</v>
      </c>
      <c r="E1759" t="s">
        <v>39</v>
      </c>
      <c r="F1759">
        <v>0</v>
      </c>
      <c r="G1759">
        <f>INDEX(weekly!$E$2:$E$188,MATCH('Marketing Campaigns 22.11.22'!L1759,weekly!$H$2:$H$188,0))</f>
        <v>4176.2903225806449</v>
      </c>
      <c r="H1759">
        <f>INDEX(weekly!$D$2:$D$188,MATCH('Marketing Campaigns 22.11.22'!L1759,weekly!$H$2:$H$188,0))</f>
        <v>7345.3354838709683</v>
      </c>
      <c r="I1759">
        <f>INDEX(weekly!$F$2:$F$188,MATCH('Marketing Campaigns 22.11.22'!L1759,weekly!$H$2:$H$188,0))</f>
        <v>2304.1241935483872</v>
      </c>
      <c r="J1759">
        <v>0</v>
      </c>
      <c r="K1759">
        <v>0</v>
      </c>
      <c r="L1759" t="str">
        <f t="shared" si="54"/>
        <v>13-3-2023</v>
      </c>
      <c r="M1759">
        <f t="shared" si="55"/>
        <v>2023</v>
      </c>
    </row>
    <row r="1760" spans="1:13" x14ac:dyDescent="0.2">
      <c r="A1760" s="1">
        <v>45012</v>
      </c>
      <c r="B1760">
        <v>13</v>
      </c>
      <c r="C1760">
        <v>3</v>
      </c>
      <c r="D1760">
        <v>1</v>
      </c>
      <c r="E1760" t="s">
        <v>40</v>
      </c>
      <c r="F1760">
        <v>0</v>
      </c>
      <c r="G1760">
        <f>INDEX(weekly!$E$2:$E$188,MATCH('Marketing Campaigns 22.11.22'!L1760,weekly!$H$2:$H$188,0))</f>
        <v>4176.2903225806449</v>
      </c>
      <c r="H1760">
        <f>INDEX(weekly!$D$2:$D$188,MATCH('Marketing Campaigns 22.11.22'!L1760,weekly!$H$2:$H$188,0))</f>
        <v>7345.3354838709683</v>
      </c>
      <c r="I1760">
        <f>INDEX(weekly!$F$2:$F$188,MATCH('Marketing Campaigns 22.11.22'!L1760,weekly!$H$2:$H$188,0))</f>
        <v>2304.1241935483872</v>
      </c>
      <c r="J1760">
        <v>0</v>
      </c>
      <c r="K1760">
        <v>0</v>
      </c>
      <c r="L1760" t="str">
        <f t="shared" si="54"/>
        <v>13-3-2023</v>
      </c>
      <c r="M1760">
        <f t="shared" si="55"/>
        <v>2023</v>
      </c>
    </row>
    <row r="1761" spans="1:13" x14ac:dyDescent="0.2">
      <c r="A1761" s="1">
        <v>45012</v>
      </c>
      <c r="B1761">
        <v>13</v>
      </c>
      <c r="C1761">
        <v>3</v>
      </c>
      <c r="D1761">
        <v>1</v>
      </c>
      <c r="E1761" t="s">
        <v>41</v>
      </c>
      <c r="F1761">
        <v>0</v>
      </c>
      <c r="G1761">
        <f>INDEX(weekly!$E$2:$E$188,MATCH('Marketing Campaigns 22.11.22'!L1761,weekly!$H$2:$H$188,0))</f>
        <v>4176.2903225806449</v>
      </c>
      <c r="H1761">
        <f>INDEX(weekly!$D$2:$D$188,MATCH('Marketing Campaigns 22.11.22'!L1761,weekly!$H$2:$H$188,0))</f>
        <v>7345.3354838709683</v>
      </c>
      <c r="I1761">
        <f>INDEX(weekly!$F$2:$F$188,MATCH('Marketing Campaigns 22.11.22'!L1761,weekly!$H$2:$H$188,0))</f>
        <v>2304.1241935483872</v>
      </c>
      <c r="J1761">
        <v>0</v>
      </c>
      <c r="K1761">
        <v>0</v>
      </c>
      <c r="L1761" t="str">
        <f t="shared" si="54"/>
        <v>13-3-2023</v>
      </c>
      <c r="M1761">
        <f t="shared" si="55"/>
        <v>2023</v>
      </c>
    </row>
    <row r="1762" spans="1:13" x14ac:dyDescent="0.2">
      <c r="A1762" s="1">
        <v>45012</v>
      </c>
      <c r="B1762">
        <v>13</v>
      </c>
      <c r="C1762">
        <v>3</v>
      </c>
      <c r="D1762">
        <v>1</v>
      </c>
      <c r="E1762" t="s">
        <v>42</v>
      </c>
      <c r="F1762">
        <v>0</v>
      </c>
      <c r="G1762">
        <f>INDEX(weekly!$E$2:$E$188,MATCH('Marketing Campaigns 22.11.22'!L1762,weekly!$H$2:$H$188,0))</f>
        <v>4176.2903225806449</v>
      </c>
      <c r="H1762">
        <f>INDEX(weekly!$D$2:$D$188,MATCH('Marketing Campaigns 22.11.22'!L1762,weekly!$H$2:$H$188,0))</f>
        <v>7345.3354838709683</v>
      </c>
      <c r="I1762">
        <f>INDEX(weekly!$F$2:$F$188,MATCH('Marketing Campaigns 22.11.22'!L1762,weekly!$H$2:$H$188,0))</f>
        <v>2304.1241935483872</v>
      </c>
      <c r="J1762">
        <v>0</v>
      </c>
      <c r="K1762">
        <v>0</v>
      </c>
      <c r="L1762" t="str">
        <f t="shared" si="54"/>
        <v>13-3-2023</v>
      </c>
      <c r="M1762">
        <f t="shared" si="55"/>
        <v>2023</v>
      </c>
    </row>
    <row r="1763" spans="1:13" x14ac:dyDescent="0.2">
      <c r="A1763" s="1">
        <v>45012</v>
      </c>
      <c r="B1763">
        <v>13</v>
      </c>
      <c r="C1763">
        <v>3</v>
      </c>
      <c r="D1763">
        <v>1</v>
      </c>
      <c r="E1763" t="s">
        <v>43</v>
      </c>
      <c r="F1763">
        <v>0</v>
      </c>
      <c r="G1763">
        <f>INDEX(weekly!$E$2:$E$188,MATCH('Marketing Campaigns 22.11.22'!L1763,weekly!$H$2:$H$188,0))</f>
        <v>4176.2903225806449</v>
      </c>
      <c r="H1763">
        <f>INDEX(weekly!$D$2:$D$188,MATCH('Marketing Campaigns 22.11.22'!L1763,weekly!$H$2:$H$188,0))</f>
        <v>7345.3354838709683</v>
      </c>
      <c r="I1763">
        <f>INDEX(weekly!$F$2:$F$188,MATCH('Marketing Campaigns 22.11.22'!L1763,weekly!$H$2:$H$188,0))</f>
        <v>2304.1241935483872</v>
      </c>
      <c r="J1763">
        <v>0</v>
      </c>
      <c r="K1763">
        <v>0</v>
      </c>
      <c r="L1763" t="str">
        <f t="shared" si="54"/>
        <v>13-3-2023</v>
      </c>
      <c r="M1763">
        <f t="shared" si="55"/>
        <v>2023</v>
      </c>
    </row>
    <row r="1764" spans="1:13" x14ac:dyDescent="0.2">
      <c r="A1764" s="1">
        <v>45012</v>
      </c>
      <c r="B1764">
        <v>13</v>
      </c>
      <c r="C1764">
        <v>3</v>
      </c>
      <c r="D1764">
        <v>1</v>
      </c>
      <c r="E1764" t="s">
        <v>44</v>
      </c>
      <c r="F1764">
        <v>0</v>
      </c>
      <c r="G1764">
        <f>INDEX(weekly!$E$2:$E$188,MATCH('Marketing Campaigns 22.11.22'!L1764,weekly!$H$2:$H$188,0))</f>
        <v>4176.2903225806449</v>
      </c>
      <c r="H1764">
        <f>INDEX(weekly!$D$2:$D$188,MATCH('Marketing Campaigns 22.11.22'!L1764,weekly!$H$2:$H$188,0))</f>
        <v>7345.3354838709683</v>
      </c>
      <c r="I1764">
        <f>INDEX(weekly!$F$2:$F$188,MATCH('Marketing Campaigns 22.11.22'!L1764,weekly!$H$2:$H$188,0))</f>
        <v>2304.1241935483872</v>
      </c>
      <c r="J1764">
        <v>0</v>
      </c>
      <c r="K1764">
        <v>0</v>
      </c>
      <c r="L1764" t="str">
        <f t="shared" si="54"/>
        <v>13-3-2023</v>
      </c>
      <c r="M1764">
        <f t="shared" si="55"/>
        <v>2023</v>
      </c>
    </row>
    <row r="1765" spans="1:13" x14ac:dyDescent="0.2">
      <c r="A1765" s="1">
        <v>45012</v>
      </c>
      <c r="B1765">
        <v>13</v>
      </c>
      <c r="C1765">
        <v>3</v>
      </c>
      <c r="D1765">
        <v>1</v>
      </c>
      <c r="E1765" t="s">
        <v>45</v>
      </c>
      <c r="F1765">
        <v>0</v>
      </c>
      <c r="G1765">
        <f>INDEX(weekly!$E$2:$E$188,MATCH('Marketing Campaigns 22.11.22'!L1765,weekly!$H$2:$H$188,0))</f>
        <v>4176.2903225806449</v>
      </c>
      <c r="H1765">
        <f>INDEX(weekly!$D$2:$D$188,MATCH('Marketing Campaigns 22.11.22'!L1765,weekly!$H$2:$H$188,0))</f>
        <v>7345.3354838709683</v>
      </c>
      <c r="I1765">
        <f>INDEX(weekly!$F$2:$F$188,MATCH('Marketing Campaigns 22.11.22'!L1765,weekly!$H$2:$H$188,0))</f>
        <v>2304.1241935483872</v>
      </c>
      <c r="J1765">
        <v>0</v>
      </c>
      <c r="K1765">
        <v>0</v>
      </c>
      <c r="L1765" t="str">
        <f t="shared" si="54"/>
        <v>13-3-2023</v>
      </c>
      <c r="M1765">
        <f t="shared" si="55"/>
        <v>2023</v>
      </c>
    </row>
    <row r="1766" spans="1:13" x14ac:dyDescent="0.2">
      <c r="A1766" s="1">
        <v>45012</v>
      </c>
      <c r="B1766">
        <v>13</v>
      </c>
      <c r="C1766">
        <v>3</v>
      </c>
      <c r="D1766">
        <v>1</v>
      </c>
      <c r="E1766" t="s">
        <v>46</v>
      </c>
      <c r="F1766">
        <v>0</v>
      </c>
      <c r="G1766">
        <f>INDEX(weekly!$E$2:$E$188,MATCH('Marketing Campaigns 22.11.22'!L1766,weekly!$H$2:$H$188,0))</f>
        <v>4176.2903225806449</v>
      </c>
      <c r="H1766">
        <f>INDEX(weekly!$D$2:$D$188,MATCH('Marketing Campaigns 22.11.22'!L1766,weekly!$H$2:$H$188,0))</f>
        <v>7345.3354838709683</v>
      </c>
      <c r="I1766">
        <f>INDEX(weekly!$F$2:$F$188,MATCH('Marketing Campaigns 22.11.22'!L1766,weekly!$H$2:$H$188,0))</f>
        <v>2304.1241935483872</v>
      </c>
      <c r="J1766">
        <v>0</v>
      </c>
      <c r="K1766">
        <v>0</v>
      </c>
      <c r="L1766" t="str">
        <f t="shared" si="54"/>
        <v>13-3-2023</v>
      </c>
      <c r="M1766">
        <f t="shared" si="55"/>
        <v>2023</v>
      </c>
    </row>
    <row r="1767" spans="1:13" x14ac:dyDescent="0.2">
      <c r="A1767" s="1">
        <v>45012</v>
      </c>
      <c r="B1767">
        <v>13</v>
      </c>
      <c r="C1767">
        <v>3</v>
      </c>
      <c r="D1767">
        <v>1</v>
      </c>
      <c r="E1767" t="s">
        <v>47</v>
      </c>
      <c r="F1767">
        <v>0</v>
      </c>
      <c r="G1767">
        <f>INDEX(weekly!$E$2:$E$188,MATCH('Marketing Campaigns 22.11.22'!L1767,weekly!$H$2:$H$188,0))</f>
        <v>4176.2903225806449</v>
      </c>
      <c r="H1767">
        <f>INDEX(weekly!$D$2:$D$188,MATCH('Marketing Campaigns 22.11.22'!L1767,weekly!$H$2:$H$188,0))</f>
        <v>7345.3354838709683</v>
      </c>
      <c r="I1767">
        <f>INDEX(weekly!$F$2:$F$188,MATCH('Marketing Campaigns 22.11.22'!L1767,weekly!$H$2:$H$188,0))</f>
        <v>2304.1241935483872</v>
      </c>
      <c r="J1767">
        <v>0</v>
      </c>
      <c r="K1767">
        <v>0</v>
      </c>
      <c r="L1767" t="str">
        <f t="shared" si="54"/>
        <v>13-3-2023</v>
      </c>
      <c r="M1767">
        <f t="shared" si="55"/>
        <v>2023</v>
      </c>
    </row>
    <row r="1768" spans="1:13" x14ac:dyDescent="0.2">
      <c r="A1768" s="1">
        <v>45012</v>
      </c>
      <c r="B1768">
        <v>13</v>
      </c>
      <c r="C1768">
        <v>3</v>
      </c>
      <c r="D1768">
        <v>1</v>
      </c>
      <c r="E1768" t="s">
        <v>48</v>
      </c>
      <c r="F1768">
        <v>0</v>
      </c>
      <c r="G1768">
        <f>INDEX(weekly!$E$2:$E$188,MATCH('Marketing Campaigns 22.11.22'!L1768,weekly!$H$2:$H$188,0))</f>
        <v>4176.2903225806449</v>
      </c>
      <c r="H1768">
        <f>INDEX(weekly!$D$2:$D$188,MATCH('Marketing Campaigns 22.11.22'!L1768,weekly!$H$2:$H$188,0))</f>
        <v>7345.3354838709683</v>
      </c>
      <c r="I1768">
        <f>INDEX(weekly!$F$2:$F$188,MATCH('Marketing Campaigns 22.11.22'!L1768,weekly!$H$2:$H$188,0))</f>
        <v>2304.1241935483872</v>
      </c>
      <c r="J1768">
        <v>0</v>
      </c>
      <c r="K1768">
        <v>0</v>
      </c>
      <c r="L1768" t="str">
        <f t="shared" si="54"/>
        <v>13-3-2023</v>
      </c>
      <c r="M1768">
        <f t="shared" si="55"/>
        <v>2023</v>
      </c>
    </row>
    <row r="1769" spans="1:13" x14ac:dyDescent="0.2">
      <c r="A1769" s="1">
        <v>45012</v>
      </c>
      <c r="B1769">
        <v>13</v>
      </c>
      <c r="C1769">
        <v>3</v>
      </c>
      <c r="D1769">
        <v>1</v>
      </c>
      <c r="E1769" t="s">
        <v>49</v>
      </c>
      <c r="F1769">
        <v>0</v>
      </c>
      <c r="G1769">
        <f>INDEX(weekly!$E$2:$E$188,MATCH('Marketing Campaigns 22.11.22'!L1769,weekly!$H$2:$H$188,0))</f>
        <v>4176.2903225806449</v>
      </c>
      <c r="H1769">
        <f>INDEX(weekly!$D$2:$D$188,MATCH('Marketing Campaigns 22.11.22'!L1769,weekly!$H$2:$H$188,0))</f>
        <v>7345.3354838709683</v>
      </c>
      <c r="I1769">
        <f>INDEX(weekly!$F$2:$F$188,MATCH('Marketing Campaigns 22.11.22'!L1769,weekly!$H$2:$H$188,0))</f>
        <v>2304.1241935483872</v>
      </c>
      <c r="J1769">
        <v>0</v>
      </c>
      <c r="K1769">
        <v>0</v>
      </c>
      <c r="L1769" t="str">
        <f t="shared" si="54"/>
        <v>13-3-2023</v>
      </c>
      <c r="M1769">
        <f t="shared" si="55"/>
        <v>2023</v>
      </c>
    </row>
    <row r="1770" spans="1:13" x14ac:dyDescent="0.2">
      <c r="A1770" s="1">
        <v>45012</v>
      </c>
      <c r="B1770">
        <v>13</v>
      </c>
      <c r="C1770">
        <v>3</v>
      </c>
      <c r="D1770">
        <v>1</v>
      </c>
      <c r="E1770" t="s">
        <v>50</v>
      </c>
      <c r="F1770">
        <v>0</v>
      </c>
      <c r="G1770">
        <f>INDEX(weekly!$E$2:$E$188,MATCH('Marketing Campaigns 22.11.22'!L1770,weekly!$H$2:$H$188,0))</f>
        <v>4176.2903225806449</v>
      </c>
      <c r="H1770">
        <f>INDEX(weekly!$D$2:$D$188,MATCH('Marketing Campaigns 22.11.22'!L1770,weekly!$H$2:$H$188,0))</f>
        <v>7345.3354838709683</v>
      </c>
      <c r="I1770">
        <f>INDEX(weekly!$F$2:$F$188,MATCH('Marketing Campaigns 22.11.22'!L1770,weekly!$H$2:$H$188,0))</f>
        <v>2304.1241935483872</v>
      </c>
      <c r="J1770">
        <v>0</v>
      </c>
      <c r="K1770">
        <v>0</v>
      </c>
      <c r="L1770" t="str">
        <f t="shared" si="54"/>
        <v>13-3-2023</v>
      </c>
      <c r="M1770">
        <f t="shared" si="55"/>
        <v>2023</v>
      </c>
    </row>
    <row r="1771" spans="1:13" x14ac:dyDescent="0.2">
      <c r="A1771" s="1">
        <v>45012</v>
      </c>
      <c r="B1771">
        <v>13</v>
      </c>
      <c r="C1771">
        <v>3</v>
      </c>
      <c r="D1771">
        <v>1</v>
      </c>
      <c r="E1771" t="s">
        <v>51</v>
      </c>
      <c r="F1771">
        <v>0</v>
      </c>
      <c r="G1771">
        <f>INDEX(weekly!$E$2:$E$188,MATCH('Marketing Campaigns 22.11.22'!L1771,weekly!$H$2:$H$188,0))</f>
        <v>4176.2903225806449</v>
      </c>
      <c r="H1771">
        <f>INDEX(weekly!$D$2:$D$188,MATCH('Marketing Campaigns 22.11.22'!L1771,weekly!$H$2:$H$188,0))</f>
        <v>7345.3354838709683</v>
      </c>
      <c r="I1771">
        <f>INDEX(weekly!$F$2:$F$188,MATCH('Marketing Campaigns 22.11.22'!L1771,weekly!$H$2:$H$188,0))</f>
        <v>2304.1241935483872</v>
      </c>
      <c r="J1771">
        <v>0</v>
      </c>
      <c r="K1771">
        <v>0</v>
      </c>
      <c r="L1771" t="str">
        <f t="shared" si="54"/>
        <v>13-3-2023</v>
      </c>
      <c r="M1771">
        <f t="shared" si="55"/>
        <v>2023</v>
      </c>
    </row>
    <row r="1772" spans="1:13" x14ac:dyDescent="0.2">
      <c r="A1772" s="1">
        <v>45012</v>
      </c>
      <c r="B1772">
        <v>13</v>
      </c>
      <c r="C1772">
        <v>3</v>
      </c>
      <c r="D1772">
        <v>1</v>
      </c>
      <c r="E1772" t="s">
        <v>52</v>
      </c>
      <c r="F1772">
        <v>0</v>
      </c>
      <c r="G1772">
        <f>INDEX(weekly!$E$2:$E$188,MATCH('Marketing Campaigns 22.11.22'!L1772,weekly!$H$2:$H$188,0))</f>
        <v>4176.2903225806449</v>
      </c>
      <c r="H1772">
        <f>INDEX(weekly!$D$2:$D$188,MATCH('Marketing Campaigns 22.11.22'!L1772,weekly!$H$2:$H$188,0))</f>
        <v>7345.3354838709683</v>
      </c>
      <c r="I1772">
        <f>INDEX(weekly!$F$2:$F$188,MATCH('Marketing Campaigns 22.11.22'!L1772,weekly!$H$2:$H$188,0))</f>
        <v>2304.1241935483872</v>
      </c>
      <c r="J1772">
        <v>0</v>
      </c>
      <c r="K1772">
        <v>0</v>
      </c>
      <c r="L1772" t="str">
        <f t="shared" si="54"/>
        <v>13-3-2023</v>
      </c>
      <c r="M1772">
        <f t="shared" si="55"/>
        <v>2023</v>
      </c>
    </row>
    <row r="1773" spans="1:13" x14ac:dyDescent="0.2">
      <c r="A1773" s="1">
        <v>45019</v>
      </c>
      <c r="B1773">
        <v>14</v>
      </c>
      <c r="C1773">
        <v>4</v>
      </c>
      <c r="D1773">
        <v>2</v>
      </c>
      <c r="E1773" t="s">
        <v>24</v>
      </c>
      <c r="F1773">
        <v>0</v>
      </c>
      <c r="G1773">
        <f>INDEX(weekly!$E$2:$E$188,MATCH('Marketing Campaigns 22.11.22'!L1773,weekly!$H$2:$H$188,0))</f>
        <v>7000</v>
      </c>
      <c r="H1773">
        <f>INDEX(weekly!$D$2:$D$188,MATCH('Marketing Campaigns 22.11.22'!L1773,weekly!$H$2:$H$188,0))</f>
        <v>14000</v>
      </c>
      <c r="I1773">
        <f>INDEX(weekly!$F$2:$F$188,MATCH('Marketing Campaigns 22.11.22'!L1773,weekly!$H$2:$H$188,0))</f>
        <v>2636.6666666666665</v>
      </c>
      <c r="J1773">
        <v>0</v>
      </c>
      <c r="K1773">
        <v>0</v>
      </c>
      <c r="L1773" t="str">
        <f t="shared" si="54"/>
        <v>14-4-2023</v>
      </c>
      <c r="M1773">
        <f t="shared" si="55"/>
        <v>2023</v>
      </c>
    </row>
    <row r="1774" spans="1:13" x14ac:dyDescent="0.2">
      <c r="A1774" s="1">
        <v>45019</v>
      </c>
      <c r="B1774">
        <v>14</v>
      </c>
      <c r="C1774">
        <v>4</v>
      </c>
      <c r="D1774">
        <v>2</v>
      </c>
      <c r="E1774" t="s">
        <v>39</v>
      </c>
      <c r="F1774">
        <v>0</v>
      </c>
      <c r="G1774">
        <f>INDEX(weekly!$E$2:$E$188,MATCH('Marketing Campaigns 22.11.22'!L1774,weekly!$H$2:$H$188,0))</f>
        <v>7000</v>
      </c>
      <c r="H1774">
        <f>INDEX(weekly!$D$2:$D$188,MATCH('Marketing Campaigns 22.11.22'!L1774,weekly!$H$2:$H$188,0))</f>
        <v>14000</v>
      </c>
      <c r="I1774">
        <f>INDEX(weekly!$F$2:$F$188,MATCH('Marketing Campaigns 22.11.22'!L1774,weekly!$H$2:$H$188,0))</f>
        <v>2636.6666666666665</v>
      </c>
      <c r="J1774">
        <v>0</v>
      </c>
      <c r="K1774">
        <v>0</v>
      </c>
      <c r="L1774" t="str">
        <f t="shared" si="54"/>
        <v>14-4-2023</v>
      </c>
      <c r="M1774">
        <f t="shared" si="55"/>
        <v>2023</v>
      </c>
    </row>
    <row r="1775" spans="1:13" x14ac:dyDescent="0.2">
      <c r="A1775" s="1">
        <v>45019</v>
      </c>
      <c r="B1775">
        <v>14</v>
      </c>
      <c r="C1775">
        <v>4</v>
      </c>
      <c r="D1775">
        <v>2</v>
      </c>
      <c r="E1775" t="s">
        <v>40</v>
      </c>
      <c r="F1775">
        <v>0</v>
      </c>
      <c r="G1775">
        <f>INDEX(weekly!$E$2:$E$188,MATCH('Marketing Campaigns 22.11.22'!L1775,weekly!$H$2:$H$188,0))</f>
        <v>7000</v>
      </c>
      <c r="H1775">
        <f>INDEX(weekly!$D$2:$D$188,MATCH('Marketing Campaigns 22.11.22'!L1775,weekly!$H$2:$H$188,0))</f>
        <v>14000</v>
      </c>
      <c r="I1775">
        <f>INDEX(weekly!$F$2:$F$188,MATCH('Marketing Campaigns 22.11.22'!L1775,weekly!$H$2:$H$188,0))</f>
        <v>2636.6666666666665</v>
      </c>
      <c r="J1775">
        <v>0</v>
      </c>
      <c r="K1775">
        <v>0</v>
      </c>
      <c r="L1775" t="str">
        <f t="shared" si="54"/>
        <v>14-4-2023</v>
      </c>
      <c r="M1775">
        <f t="shared" si="55"/>
        <v>2023</v>
      </c>
    </row>
    <row r="1776" spans="1:13" x14ac:dyDescent="0.2">
      <c r="A1776" s="1">
        <v>45019</v>
      </c>
      <c r="B1776">
        <v>14</v>
      </c>
      <c r="C1776">
        <v>4</v>
      </c>
      <c r="D1776">
        <v>2</v>
      </c>
      <c r="E1776" t="s">
        <v>41</v>
      </c>
      <c r="F1776">
        <v>0</v>
      </c>
      <c r="G1776">
        <f>INDEX(weekly!$E$2:$E$188,MATCH('Marketing Campaigns 22.11.22'!L1776,weekly!$H$2:$H$188,0))</f>
        <v>7000</v>
      </c>
      <c r="H1776">
        <f>INDEX(weekly!$D$2:$D$188,MATCH('Marketing Campaigns 22.11.22'!L1776,weekly!$H$2:$H$188,0))</f>
        <v>14000</v>
      </c>
      <c r="I1776">
        <f>INDEX(weekly!$F$2:$F$188,MATCH('Marketing Campaigns 22.11.22'!L1776,weekly!$H$2:$H$188,0))</f>
        <v>2636.6666666666665</v>
      </c>
      <c r="J1776">
        <v>0</v>
      </c>
      <c r="K1776">
        <v>0</v>
      </c>
      <c r="L1776" t="str">
        <f t="shared" si="54"/>
        <v>14-4-2023</v>
      </c>
      <c r="M1776">
        <f t="shared" si="55"/>
        <v>2023</v>
      </c>
    </row>
    <row r="1777" spans="1:13" x14ac:dyDescent="0.2">
      <c r="A1777" s="1">
        <v>45019</v>
      </c>
      <c r="B1777">
        <v>14</v>
      </c>
      <c r="C1777">
        <v>4</v>
      </c>
      <c r="D1777">
        <v>2</v>
      </c>
      <c r="E1777" t="s">
        <v>42</v>
      </c>
      <c r="F1777">
        <v>0</v>
      </c>
      <c r="G1777">
        <f>INDEX(weekly!$E$2:$E$188,MATCH('Marketing Campaigns 22.11.22'!L1777,weekly!$H$2:$H$188,0))</f>
        <v>7000</v>
      </c>
      <c r="H1777">
        <f>INDEX(weekly!$D$2:$D$188,MATCH('Marketing Campaigns 22.11.22'!L1777,weekly!$H$2:$H$188,0))</f>
        <v>14000</v>
      </c>
      <c r="I1777">
        <f>INDEX(weekly!$F$2:$F$188,MATCH('Marketing Campaigns 22.11.22'!L1777,weekly!$H$2:$H$188,0))</f>
        <v>2636.6666666666665</v>
      </c>
      <c r="J1777">
        <v>0</v>
      </c>
      <c r="K1777">
        <v>0</v>
      </c>
      <c r="L1777" t="str">
        <f t="shared" si="54"/>
        <v>14-4-2023</v>
      </c>
      <c r="M1777">
        <f t="shared" si="55"/>
        <v>2023</v>
      </c>
    </row>
    <row r="1778" spans="1:13" x14ac:dyDescent="0.2">
      <c r="A1778" s="1">
        <v>45019</v>
      </c>
      <c r="B1778">
        <v>14</v>
      </c>
      <c r="C1778">
        <v>4</v>
      </c>
      <c r="D1778">
        <v>2</v>
      </c>
      <c r="E1778" t="s">
        <v>43</v>
      </c>
      <c r="F1778">
        <v>0</v>
      </c>
      <c r="G1778">
        <f>INDEX(weekly!$E$2:$E$188,MATCH('Marketing Campaigns 22.11.22'!L1778,weekly!$H$2:$H$188,0))</f>
        <v>7000</v>
      </c>
      <c r="H1778">
        <f>INDEX(weekly!$D$2:$D$188,MATCH('Marketing Campaigns 22.11.22'!L1778,weekly!$H$2:$H$188,0))</f>
        <v>14000</v>
      </c>
      <c r="I1778">
        <f>INDEX(weekly!$F$2:$F$188,MATCH('Marketing Campaigns 22.11.22'!L1778,weekly!$H$2:$H$188,0))</f>
        <v>2636.6666666666665</v>
      </c>
      <c r="J1778">
        <v>0</v>
      </c>
      <c r="K1778">
        <v>0</v>
      </c>
      <c r="L1778" t="str">
        <f t="shared" si="54"/>
        <v>14-4-2023</v>
      </c>
      <c r="M1778">
        <f t="shared" si="55"/>
        <v>2023</v>
      </c>
    </row>
    <row r="1779" spans="1:13" x14ac:dyDescent="0.2">
      <c r="A1779" s="1">
        <v>45019</v>
      </c>
      <c r="B1779">
        <v>14</v>
      </c>
      <c r="C1779">
        <v>4</v>
      </c>
      <c r="D1779">
        <v>2</v>
      </c>
      <c r="E1779" t="s">
        <v>44</v>
      </c>
      <c r="F1779">
        <v>0</v>
      </c>
      <c r="G1779">
        <f>INDEX(weekly!$E$2:$E$188,MATCH('Marketing Campaigns 22.11.22'!L1779,weekly!$H$2:$H$188,0))</f>
        <v>7000</v>
      </c>
      <c r="H1779">
        <f>INDEX(weekly!$D$2:$D$188,MATCH('Marketing Campaigns 22.11.22'!L1779,weekly!$H$2:$H$188,0))</f>
        <v>14000</v>
      </c>
      <c r="I1779">
        <f>INDEX(weekly!$F$2:$F$188,MATCH('Marketing Campaigns 22.11.22'!L1779,weekly!$H$2:$H$188,0))</f>
        <v>2636.6666666666665</v>
      </c>
      <c r="J1779">
        <v>0</v>
      </c>
      <c r="K1779">
        <v>0</v>
      </c>
      <c r="L1779" t="str">
        <f t="shared" si="54"/>
        <v>14-4-2023</v>
      </c>
      <c r="M1779">
        <f t="shared" si="55"/>
        <v>2023</v>
      </c>
    </row>
    <row r="1780" spans="1:13" x14ac:dyDescent="0.2">
      <c r="A1780" s="1">
        <v>45019</v>
      </c>
      <c r="B1780">
        <v>14</v>
      </c>
      <c r="C1780">
        <v>4</v>
      </c>
      <c r="D1780">
        <v>2</v>
      </c>
      <c r="E1780" t="s">
        <v>45</v>
      </c>
      <c r="F1780">
        <v>0</v>
      </c>
      <c r="G1780">
        <f>INDEX(weekly!$E$2:$E$188,MATCH('Marketing Campaigns 22.11.22'!L1780,weekly!$H$2:$H$188,0))</f>
        <v>7000</v>
      </c>
      <c r="H1780">
        <f>INDEX(weekly!$D$2:$D$188,MATCH('Marketing Campaigns 22.11.22'!L1780,weekly!$H$2:$H$188,0))</f>
        <v>14000</v>
      </c>
      <c r="I1780">
        <f>INDEX(weekly!$F$2:$F$188,MATCH('Marketing Campaigns 22.11.22'!L1780,weekly!$H$2:$H$188,0))</f>
        <v>2636.6666666666665</v>
      </c>
      <c r="J1780">
        <v>0</v>
      </c>
      <c r="K1780">
        <v>0</v>
      </c>
      <c r="L1780" t="str">
        <f t="shared" si="54"/>
        <v>14-4-2023</v>
      </c>
      <c r="M1780">
        <f t="shared" si="55"/>
        <v>2023</v>
      </c>
    </row>
    <row r="1781" spans="1:13" x14ac:dyDescent="0.2">
      <c r="A1781" s="1">
        <v>45019</v>
      </c>
      <c r="B1781">
        <v>14</v>
      </c>
      <c r="C1781">
        <v>4</v>
      </c>
      <c r="D1781">
        <v>2</v>
      </c>
      <c r="E1781" t="s">
        <v>46</v>
      </c>
      <c r="F1781">
        <v>0</v>
      </c>
      <c r="G1781">
        <f>INDEX(weekly!$E$2:$E$188,MATCH('Marketing Campaigns 22.11.22'!L1781,weekly!$H$2:$H$188,0))</f>
        <v>7000</v>
      </c>
      <c r="H1781">
        <f>INDEX(weekly!$D$2:$D$188,MATCH('Marketing Campaigns 22.11.22'!L1781,weekly!$H$2:$H$188,0))</f>
        <v>14000</v>
      </c>
      <c r="I1781">
        <f>INDEX(weekly!$F$2:$F$188,MATCH('Marketing Campaigns 22.11.22'!L1781,weekly!$H$2:$H$188,0))</f>
        <v>2636.6666666666665</v>
      </c>
      <c r="J1781">
        <v>0</v>
      </c>
      <c r="K1781">
        <v>0</v>
      </c>
      <c r="L1781" t="str">
        <f t="shared" si="54"/>
        <v>14-4-2023</v>
      </c>
      <c r="M1781">
        <f t="shared" si="55"/>
        <v>2023</v>
      </c>
    </row>
    <row r="1782" spans="1:13" x14ac:dyDescent="0.2">
      <c r="A1782" s="1">
        <v>45019</v>
      </c>
      <c r="B1782">
        <v>14</v>
      </c>
      <c r="C1782">
        <v>4</v>
      </c>
      <c r="D1782">
        <v>2</v>
      </c>
      <c r="E1782" t="s">
        <v>47</v>
      </c>
      <c r="F1782">
        <v>0</v>
      </c>
      <c r="G1782">
        <f>INDEX(weekly!$E$2:$E$188,MATCH('Marketing Campaigns 22.11.22'!L1782,weekly!$H$2:$H$188,0))</f>
        <v>7000</v>
      </c>
      <c r="H1782">
        <f>INDEX(weekly!$D$2:$D$188,MATCH('Marketing Campaigns 22.11.22'!L1782,weekly!$H$2:$H$188,0))</f>
        <v>14000</v>
      </c>
      <c r="I1782">
        <f>INDEX(weekly!$F$2:$F$188,MATCH('Marketing Campaigns 22.11.22'!L1782,weekly!$H$2:$H$188,0))</f>
        <v>2636.6666666666665</v>
      </c>
      <c r="J1782">
        <v>0</v>
      </c>
      <c r="K1782">
        <v>0</v>
      </c>
      <c r="L1782" t="str">
        <f t="shared" si="54"/>
        <v>14-4-2023</v>
      </c>
      <c r="M1782">
        <f t="shared" si="55"/>
        <v>2023</v>
      </c>
    </row>
    <row r="1783" spans="1:13" x14ac:dyDescent="0.2">
      <c r="A1783" s="1">
        <v>45019</v>
      </c>
      <c r="B1783">
        <v>14</v>
      </c>
      <c r="C1783">
        <v>4</v>
      </c>
      <c r="D1783">
        <v>2</v>
      </c>
      <c r="E1783" t="s">
        <v>48</v>
      </c>
      <c r="F1783">
        <v>0</v>
      </c>
      <c r="G1783">
        <f>INDEX(weekly!$E$2:$E$188,MATCH('Marketing Campaigns 22.11.22'!L1783,weekly!$H$2:$H$188,0))</f>
        <v>7000</v>
      </c>
      <c r="H1783">
        <f>INDEX(weekly!$D$2:$D$188,MATCH('Marketing Campaigns 22.11.22'!L1783,weekly!$H$2:$H$188,0))</f>
        <v>14000</v>
      </c>
      <c r="I1783">
        <f>INDEX(weekly!$F$2:$F$188,MATCH('Marketing Campaigns 22.11.22'!L1783,weekly!$H$2:$H$188,0))</f>
        <v>2636.6666666666665</v>
      </c>
      <c r="J1783">
        <v>0</v>
      </c>
      <c r="K1783">
        <v>0</v>
      </c>
      <c r="L1783" t="str">
        <f t="shared" si="54"/>
        <v>14-4-2023</v>
      </c>
      <c r="M1783">
        <f t="shared" si="55"/>
        <v>2023</v>
      </c>
    </row>
    <row r="1784" spans="1:13" x14ac:dyDescent="0.2">
      <c r="A1784" s="1">
        <v>45019</v>
      </c>
      <c r="B1784">
        <v>14</v>
      </c>
      <c r="C1784">
        <v>4</v>
      </c>
      <c r="D1784">
        <v>2</v>
      </c>
      <c r="E1784" t="s">
        <v>49</v>
      </c>
      <c r="F1784">
        <v>0</v>
      </c>
      <c r="G1784">
        <f>INDEX(weekly!$E$2:$E$188,MATCH('Marketing Campaigns 22.11.22'!L1784,weekly!$H$2:$H$188,0))</f>
        <v>7000</v>
      </c>
      <c r="H1784">
        <f>INDEX(weekly!$D$2:$D$188,MATCH('Marketing Campaigns 22.11.22'!L1784,weekly!$H$2:$H$188,0))</f>
        <v>14000</v>
      </c>
      <c r="I1784">
        <f>INDEX(weekly!$F$2:$F$188,MATCH('Marketing Campaigns 22.11.22'!L1784,weekly!$H$2:$H$188,0))</f>
        <v>2636.6666666666665</v>
      </c>
      <c r="J1784">
        <v>0</v>
      </c>
      <c r="K1784">
        <v>0</v>
      </c>
      <c r="L1784" t="str">
        <f t="shared" si="54"/>
        <v>14-4-2023</v>
      </c>
      <c r="M1784">
        <f t="shared" si="55"/>
        <v>2023</v>
      </c>
    </row>
    <row r="1785" spans="1:13" x14ac:dyDescent="0.2">
      <c r="A1785" s="1">
        <v>45019</v>
      </c>
      <c r="B1785">
        <v>14</v>
      </c>
      <c r="C1785">
        <v>4</v>
      </c>
      <c r="D1785">
        <v>2</v>
      </c>
      <c r="E1785" t="s">
        <v>50</v>
      </c>
      <c r="F1785">
        <v>0</v>
      </c>
      <c r="G1785">
        <f>INDEX(weekly!$E$2:$E$188,MATCH('Marketing Campaigns 22.11.22'!L1785,weekly!$H$2:$H$188,0))</f>
        <v>7000</v>
      </c>
      <c r="H1785">
        <f>INDEX(weekly!$D$2:$D$188,MATCH('Marketing Campaigns 22.11.22'!L1785,weekly!$H$2:$H$188,0))</f>
        <v>14000</v>
      </c>
      <c r="I1785">
        <f>INDEX(weekly!$F$2:$F$188,MATCH('Marketing Campaigns 22.11.22'!L1785,weekly!$H$2:$H$188,0))</f>
        <v>2636.6666666666665</v>
      </c>
      <c r="J1785">
        <v>0</v>
      </c>
      <c r="K1785">
        <v>0</v>
      </c>
      <c r="L1785" t="str">
        <f t="shared" si="54"/>
        <v>14-4-2023</v>
      </c>
      <c r="M1785">
        <f t="shared" si="55"/>
        <v>2023</v>
      </c>
    </row>
    <row r="1786" spans="1:13" x14ac:dyDescent="0.2">
      <c r="A1786" s="1">
        <v>45019</v>
      </c>
      <c r="B1786">
        <v>14</v>
      </c>
      <c r="C1786">
        <v>4</v>
      </c>
      <c r="D1786">
        <v>2</v>
      </c>
      <c r="E1786" t="s">
        <v>51</v>
      </c>
      <c r="F1786">
        <v>0</v>
      </c>
      <c r="G1786">
        <f>INDEX(weekly!$E$2:$E$188,MATCH('Marketing Campaigns 22.11.22'!L1786,weekly!$H$2:$H$188,0))</f>
        <v>7000</v>
      </c>
      <c r="H1786">
        <f>INDEX(weekly!$D$2:$D$188,MATCH('Marketing Campaigns 22.11.22'!L1786,weekly!$H$2:$H$188,0))</f>
        <v>14000</v>
      </c>
      <c r="I1786">
        <f>INDEX(weekly!$F$2:$F$188,MATCH('Marketing Campaigns 22.11.22'!L1786,weekly!$H$2:$H$188,0))</f>
        <v>2636.6666666666665</v>
      </c>
      <c r="J1786">
        <v>0</v>
      </c>
      <c r="K1786">
        <v>0</v>
      </c>
      <c r="L1786" t="str">
        <f t="shared" si="54"/>
        <v>14-4-2023</v>
      </c>
      <c r="M1786">
        <f t="shared" si="55"/>
        <v>2023</v>
      </c>
    </row>
    <row r="1787" spans="1:13" x14ac:dyDescent="0.2">
      <c r="A1787" s="1">
        <v>45019</v>
      </c>
      <c r="B1787">
        <v>14</v>
      </c>
      <c r="C1787">
        <v>4</v>
      </c>
      <c r="D1787">
        <v>2</v>
      </c>
      <c r="E1787" t="s">
        <v>52</v>
      </c>
      <c r="F1787">
        <v>0</v>
      </c>
      <c r="G1787">
        <f>INDEX(weekly!$E$2:$E$188,MATCH('Marketing Campaigns 22.11.22'!L1787,weekly!$H$2:$H$188,0))</f>
        <v>7000</v>
      </c>
      <c r="H1787">
        <f>INDEX(weekly!$D$2:$D$188,MATCH('Marketing Campaigns 22.11.22'!L1787,weekly!$H$2:$H$188,0))</f>
        <v>14000</v>
      </c>
      <c r="I1787">
        <f>INDEX(weekly!$F$2:$F$188,MATCH('Marketing Campaigns 22.11.22'!L1787,weekly!$H$2:$H$188,0))</f>
        <v>2636.6666666666665</v>
      </c>
      <c r="J1787">
        <v>0</v>
      </c>
      <c r="K1787">
        <v>0</v>
      </c>
      <c r="L1787" t="str">
        <f t="shared" si="54"/>
        <v>14-4-2023</v>
      </c>
      <c r="M1787">
        <f t="shared" si="55"/>
        <v>2023</v>
      </c>
    </row>
    <row r="1788" spans="1:13" x14ac:dyDescent="0.2">
      <c r="A1788" s="1">
        <v>45026</v>
      </c>
      <c r="B1788">
        <v>15</v>
      </c>
      <c r="C1788">
        <v>4</v>
      </c>
      <c r="D1788">
        <v>2</v>
      </c>
      <c r="E1788" t="s">
        <v>24</v>
      </c>
      <c r="F1788">
        <v>0</v>
      </c>
      <c r="G1788">
        <f>INDEX(weekly!$E$2:$E$188,MATCH('Marketing Campaigns 22.11.22'!L1788,weekly!$H$2:$H$188,0))</f>
        <v>7000</v>
      </c>
      <c r="H1788">
        <f>INDEX(weekly!$D$2:$D$188,MATCH('Marketing Campaigns 22.11.22'!L1788,weekly!$H$2:$H$188,0))</f>
        <v>14000</v>
      </c>
      <c r="I1788">
        <f>INDEX(weekly!$F$2:$F$188,MATCH('Marketing Campaigns 22.11.22'!L1788,weekly!$H$2:$H$188,0))</f>
        <v>2636.6666666666665</v>
      </c>
      <c r="J1788">
        <v>0</v>
      </c>
      <c r="K1788">
        <v>0</v>
      </c>
      <c r="L1788" t="str">
        <f t="shared" si="54"/>
        <v>15-4-2023</v>
      </c>
      <c r="M1788">
        <f t="shared" si="55"/>
        <v>2023</v>
      </c>
    </row>
    <row r="1789" spans="1:13" x14ac:dyDescent="0.2">
      <c r="A1789" s="1">
        <v>45026</v>
      </c>
      <c r="B1789">
        <v>15</v>
      </c>
      <c r="C1789">
        <v>4</v>
      </c>
      <c r="D1789">
        <v>2</v>
      </c>
      <c r="E1789" t="s">
        <v>39</v>
      </c>
      <c r="F1789">
        <v>0</v>
      </c>
      <c r="G1789">
        <f>INDEX(weekly!$E$2:$E$188,MATCH('Marketing Campaigns 22.11.22'!L1789,weekly!$H$2:$H$188,0))</f>
        <v>7000</v>
      </c>
      <c r="H1789">
        <f>INDEX(weekly!$D$2:$D$188,MATCH('Marketing Campaigns 22.11.22'!L1789,weekly!$H$2:$H$188,0))</f>
        <v>14000</v>
      </c>
      <c r="I1789">
        <f>INDEX(weekly!$F$2:$F$188,MATCH('Marketing Campaigns 22.11.22'!L1789,weekly!$H$2:$H$188,0))</f>
        <v>2636.6666666666665</v>
      </c>
      <c r="J1789">
        <v>0</v>
      </c>
      <c r="K1789">
        <v>0</v>
      </c>
      <c r="L1789" t="str">
        <f t="shared" si="54"/>
        <v>15-4-2023</v>
      </c>
      <c r="M1789">
        <f t="shared" si="55"/>
        <v>2023</v>
      </c>
    </row>
    <row r="1790" spans="1:13" x14ac:dyDescent="0.2">
      <c r="A1790" s="1">
        <v>45026</v>
      </c>
      <c r="B1790">
        <v>15</v>
      </c>
      <c r="C1790">
        <v>4</v>
      </c>
      <c r="D1790">
        <v>2</v>
      </c>
      <c r="E1790" t="s">
        <v>40</v>
      </c>
      <c r="F1790">
        <v>0</v>
      </c>
      <c r="G1790">
        <f>INDEX(weekly!$E$2:$E$188,MATCH('Marketing Campaigns 22.11.22'!L1790,weekly!$H$2:$H$188,0))</f>
        <v>7000</v>
      </c>
      <c r="H1790">
        <f>INDEX(weekly!$D$2:$D$188,MATCH('Marketing Campaigns 22.11.22'!L1790,weekly!$H$2:$H$188,0))</f>
        <v>14000</v>
      </c>
      <c r="I1790">
        <f>INDEX(weekly!$F$2:$F$188,MATCH('Marketing Campaigns 22.11.22'!L1790,weekly!$H$2:$H$188,0))</f>
        <v>2636.6666666666665</v>
      </c>
      <c r="J1790">
        <v>0</v>
      </c>
      <c r="K1790">
        <v>0</v>
      </c>
      <c r="L1790" t="str">
        <f t="shared" si="54"/>
        <v>15-4-2023</v>
      </c>
      <c r="M1790">
        <f t="shared" si="55"/>
        <v>2023</v>
      </c>
    </row>
    <row r="1791" spans="1:13" x14ac:dyDescent="0.2">
      <c r="A1791" s="1">
        <v>45026</v>
      </c>
      <c r="B1791">
        <v>15</v>
      </c>
      <c r="C1791">
        <v>4</v>
      </c>
      <c r="D1791">
        <v>2</v>
      </c>
      <c r="E1791" t="s">
        <v>41</v>
      </c>
      <c r="F1791">
        <v>0</v>
      </c>
      <c r="G1791">
        <f>INDEX(weekly!$E$2:$E$188,MATCH('Marketing Campaigns 22.11.22'!L1791,weekly!$H$2:$H$188,0))</f>
        <v>7000</v>
      </c>
      <c r="H1791">
        <f>INDEX(weekly!$D$2:$D$188,MATCH('Marketing Campaigns 22.11.22'!L1791,weekly!$H$2:$H$188,0))</f>
        <v>14000</v>
      </c>
      <c r="I1791">
        <f>INDEX(weekly!$F$2:$F$188,MATCH('Marketing Campaigns 22.11.22'!L1791,weekly!$H$2:$H$188,0))</f>
        <v>2636.6666666666665</v>
      </c>
      <c r="J1791">
        <v>0</v>
      </c>
      <c r="K1791">
        <v>0</v>
      </c>
      <c r="L1791" t="str">
        <f t="shared" si="54"/>
        <v>15-4-2023</v>
      </c>
      <c r="M1791">
        <f t="shared" si="55"/>
        <v>2023</v>
      </c>
    </row>
    <row r="1792" spans="1:13" x14ac:dyDescent="0.2">
      <c r="A1792" s="1">
        <v>45026</v>
      </c>
      <c r="B1792">
        <v>15</v>
      </c>
      <c r="C1792">
        <v>4</v>
      </c>
      <c r="D1792">
        <v>2</v>
      </c>
      <c r="E1792" t="s">
        <v>42</v>
      </c>
      <c r="F1792">
        <v>0</v>
      </c>
      <c r="G1792">
        <f>INDEX(weekly!$E$2:$E$188,MATCH('Marketing Campaigns 22.11.22'!L1792,weekly!$H$2:$H$188,0))</f>
        <v>7000</v>
      </c>
      <c r="H1792">
        <f>INDEX(weekly!$D$2:$D$188,MATCH('Marketing Campaigns 22.11.22'!L1792,weekly!$H$2:$H$188,0))</f>
        <v>14000</v>
      </c>
      <c r="I1792">
        <f>INDEX(weekly!$F$2:$F$188,MATCH('Marketing Campaigns 22.11.22'!L1792,weekly!$H$2:$H$188,0))</f>
        <v>2636.6666666666665</v>
      </c>
      <c r="J1792">
        <v>0</v>
      </c>
      <c r="K1792">
        <v>0</v>
      </c>
      <c r="L1792" t="str">
        <f t="shared" si="54"/>
        <v>15-4-2023</v>
      </c>
      <c r="M1792">
        <f t="shared" si="55"/>
        <v>2023</v>
      </c>
    </row>
    <row r="1793" spans="1:13" x14ac:dyDescent="0.2">
      <c r="A1793" s="1">
        <v>45026</v>
      </c>
      <c r="B1793">
        <v>15</v>
      </c>
      <c r="C1793">
        <v>4</v>
      </c>
      <c r="D1793">
        <v>2</v>
      </c>
      <c r="E1793" t="s">
        <v>43</v>
      </c>
      <c r="F1793">
        <v>0</v>
      </c>
      <c r="G1793">
        <f>INDEX(weekly!$E$2:$E$188,MATCH('Marketing Campaigns 22.11.22'!L1793,weekly!$H$2:$H$188,0))</f>
        <v>7000</v>
      </c>
      <c r="H1793">
        <f>INDEX(weekly!$D$2:$D$188,MATCH('Marketing Campaigns 22.11.22'!L1793,weekly!$H$2:$H$188,0))</f>
        <v>14000</v>
      </c>
      <c r="I1793">
        <f>INDEX(weekly!$F$2:$F$188,MATCH('Marketing Campaigns 22.11.22'!L1793,weekly!$H$2:$H$188,0))</f>
        <v>2636.6666666666665</v>
      </c>
      <c r="J1793">
        <v>0</v>
      </c>
      <c r="K1793">
        <v>0</v>
      </c>
      <c r="L1793" t="str">
        <f t="shared" si="54"/>
        <v>15-4-2023</v>
      </c>
      <c r="M1793">
        <f t="shared" si="55"/>
        <v>2023</v>
      </c>
    </row>
    <row r="1794" spans="1:13" x14ac:dyDescent="0.2">
      <c r="A1794" s="1">
        <v>45026</v>
      </c>
      <c r="B1794">
        <v>15</v>
      </c>
      <c r="C1794">
        <v>4</v>
      </c>
      <c r="D1794">
        <v>2</v>
      </c>
      <c r="E1794" t="s">
        <v>44</v>
      </c>
      <c r="F1794">
        <v>0</v>
      </c>
      <c r="G1794">
        <f>INDEX(weekly!$E$2:$E$188,MATCH('Marketing Campaigns 22.11.22'!L1794,weekly!$H$2:$H$188,0))</f>
        <v>7000</v>
      </c>
      <c r="H1794">
        <f>INDEX(weekly!$D$2:$D$188,MATCH('Marketing Campaigns 22.11.22'!L1794,weekly!$H$2:$H$188,0))</f>
        <v>14000</v>
      </c>
      <c r="I1794">
        <f>INDEX(weekly!$F$2:$F$188,MATCH('Marketing Campaigns 22.11.22'!L1794,weekly!$H$2:$H$188,0))</f>
        <v>2636.6666666666665</v>
      </c>
      <c r="J1794">
        <v>0</v>
      </c>
      <c r="K1794">
        <v>0</v>
      </c>
      <c r="L1794" t="str">
        <f t="shared" si="54"/>
        <v>15-4-2023</v>
      </c>
      <c r="M1794">
        <f t="shared" si="55"/>
        <v>2023</v>
      </c>
    </row>
    <row r="1795" spans="1:13" x14ac:dyDescent="0.2">
      <c r="A1795" s="1">
        <v>45026</v>
      </c>
      <c r="B1795">
        <v>15</v>
      </c>
      <c r="C1795">
        <v>4</v>
      </c>
      <c r="D1795">
        <v>2</v>
      </c>
      <c r="E1795" t="s">
        <v>45</v>
      </c>
      <c r="F1795">
        <v>0</v>
      </c>
      <c r="G1795">
        <f>INDEX(weekly!$E$2:$E$188,MATCH('Marketing Campaigns 22.11.22'!L1795,weekly!$H$2:$H$188,0))</f>
        <v>7000</v>
      </c>
      <c r="H1795">
        <f>INDEX(weekly!$D$2:$D$188,MATCH('Marketing Campaigns 22.11.22'!L1795,weekly!$H$2:$H$188,0))</f>
        <v>14000</v>
      </c>
      <c r="I1795">
        <f>INDEX(weekly!$F$2:$F$188,MATCH('Marketing Campaigns 22.11.22'!L1795,weekly!$H$2:$H$188,0))</f>
        <v>2636.6666666666665</v>
      </c>
      <c r="J1795">
        <v>0</v>
      </c>
      <c r="K1795">
        <v>0</v>
      </c>
      <c r="L1795" t="str">
        <f t="shared" si="54"/>
        <v>15-4-2023</v>
      </c>
      <c r="M1795">
        <f t="shared" si="55"/>
        <v>2023</v>
      </c>
    </row>
    <row r="1796" spans="1:13" x14ac:dyDescent="0.2">
      <c r="A1796" s="1">
        <v>45026</v>
      </c>
      <c r="B1796">
        <v>15</v>
      </c>
      <c r="C1796">
        <v>4</v>
      </c>
      <c r="D1796">
        <v>2</v>
      </c>
      <c r="E1796" t="s">
        <v>46</v>
      </c>
      <c r="F1796">
        <v>0</v>
      </c>
      <c r="G1796">
        <f>INDEX(weekly!$E$2:$E$188,MATCH('Marketing Campaigns 22.11.22'!L1796,weekly!$H$2:$H$188,0))</f>
        <v>7000</v>
      </c>
      <c r="H1796">
        <f>INDEX(weekly!$D$2:$D$188,MATCH('Marketing Campaigns 22.11.22'!L1796,weekly!$H$2:$H$188,0))</f>
        <v>14000</v>
      </c>
      <c r="I1796">
        <f>INDEX(weekly!$F$2:$F$188,MATCH('Marketing Campaigns 22.11.22'!L1796,weekly!$H$2:$H$188,0))</f>
        <v>2636.6666666666665</v>
      </c>
      <c r="J1796">
        <v>0</v>
      </c>
      <c r="K1796">
        <v>0</v>
      </c>
      <c r="L1796" t="str">
        <f t="shared" ref="L1796:L1859" si="56">B1796&amp;"-"&amp;C1796&amp;"-"&amp;M1796</f>
        <v>15-4-2023</v>
      </c>
      <c r="M1796">
        <f t="shared" ref="M1796:M1859" si="57">YEAR(A1796)</f>
        <v>2023</v>
      </c>
    </row>
    <row r="1797" spans="1:13" x14ac:dyDescent="0.2">
      <c r="A1797" s="1">
        <v>45026</v>
      </c>
      <c r="B1797">
        <v>15</v>
      </c>
      <c r="C1797">
        <v>4</v>
      </c>
      <c r="D1797">
        <v>2</v>
      </c>
      <c r="E1797" t="s">
        <v>47</v>
      </c>
      <c r="F1797">
        <v>0</v>
      </c>
      <c r="G1797">
        <f>INDEX(weekly!$E$2:$E$188,MATCH('Marketing Campaigns 22.11.22'!L1797,weekly!$H$2:$H$188,0))</f>
        <v>7000</v>
      </c>
      <c r="H1797">
        <f>INDEX(weekly!$D$2:$D$188,MATCH('Marketing Campaigns 22.11.22'!L1797,weekly!$H$2:$H$188,0))</f>
        <v>14000</v>
      </c>
      <c r="I1797">
        <f>INDEX(weekly!$F$2:$F$188,MATCH('Marketing Campaigns 22.11.22'!L1797,weekly!$H$2:$H$188,0))</f>
        <v>2636.6666666666665</v>
      </c>
      <c r="J1797">
        <v>0</v>
      </c>
      <c r="K1797">
        <v>0</v>
      </c>
      <c r="L1797" t="str">
        <f t="shared" si="56"/>
        <v>15-4-2023</v>
      </c>
      <c r="M1797">
        <f t="shared" si="57"/>
        <v>2023</v>
      </c>
    </row>
    <row r="1798" spans="1:13" x14ac:dyDescent="0.2">
      <c r="A1798" s="1">
        <v>45026</v>
      </c>
      <c r="B1798">
        <v>15</v>
      </c>
      <c r="C1798">
        <v>4</v>
      </c>
      <c r="D1798">
        <v>2</v>
      </c>
      <c r="E1798" t="s">
        <v>48</v>
      </c>
      <c r="F1798">
        <v>0</v>
      </c>
      <c r="G1798">
        <f>INDEX(weekly!$E$2:$E$188,MATCH('Marketing Campaigns 22.11.22'!L1798,weekly!$H$2:$H$188,0))</f>
        <v>7000</v>
      </c>
      <c r="H1798">
        <f>INDEX(weekly!$D$2:$D$188,MATCH('Marketing Campaigns 22.11.22'!L1798,weekly!$H$2:$H$188,0))</f>
        <v>14000</v>
      </c>
      <c r="I1798">
        <f>INDEX(weekly!$F$2:$F$188,MATCH('Marketing Campaigns 22.11.22'!L1798,weekly!$H$2:$H$188,0))</f>
        <v>2636.6666666666665</v>
      </c>
      <c r="J1798">
        <v>0</v>
      </c>
      <c r="K1798">
        <v>0</v>
      </c>
      <c r="L1798" t="str">
        <f t="shared" si="56"/>
        <v>15-4-2023</v>
      </c>
      <c r="M1798">
        <f t="shared" si="57"/>
        <v>2023</v>
      </c>
    </row>
    <row r="1799" spans="1:13" x14ac:dyDescent="0.2">
      <c r="A1799" s="1">
        <v>45026</v>
      </c>
      <c r="B1799">
        <v>15</v>
      </c>
      <c r="C1799">
        <v>4</v>
      </c>
      <c r="D1799">
        <v>2</v>
      </c>
      <c r="E1799" t="s">
        <v>49</v>
      </c>
      <c r="F1799">
        <v>0</v>
      </c>
      <c r="G1799">
        <f>INDEX(weekly!$E$2:$E$188,MATCH('Marketing Campaigns 22.11.22'!L1799,weekly!$H$2:$H$188,0))</f>
        <v>7000</v>
      </c>
      <c r="H1799">
        <f>INDEX(weekly!$D$2:$D$188,MATCH('Marketing Campaigns 22.11.22'!L1799,weekly!$H$2:$H$188,0))</f>
        <v>14000</v>
      </c>
      <c r="I1799">
        <f>INDEX(weekly!$F$2:$F$188,MATCH('Marketing Campaigns 22.11.22'!L1799,weekly!$H$2:$H$188,0))</f>
        <v>2636.6666666666665</v>
      </c>
      <c r="J1799">
        <v>0</v>
      </c>
      <c r="K1799">
        <v>0</v>
      </c>
      <c r="L1799" t="str">
        <f t="shared" si="56"/>
        <v>15-4-2023</v>
      </c>
      <c r="M1799">
        <f t="shared" si="57"/>
        <v>2023</v>
      </c>
    </row>
    <row r="1800" spans="1:13" x14ac:dyDescent="0.2">
      <c r="A1800" s="1">
        <v>45026</v>
      </c>
      <c r="B1800">
        <v>15</v>
      </c>
      <c r="C1800">
        <v>4</v>
      </c>
      <c r="D1800">
        <v>2</v>
      </c>
      <c r="E1800" t="s">
        <v>50</v>
      </c>
      <c r="F1800">
        <v>0</v>
      </c>
      <c r="G1800">
        <f>INDEX(weekly!$E$2:$E$188,MATCH('Marketing Campaigns 22.11.22'!L1800,weekly!$H$2:$H$188,0))</f>
        <v>7000</v>
      </c>
      <c r="H1800">
        <f>INDEX(weekly!$D$2:$D$188,MATCH('Marketing Campaigns 22.11.22'!L1800,weekly!$H$2:$H$188,0))</f>
        <v>14000</v>
      </c>
      <c r="I1800">
        <f>INDEX(weekly!$F$2:$F$188,MATCH('Marketing Campaigns 22.11.22'!L1800,weekly!$H$2:$H$188,0))</f>
        <v>2636.6666666666665</v>
      </c>
      <c r="J1800">
        <v>0</v>
      </c>
      <c r="K1800">
        <v>0</v>
      </c>
      <c r="L1800" t="str">
        <f t="shared" si="56"/>
        <v>15-4-2023</v>
      </c>
      <c r="M1800">
        <f t="shared" si="57"/>
        <v>2023</v>
      </c>
    </row>
    <row r="1801" spans="1:13" x14ac:dyDescent="0.2">
      <c r="A1801" s="1">
        <v>45026</v>
      </c>
      <c r="B1801">
        <v>15</v>
      </c>
      <c r="C1801">
        <v>4</v>
      </c>
      <c r="D1801">
        <v>2</v>
      </c>
      <c r="E1801" t="s">
        <v>51</v>
      </c>
      <c r="F1801">
        <v>0</v>
      </c>
      <c r="G1801">
        <f>INDEX(weekly!$E$2:$E$188,MATCH('Marketing Campaigns 22.11.22'!L1801,weekly!$H$2:$H$188,0))</f>
        <v>7000</v>
      </c>
      <c r="H1801">
        <f>INDEX(weekly!$D$2:$D$188,MATCH('Marketing Campaigns 22.11.22'!L1801,weekly!$H$2:$H$188,0))</f>
        <v>14000</v>
      </c>
      <c r="I1801">
        <f>INDEX(weekly!$F$2:$F$188,MATCH('Marketing Campaigns 22.11.22'!L1801,weekly!$H$2:$H$188,0))</f>
        <v>2636.6666666666665</v>
      </c>
      <c r="J1801">
        <v>0</v>
      </c>
      <c r="K1801">
        <v>0</v>
      </c>
      <c r="L1801" t="str">
        <f t="shared" si="56"/>
        <v>15-4-2023</v>
      </c>
      <c r="M1801">
        <f t="shared" si="57"/>
        <v>2023</v>
      </c>
    </row>
    <row r="1802" spans="1:13" x14ac:dyDescent="0.2">
      <c r="A1802" s="1">
        <v>45026</v>
      </c>
      <c r="B1802">
        <v>15</v>
      </c>
      <c r="C1802">
        <v>4</v>
      </c>
      <c r="D1802">
        <v>2</v>
      </c>
      <c r="E1802" t="s">
        <v>52</v>
      </c>
      <c r="F1802">
        <v>0</v>
      </c>
      <c r="G1802">
        <f>INDEX(weekly!$E$2:$E$188,MATCH('Marketing Campaigns 22.11.22'!L1802,weekly!$H$2:$H$188,0))</f>
        <v>7000</v>
      </c>
      <c r="H1802">
        <f>INDEX(weekly!$D$2:$D$188,MATCH('Marketing Campaigns 22.11.22'!L1802,weekly!$H$2:$H$188,0))</f>
        <v>14000</v>
      </c>
      <c r="I1802">
        <f>INDEX(weekly!$F$2:$F$188,MATCH('Marketing Campaigns 22.11.22'!L1802,weekly!$H$2:$H$188,0))</f>
        <v>2636.6666666666665</v>
      </c>
      <c r="J1802">
        <v>0</v>
      </c>
      <c r="K1802">
        <v>0</v>
      </c>
      <c r="L1802" t="str">
        <f t="shared" si="56"/>
        <v>15-4-2023</v>
      </c>
      <c r="M1802">
        <f t="shared" si="57"/>
        <v>2023</v>
      </c>
    </row>
    <row r="1803" spans="1:13" x14ac:dyDescent="0.2">
      <c r="A1803" s="1">
        <v>45033</v>
      </c>
      <c r="B1803">
        <v>16</v>
      </c>
      <c r="C1803">
        <v>4</v>
      </c>
      <c r="D1803">
        <v>2</v>
      </c>
      <c r="E1803" t="s">
        <v>24</v>
      </c>
      <c r="F1803">
        <v>0</v>
      </c>
      <c r="G1803">
        <f>INDEX(weekly!$E$2:$E$188,MATCH('Marketing Campaigns 22.11.22'!L1803,weekly!$H$2:$H$188,0))</f>
        <v>7000</v>
      </c>
      <c r="H1803">
        <f>INDEX(weekly!$D$2:$D$188,MATCH('Marketing Campaigns 22.11.22'!L1803,weekly!$H$2:$H$188,0))</f>
        <v>14000</v>
      </c>
      <c r="I1803">
        <f>INDEX(weekly!$F$2:$F$188,MATCH('Marketing Campaigns 22.11.22'!L1803,weekly!$H$2:$H$188,0))</f>
        <v>2636.6666666666665</v>
      </c>
      <c r="J1803">
        <v>0</v>
      </c>
      <c r="K1803">
        <v>0</v>
      </c>
      <c r="L1803" t="str">
        <f t="shared" si="56"/>
        <v>16-4-2023</v>
      </c>
      <c r="M1803">
        <f t="shared" si="57"/>
        <v>2023</v>
      </c>
    </row>
    <row r="1804" spans="1:13" x14ac:dyDescent="0.2">
      <c r="A1804" s="1">
        <v>45033</v>
      </c>
      <c r="B1804">
        <v>16</v>
      </c>
      <c r="C1804">
        <v>4</v>
      </c>
      <c r="D1804">
        <v>2</v>
      </c>
      <c r="E1804" t="s">
        <v>39</v>
      </c>
      <c r="F1804">
        <v>0</v>
      </c>
      <c r="G1804">
        <f>INDEX(weekly!$E$2:$E$188,MATCH('Marketing Campaigns 22.11.22'!L1804,weekly!$H$2:$H$188,0))</f>
        <v>7000</v>
      </c>
      <c r="H1804">
        <f>INDEX(weekly!$D$2:$D$188,MATCH('Marketing Campaigns 22.11.22'!L1804,weekly!$H$2:$H$188,0))</f>
        <v>14000</v>
      </c>
      <c r="I1804">
        <f>INDEX(weekly!$F$2:$F$188,MATCH('Marketing Campaigns 22.11.22'!L1804,weekly!$H$2:$H$188,0))</f>
        <v>2636.6666666666665</v>
      </c>
      <c r="J1804">
        <v>0</v>
      </c>
      <c r="K1804">
        <v>0</v>
      </c>
      <c r="L1804" t="str">
        <f t="shared" si="56"/>
        <v>16-4-2023</v>
      </c>
      <c r="M1804">
        <f t="shared" si="57"/>
        <v>2023</v>
      </c>
    </row>
    <row r="1805" spans="1:13" x14ac:dyDescent="0.2">
      <c r="A1805" s="1">
        <v>45033</v>
      </c>
      <c r="B1805">
        <v>16</v>
      </c>
      <c r="C1805">
        <v>4</v>
      </c>
      <c r="D1805">
        <v>2</v>
      </c>
      <c r="E1805" t="s">
        <v>40</v>
      </c>
      <c r="F1805">
        <v>0</v>
      </c>
      <c r="G1805">
        <f>INDEX(weekly!$E$2:$E$188,MATCH('Marketing Campaigns 22.11.22'!L1805,weekly!$H$2:$H$188,0))</f>
        <v>7000</v>
      </c>
      <c r="H1805">
        <f>INDEX(weekly!$D$2:$D$188,MATCH('Marketing Campaigns 22.11.22'!L1805,weekly!$H$2:$H$188,0))</f>
        <v>14000</v>
      </c>
      <c r="I1805">
        <f>INDEX(weekly!$F$2:$F$188,MATCH('Marketing Campaigns 22.11.22'!L1805,weekly!$H$2:$H$188,0))</f>
        <v>2636.6666666666665</v>
      </c>
      <c r="J1805">
        <v>0</v>
      </c>
      <c r="K1805">
        <v>0</v>
      </c>
      <c r="L1805" t="str">
        <f t="shared" si="56"/>
        <v>16-4-2023</v>
      </c>
      <c r="M1805">
        <f t="shared" si="57"/>
        <v>2023</v>
      </c>
    </row>
    <row r="1806" spans="1:13" x14ac:dyDescent="0.2">
      <c r="A1806" s="1">
        <v>45033</v>
      </c>
      <c r="B1806">
        <v>16</v>
      </c>
      <c r="C1806">
        <v>4</v>
      </c>
      <c r="D1806">
        <v>2</v>
      </c>
      <c r="E1806" t="s">
        <v>41</v>
      </c>
      <c r="F1806">
        <v>0</v>
      </c>
      <c r="G1806">
        <f>INDEX(weekly!$E$2:$E$188,MATCH('Marketing Campaigns 22.11.22'!L1806,weekly!$H$2:$H$188,0))</f>
        <v>7000</v>
      </c>
      <c r="H1806">
        <f>INDEX(weekly!$D$2:$D$188,MATCH('Marketing Campaigns 22.11.22'!L1806,weekly!$H$2:$H$188,0))</f>
        <v>14000</v>
      </c>
      <c r="I1806">
        <f>INDEX(weekly!$F$2:$F$188,MATCH('Marketing Campaigns 22.11.22'!L1806,weekly!$H$2:$H$188,0))</f>
        <v>2636.6666666666665</v>
      </c>
      <c r="J1806">
        <v>0</v>
      </c>
      <c r="K1806">
        <v>0</v>
      </c>
      <c r="L1806" t="str">
        <f t="shared" si="56"/>
        <v>16-4-2023</v>
      </c>
      <c r="M1806">
        <f t="shared" si="57"/>
        <v>2023</v>
      </c>
    </row>
    <row r="1807" spans="1:13" x14ac:dyDescent="0.2">
      <c r="A1807" s="1">
        <v>45033</v>
      </c>
      <c r="B1807">
        <v>16</v>
      </c>
      <c r="C1807">
        <v>4</v>
      </c>
      <c r="D1807">
        <v>2</v>
      </c>
      <c r="E1807" t="s">
        <v>42</v>
      </c>
      <c r="F1807">
        <v>0</v>
      </c>
      <c r="G1807">
        <f>INDEX(weekly!$E$2:$E$188,MATCH('Marketing Campaigns 22.11.22'!L1807,weekly!$H$2:$H$188,0))</f>
        <v>7000</v>
      </c>
      <c r="H1807">
        <f>INDEX(weekly!$D$2:$D$188,MATCH('Marketing Campaigns 22.11.22'!L1807,weekly!$H$2:$H$188,0))</f>
        <v>14000</v>
      </c>
      <c r="I1807">
        <f>INDEX(weekly!$F$2:$F$188,MATCH('Marketing Campaigns 22.11.22'!L1807,weekly!$H$2:$H$188,0))</f>
        <v>2636.6666666666665</v>
      </c>
      <c r="J1807">
        <v>0</v>
      </c>
      <c r="K1807">
        <v>0</v>
      </c>
      <c r="L1807" t="str">
        <f t="shared" si="56"/>
        <v>16-4-2023</v>
      </c>
      <c r="M1807">
        <f t="shared" si="57"/>
        <v>2023</v>
      </c>
    </row>
    <row r="1808" spans="1:13" x14ac:dyDescent="0.2">
      <c r="A1808" s="1">
        <v>45033</v>
      </c>
      <c r="B1808">
        <v>16</v>
      </c>
      <c r="C1808">
        <v>4</v>
      </c>
      <c r="D1808">
        <v>2</v>
      </c>
      <c r="E1808" t="s">
        <v>43</v>
      </c>
      <c r="F1808">
        <v>0</v>
      </c>
      <c r="G1808">
        <f>INDEX(weekly!$E$2:$E$188,MATCH('Marketing Campaigns 22.11.22'!L1808,weekly!$H$2:$H$188,0))</f>
        <v>7000</v>
      </c>
      <c r="H1808">
        <f>INDEX(weekly!$D$2:$D$188,MATCH('Marketing Campaigns 22.11.22'!L1808,weekly!$H$2:$H$188,0))</f>
        <v>14000</v>
      </c>
      <c r="I1808">
        <f>INDEX(weekly!$F$2:$F$188,MATCH('Marketing Campaigns 22.11.22'!L1808,weekly!$H$2:$H$188,0))</f>
        <v>2636.6666666666665</v>
      </c>
      <c r="J1808">
        <v>0</v>
      </c>
      <c r="K1808">
        <v>0</v>
      </c>
      <c r="L1808" t="str">
        <f t="shared" si="56"/>
        <v>16-4-2023</v>
      </c>
      <c r="M1808">
        <f t="shared" si="57"/>
        <v>2023</v>
      </c>
    </row>
    <row r="1809" spans="1:13" x14ac:dyDescent="0.2">
      <c r="A1809" s="1">
        <v>45033</v>
      </c>
      <c r="B1809">
        <v>16</v>
      </c>
      <c r="C1809">
        <v>4</v>
      </c>
      <c r="D1809">
        <v>2</v>
      </c>
      <c r="E1809" t="s">
        <v>44</v>
      </c>
      <c r="F1809">
        <v>0</v>
      </c>
      <c r="G1809">
        <f>INDEX(weekly!$E$2:$E$188,MATCH('Marketing Campaigns 22.11.22'!L1809,weekly!$H$2:$H$188,0))</f>
        <v>7000</v>
      </c>
      <c r="H1809">
        <f>INDEX(weekly!$D$2:$D$188,MATCH('Marketing Campaigns 22.11.22'!L1809,weekly!$H$2:$H$188,0))</f>
        <v>14000</v>
      </c>
      <c r="I1809">
        <f>INDEX(weekly!$F$2:$F$188,MATCH('Marketing Campaigns 22.11.22'!L1809,weekly!$H$2:$H$188,0))</f>
        <v>2636.6666666666665</v>
      </c>
      <c r="J1809">
        <v>0</v>
      </c>
      <c r="K1809">
        <v>0</v>
      </c>
      <c r="L1809" t="str">
        <f t="shared" si="56"/>
        <v>16-4-2023</v>
      </c>
      <c r="M1809">
        <f t="shared" si="57"/>
        <v>2023</v>
      </c>
    </row>
    <row r="1810" spans="1:13" x14ac:dyDescent="0.2">
      <c r="A1810" s="1">
        <v>45033</v>
      </c>
      <c r="B1810">
        <v>16</v>
      </c>
      <c r="C1810">
        <v>4</v>
      </c>
      <c r="D1810">
        <v>2</v>
      </c>
      <c r="E1810" t="s">
        <v>45</v>
      </c>
      <c r="F1810">
        <v>0</v>
      </c>
      <c r="G1810">
        <f>INDEX(weekly!$E$2:$E$188,MATCH('Marketing Campaigns 22.11.22'!L1810,weekly!$H$2:$H$188,0))</f>
        <v>7000</v>
      </c>
      <c r="H1810">
        <f>INDEX(weekly!$D$2:$D$188,MATCH('Marketing Campaigns 22.11.22'!L1810,weekly!$H$2:$H$188,0))</f>
        <v>14000</v>
      </c>
      <c r="I1810">
        <f>INDEX(weekly!$F$2:$F$188,MATCH('Marketing Campaigns 22.11.22'!L1810,weekly!$H$2:$H$188,0))</f>
        <v>2636.6666666666665</v>
      </c>
      <c r="J1810">
        <v>0</v>
      </c>
      <c r="K1810">
        <v>0</v>
      </c>
      <c r="L1810" t="str">
        <f t="shared" si="56"/>
        <v>16-4-2023</v>
      </c>
      <c r="M1810">
        <f t="shared" si="57"/>
        <v>2023</v>
      </c>
    </row>
    <row r="1811" spans="1:13" x14ac:dyDescent="0.2">
      <c r="A1811" s="1">
        <v>45033</v>
      </c>
      <c r="B1811">
        <v>16</v>
      </c>
      <c r="C1811">
        <v>4</v>
      </c>
      <c r="D1811">
        <v>2</v>
      </c>
      <c r="E1811" t="s">
        <v>46</v>
      </c>
      <c r="F1811">
        <v>0</v>
      </c>
      <c r="G1811">
        <f>INDEX(weekly!$E$2:$E$188,MATCH('Marketing Campaigns 22.11.22'!L1811,weekly!$H$2:$H$188,0))</f>
        <v>7000</v>
      </c>
      <c r="H1811">
        <f>INDEX(weekly!$D$2:$D$188,MATCH('Marketing Campaigns 22.11.22'!L1811,weekly!$H$2:$H$188,0))</f>
        <v>14000</v>
      </c>
      <c r="I1811">
        <f>INDEX(weekly!$F$2:$F$188,MATCH('Marketing Campaigns 22.11.22'!L1811,weekly!$H$2:$H$188,0))</f>
        <v>2636.6666666666665</v>
      </c>
      <c r="J1811">
        <v>0</v>
      </c>
      <c r="K1811">
        <v>0</v>
      </c>
      <c r="L1811" t="str">
        <f t="shared" si="56"/>
        <v>16-4-2023</v>
      </c>
      <c r="M1811">
        <f t="shared" si="57"/>
        <v>2023</v>
      </c>
    </row>
    <row r="1812" spans="1:13" x14ac:dyDescent="0.2">
      <c r="A1812" s="1">
        <v>45033</v>
      </c>
      <c r="B1812">
        <v>16</v>
      </c>
      <c r="C1812">
        <v>4</v>
      </c>
      <c r="D1812">
        <v>2</v>
      </c>
      <c r="E1812" t="s">
        <v>47</v>
      </c>
      <c r="F1812">
        <v>0</v>
      </c>
      <c r="G1812">
        <f>INDEX(weekly!$E$2:$E$188,MATCH('Marketing Campaigns 22.11.22'!L1812,weekly!$H$2:$H$188,0))</f>
        <v>7000</v>
      </c>
      <c r="H1812">
        <f>INDEX(weekly!$D$2:$D$188,MATCH('Marketing Campaigns 22.11.22'!L1812,weekly!$H$2:$H$188,0))</f>
        <v>14000</v>
      </c>
      <c r="I1812">
        <f>INDEX(weekly!$F$2:$F$188,MATCH('Marketing Campaigns 22.11.22'!L1812,weekly!$H$2:$H$188,0))</f>
        <v>2636.6666666666665</v>
      </c>
      <c r="J1812">
        <v>0</v>
      </c>
      <c r="K1812">
        <v>0</v>
      </c>
      <c r="L1812" t="str">
        <f t="shared" si="56"/>
        <v>16-4-2023</v>
      </c>
      <c r="M1812">
        <f t="shared" si="57"/>
        <v>2023</v>
      </c>
    </row>
    <row r="1813" spans="1:13" x14ac:dyDescent="0.2">
      <c r="A1813" s="1">
        <v>45033</v>
      </c>
      <c r="B1813">
        <v>16</v>
      </c>
      <c r="C1813">
        <v>4</v>
      </c>
      <c r="D1813">
        <v>2</v>
      </c>
      <c r="E1813" t="s">
        <v>48</v>
      </c>
      <c r="F1813">
        <v>0</v>
      </c>
      <c r="G1813">
        <f>INDEX(weekly!$E$2:$E$188,MATCH('Marketing Campaigns 22.11.22'!L1813,weekly!$H$2:$H$188,0))</f>
        <v>7000</v>
      </c>
      <c r="H1813">
        <f>INDEX(weekly!$D$2:$D$188,MATCH('Marketing Campaigns 22.11.22'!L1813,weekly!$H$2:$H$188,0))</f>
        <v>14000</v>
      </c>
      <c r="I1813">
        <f>INDEX(weekly!$F$2:$F$188,MATCH('Marketing Campaigns 22.11.22'!L1813,weekly!$H$2:$H$188,0))</f>
        <v>2636.6666666666665</v>
      </c>
      <c r="J1813">
        <v>0</v>
      </c>
      <c r="K1813">
        <v>0</v>
      </c>
      <c r="L1813" t="str">
        <f t="shared" si="56"/>
        <v>16-4-2023</v>
      </c>
      <c r="M1813">
        <f t="shared" si="57"/>
        <v>2023</v>
      </c>
    </row>
    <row r="1814" spans="1:13" x14ac:dyDescent="0.2">
      <c r="A1814" s="1">
        <v>45033</v>
      </c>
      <c r="B1814">
        <v>16</v>
      </c>
      <c r="C1814">
        <v>4</v>
      </c>
      <c r="D1814">
        <v>2</v>
      </c>
      <c r="E1814" t="s">
        <v>49</v>
      </c>
      <c r="F1814">
        <v>0</v>
      </c>
      <c r="G1814">
        <f>INDEX(weekly!$E$2:$E$188,MATCH('Marketing Campaigns 22.11.22'!L1814,weekly!$H$2:$H$188,0))</f>
        <v>7000</v>
      </c>
      <c r="H1814">
        <f>INDEX(weekly!$D$2:$D$188,MATCH('Marketing Campaigns 22.11.22'!L1814,weekly!$H$2:$H$188,0))</f>
        <v>14000</v>
      </c>
      <c r="I1814">
        <f>INDEX(weekly!$F$2:$F$188,MATCH('Marketing Campaigns 22.11.22'!L1814,weekly!$H$2:$H$188,0))</f>
        <v>2636.6666666666665</v>
      </c>
      <c r="J1814">
        <v>0</v>
      </c>
      <c r="K1814">
        <v>0</v>
      </c>
      <c r="L1814" t="str">
        <f t="shared" si="56"/>
        <v>16-4-2023</v>
      </c>
      <c r="M1814">
        <f t="shared" si="57"/>
        <v>2023</v>
      </c>
    </row>
    <row r="1815" spans="1:13" x14ac:dyDescent="0.2">
      <c r="A1815" s="1">
        <v>45033</v>
      </c>
      <c r="B1815">
        <v>16</v>
      </c>
      <c r="C1815">
        <v>4</v>
      </c>
      <c r="D1815">
        <v>2</v>
      </c>
      <c r="E1815" t="s">
        <v>50</v>
      </c>
      <c r="F1815">
        <v>0</v>
      </c>
      <c r="G1815">
        <f>INDEX(weekly!$E$2:$E$188,MATCH('Marketing Campaigns 22.11.22'!L1815,weekly!$H$2:$H$188,0))</f>
        <v>7000</v>
      </c>
      <c r="H1815">
        <f>INDEX(weekly!$D$2:$D$188,MATCH('Marketing Campaigns 22.11.22'!L1815,weekly!$H$2:$H$188,0))</f>
        <v>14000</v>
      </c>
      <c r="I1815">
        <f>INDEX(weekly!$F$2:$F$188,MATCH('Marketing Campaigns 22.11.22'!L1815,weekly!$H$2:$H$188,0))</f>
        <v>2636.6666666666665</v>
      </c>
      <c r="J1815">
        <v>0</v>
      </c>
      <c r="K1815">
        <v>0</v>
      </c>
      <c r="L1815" t="str">
        <f t="shared" si="56"/>
        <v>16-4-2023</v>
      </c>
      <c r="M1815">
        <f t="shared" si="57"/>
        <v>2023</v>
      </c>
    </row>
    <row r="1816" spans="1:13" x14ac:dyDescent="0.2">
      <c r="A1816" s="1">
        <v>45033</v>
      </c>
      <c r="B1816">
        <v>16</v>
      </c>
      <c r="C1816">
        <v>4</v>
      </c>
      <c r="D1816">
        <v>2</v>
      </c>
      <c r="E1816" t="s">
        <v>51</v>
      </c>
      <c r="F1816">
        <v>0</v>
      </c>
      <c r="G1816">
        <f>INDEX(weekly!$E$2:$E$188,MATCH('Marketing Campaigns 22.11.22'!L1816,weekly!$H$2:$H$188,0))</f>
        <v>7000</v>
      </c>
      <c r="H1816">
        <f>INDEX(weekly!$D$2:$D$188,MATCH('Marketing Campaigns 22.11.22'!L1816,weekly!$H$2:$H$188,0))</f>
        <v>14000</v>
      </c>
      <c r="I1816">
        <f>INDEX(weekly!$F$2:$F$188,MATCH('Marketing Campaigns 22.11.22'!L1816,weekly!$H$2:$H$188,0))</f>
        <v>2636.6666666666665</v>
      </c>
      <c r="J1816">
        <v>0</v>
      </c>
      <c r="K1816">
        <v>0</v>
      </c>
      <c r="L1816" t="str">
        <f t="shared" si="56"/>
        <v>16-4-2023</v>
      </c>
      <c r="M1816">
        <f t="shared" si="57"/>
        <v>2023</v>
      </c>
    </row>
    <row r="1817" spans="1:13" x14ac:dyDescent="0.2">
      <c r="A1817" s="1">
        <v>45033</v>
      </c>
      <c r="B1817">
        <v>16</v>
      </c>
      <c r="C1817">
        <v>4</v>
      </c>
      <c r="D1817">
        <v>2</v>
      </c>
      <c r="E1817" t="s">
        <v>52</v>
      </c>
      <c r="F1817">
        <v>0</v>
      </c>
      <c r="G1817">
        <f>INDEX(weekly!$E$2:$E$188,MATCH('Marketing Campaigns 22.11.22'!L1817,weekly!$H$2:$H$188,0))</f>
        <v>7000</v>
      </c>
      <c r="H1817">
        <f>INDEX(weekly!$D$2:$D$188,MATCH('Marketing Campaigns 22.11.22'!L1817,weekly!$H$2:$H$188,0))</f>
        <v>14000</v>
      </c>
      <c r="I1817">
        <f>INDEX(weekly!$F$2:$F$188,MATCH('Marketing Campaigns 22.11.22'!L1817,weekly!$H$2:$H$188,0))</f>
        <v>2636.6666666666665</v>
      </c>
      <c r="J1817">
        <v>0</v>
      </c>
      <c r="K1817">
        <v>0</v>
      </c>
      <c r="L1817" t="str">
        <f t="shared" si="56"/>
        <v>16-4-2023</v>
      </c>
      <c r="M1817">
        <f t="shared" si="57"/>
        <v>2023</v>
      </c>
    </row>
    <row r="1818" spans="1:13" x14ac:dyDescent="0.2">
      <c r="A1818" s="1">
        <v>45040</v>
      </c>
      <c r="B1818">
        <v>17</v>
      </c>
      <c r="C1818">
        <v>4</v>
      </c>
      <c r="D1818">
        <v>2</v>
      </c>
      <c r="E1818" t="s">
        <v>24</v>
      </c>
      <c r="F1818">
        <v>0</v>
      </c>
      <c r="G1818">
        <f>INDEX(weekly!$E$2:$E$188,MATCH('Marketing Campaigns 22.11.22'!L1818,weekly!$H$2:$H$188,0))</f>
        <v>7000</v>
      </c>
      <c r="H1818">
        <f>INDEX(weekly!$D$2:$D$188,MATCH('Marketing Campaigns 22.11.22'!L1818,weekly!$H$2:$H$188,0))</f>
        <v>14000</v>
      </c>
      <c r="I1818">
        <f>INDEX(weekly!$F$2:$F$188,MATCH('Marketing Campaigns 22.11.22'!L1818,weekly!$H$2:$H$188,0))</f>
        <v>2636.6666666666665</v>
      </c>
      <c r="J1818">
        <v>0</v>
      </c>
      <c r="K1818">
        <v>0</v>
      </c>
      <c r="L1818" t="str">
        <f t="shared" si="56"/>
        <v>17-4-2023</v>
      </c>
      <c r="M1818">
        <f t="shared" si="57"/>
        <v>2023</v>
      </c>
    </row>
    <row r="1819" spans="1:13" x14ac:dyDescent="0.2">
      <c r="A1819" s="1">
        <v>45040</v>
      </c>
      <c r="B1819">
        <v>17</v>
      </c>
      <c r="C1819">
        <v>4</v>
      </c>
      <c r="D1819">
        <v>2</v>
      </c>
      <c r="E1819" t="s">
        <v>39</v>
      </c>
      <c r="F1819">
        <v>0</v>
      </c>
      <c r="G1819">
        <f>INDEX(weekly!$E$2:$E$188,MATCH('Marketing Campaigns 22.11.22'!L1819,weekly!$H$2:$H$188,0))</f>
        <v>7000</v>
      </c>
      <c r="H1819">
        <f>INDEX(weekly!$D$2:$D$188,MATCH('Marketing Campaigns 22.11.22'!L1819,weekly!$H$2:$H$188,0))</f>
        <v>14000</v>
      </c>
      <c r="I1819">
        <f>INDEX(weekly!$F$2:$F$188,MATCH('Marketing Campaigns 22.11.22'!L1819,weekly!$H$2:$H$188,0))</f>
        <v>2636.6666666666665</v>
      </c>
      <c r="J1819">
        <v>0</v>
      </c>
      <c r="K1819">
        <v>0</v>
      </c>
      <c r="L1819" t="str">
        <f t="shared" si="56"/>
        <v>17-4-2023</v>
      </c>
      <c r="M1819">
        <f t="shared" si="57"/>
        <v>2023</v>
      </c>
    </row>
    <row r="1820" spans="1:13" x14ac:dyDescent="0.2">
      <c r="A1820" s="1">
        <v>45040</v>
      </c>
      <c r="B1820">
        <v>17</v>
      </c>
      <c r="C1820">
        <v>4</v>
      </c>
      <c r="D1820">
        <v>2</v>
      </c>
      <c r="E1820" t="s">
        <v>40</v>
      </c>
      <c r="F1820">
        <v>0</v>
      </c>
      <c r="G1820">
        <f>INDEX(weekly!$E$2:$E$188,MATCH('Marketing Campaigns 22.11.22'!L1820,weekly!$H$2:$H$188,0))</f>
        <v>7000</v>
      </c>
      <c r="H1820">
        <f>INDEX(weekly!$D$2:$D$188,MATCH('Marketing Campaigns 22.11.22'!L1820,weekly!$H$2:$H$188,0))</f>
        <v>14000</v>
      </c>
      <c r="I1820">
        <f>INDEX(weekly!$F$2:$F$188,MATCH('Marketing Campaigns 22.11.22'!L1820,weekly!$H$2:$H$188,0))</f>
        <v>2636.6666666666665</v>
      </c>
      <c r="J1820">
        <v>0</v>
      </c>
      <c r="K1820">
        <v>0</v>
      </c>
      <c r="L1820" t="str">
        <f t="shared" si="56"/>
        <v>17-4-2023</v>
      </c>
      <c r="M1820">
        <f t="shared" si="57"/>
        <v>2023</v>
      </c>
    </row>
    <row r="1821" spans="1:13" x14ac:dyDescent="0.2">
      <c r="A1821" s="1">
        <v>45040</v>
      </c>
      <c r="B1821">
        <v>17</v>
      </c>
      <c r="C1821">
        <v>4</v>
      </c>
      <c r="D1821">
        <v>2</v>
      </c>
      <c r="E1821" t="s">
        <v>41</v>
      </c>
      <c r="F1821">
        <v>0</v>
      </c>
      <c r="G1821">
        <f>INDEX(weekly!$E$2:$E$188,MATCH('Marketing Campaigns 22.11.22'!L1821,weekly!$H$2:$H$188,0))</f>
        <v>7000</v>
      </c>
      <c r="H1821">
        <f>INDEX(weekly!$D$2:$D$188,MATCH('Marketing Campaigns 22.11.22'!L1821,weekly!$H$2:$H$188,0))</f>
        <v>14000</v>
      </c>
      <c r="I1821">
        <f>INDEX(weekly!$F$2:$F$188,MATCH('Marketing Campaigns 22.11.22'!L1821,weekly!$H$2:$H$188,0))</f>
        <v>2636.6666666666665</v>
      </c>
      <c r="J1821">
        <v>0</v>
      </c>
      <c r="K1821">
        <v>0</v>
      </c>
      <c r="L1821" t="str">
        <f t="shared" si="56"/>
        <v>17-4-2023</v>
      </c>
      <c r="M1821">
        <f t="shared" si="57"/>
        <v>2023</v>
      </c>
    </row>
    <row r="1822" spans="1:13" x14ac:dyDescent="0.2">
      <c r="A1822" s="1">
        <v>45040</v>
      </c>
      <c r="B1822">
        <v>17</v>
      </c>
      <c r="C1822">
        <v>4</v>
      </c>
      <c r="D1822">
        <v>2</v>
      </c>
      <c r="E1822" t="s">
        <v>42</v>
      </c>
      <c r="F1822">
        <v>0</v>
      </c>
      <c r="G1822">
        <f>INDEX(weekly!$E$2:$E$188,MATCH('Marketing Campaigns 22.11.22'!L1822,weekly!$H$2:$H$188,0))</f>
        <v>7000</v>
      </c>
      <c r="H1822">
        <f>INDEX(weekly!$D$2:$D$188,MATCH('Marketing Campaigns 22.11.22'!L1822,weekly!$H$2:$H$188,0))</f>
        <v>14000</v>
      </c>
      <c r="I1822">
        <f>INDEX(weekly!$F$2:$F$188,MATCH('Marketing Campaigns 22.11.22'!L1822,weekly!$H$2:$H$188,0))</f>
        <v>2636.6666666666665</v>
      </c>
      <c r="J1822">
        <v>0</v>
      </c>
      <c r="K1822">
        <v>0</v>
      </c>
      <c r="L1822" t="str">
        <f t="shared" si="56"/>
        <v>17-4-2023</v>
      </c>
      <c r="M1822">
        <f t="shared" si="57"/>
        <v>2023</v>
      </c>
    </row>
    <row r="1823" spans="1:13" x14ac:dyDescent="0.2">
      <c r="A1823" s="1">
        <v>45040</v>
      </c>
      <c r="B1823">
        <v>17</v>
      </c>
      <c r="C1823">
        <v>4</v>
      </c>
      <c r="D1823">
        <v>2</v>
      </c>
      <c r="E1823" t="s">
        <v>43</v>
      </c>
      <c r="F1823">
        <v>0</v>
      </c>
      <c r="G1823">
        <f>INDEX(weekly!$E$2:$E$188,MATCH('Marketing Campaigns 22.11.22'!L1823,weekly!$H$2:$H$188,0))</f>
        <v>7000</v>
      </c>
      <c r="H1823">
        <f>INDEX(weekly!$D$2:$D$188,MATCH('Marketing Campaigns 22.11.22'!L1823,weekly!$H$2:$H$188,0))</f>
        <v>14000</v>
      </c>
      <c r="I1823">
        <f>INDEX(weekly!$F$2:$F$188,MATCH('Marketing Campaigns 22.11.22'!L1823,weekly!$H$2:$H$188,0))</f>
        <v>2636.6666666666665</v>
      </c>
      <c r="J1823">
        <v>0</v>
      </c>
      <c r="K1823">
        <v>0</v>
      </c>
      <c r="L1823" t="str">
        <f t="shared" si="56"/>
        <v>17-4-2023</v>
      </c>
      <c r="M1823">
        <f t="shared" si="57"/>
        <v>2023</v>
      </c>
    </row>
    <row r="1824" spans="1:13" x14ac:dyDescent="0.2">
      <c r="A1824" s="1">
        <v>45040</v>
      </c>
      <c r="B1824">
        <v>17</v>
      </c>
      <c r="C1824">
        <v>4</v>
      </c>
      <c r="D1824">
        <v>2</v>
      </c>
      <c r="E1824" t="s">
        <v>44</v>
      </c>
      <c r="F1824">
        <v>0</v>
      </c>
      <c r="G1824">
        <f>INDEX(weekly!$E$2:$E$188,MATCH('Marketing Campaigns 22.11.22'!L1824,weekly!$H$2:$H$188,0))</f>
        <v>7000</v>
      </c>
      <c r="H1824">
        <f>INDEX(weekly!$D$2:$D$188,MATCH('Marketing Campaigns 22.11.22'!L1824,weekly!$H$2:$H$188,0))</f>
        <v>14000</v>
      </c>
      <c r="I1824">
        <f>INDEX(weekly!$F$2:$F$188,MATCH('Marketing Campaigns 22.11.22'!L1824,weekly!$H$2:$H$188,0))</f>
        <v>2636.6666666666665</v>
      </c>
      <c r="J1824">
        <v>0</v>
      </c>
      <c r="K1824">
        <v>0</v>
      </c>
      <c r="L1824" t="str">
        <f t="shared" si="56"/>
        <v>17-4-2023</v>
      </c>
      <c r="M1824">
        <f t="shared" si="57"/>
        <v>2023</v>
      </c>
    </row>
    <row r="1825" spans="1:13" x14ac:dyDescent="0.2">
      <c r="A1825" s="1">
        <v>45040</v>
      </c>
      <c r="B1825">
        <v>17</v>
      </c>
      <c r="C1825">
        <v>4</v>
      </c>
      <c r="D1825">
        <v>2</v>
      </c>
      <c r="E1825" t="s">
        <v>45</v>
      </c>
      <c r="F1825">
        <v>0</v>
      </c>
      <c r="G1825">
        <f>INDEX(weekly!$E$2:$E$188,MATCH('Marketing Campaigns 22.11.22'!L1825,weekly!$H$2:$H$188,0))</f>
        <v>7000</v>
      </c>
      <c r="H1825">
        <f>INDEX(weekly!$D$2:$D$188,MATCH('Marketing Campaigns 22.11.22'!L1825,weekly!$H$2:$H$188,0))</f>
        <v>14000</v>
      </c>
      <c r="I1825">
        <f>INDEX(weekly!$F$2:$F$188,MATCH('Marketing Campaigns 22.11.22'!L1825,weekly!$H$2:$H$188,0))</f>
        <v>2636.6666666666665</v>
      </c>
      <c r="J1825">
        <v>0</v>
      </c>
      <c r="K1825">
        <v>0</v>
      </c>
      <c r="L1825" t="str">
        <f t="shared" si="56"/>
        <v>17-4-2023</v>
      </c>
      <c r="M1825">
        <f t="shared" si="57"/>
        <v>2023</v>
      </c>
    </row>
    <row r="1826" spans="1:13" x14ac:dyDescent="0.2">
      <c r="A1826" s="1">
        <v>45040</v>
      </c>
      <c r="B1826">
        <v>17</v>
      </c>
      <c r="C1826">
        <v>4</v>
      </c>
      <c r="D1826">
        <v>2</v>
      </c>
      <c r="E1826" t="s">
        <v>46</v>
      </c>
      <c r="F1826">
        <v>0</v>
      </c>
      <c r="G1826">
        <f>INDEX(weekly!$E$2:$E$188,MATCH('Marketing Campaigns 22.11.22'!L1826,weekly!$H$2:$H$188,0))</f>
        <v>7000</v>
      </c>
      <c r="H1826">
        <f>INDEX(weekly!$D$2:$D$188,MATCH('Marketing Campaigns 22.11.22'!L1826,weekly!$H$2:$H$188,0))</f>
        <v>14000</v>
      </c>
      <c r="I1826">
        <f>INDEX(weekly!$F$2:$F$188,MATCH('Marketing Campaigns 22.11.22'!L1826,weekly!$H$2:$H$188,0))</f>
        <v>2636.6666666666665</v>
      </c>
      <c r="J1826">
        <v>0</v>
      </c>
      <c r="K1826">
        <v>0</v>
      </c>
      <c r="L1826" t="str">
        <f t="shared" si="56"/>
        <v>17-4-2023</v>
      </c>
      <c r="M1826">
        <f t="shared" si="57"/>
        <v>2023</v>
      </c>
    </row>
    <row r="1827" spans="1:13" x14ac:dyDescent="0.2">
      <c r="A1827" s="1">
        <v>45040</v>
      </c>
      <c r="B1827">
        <v>17</v>
      </c>
      <c r="C1827">
        <v>4</v>
      </c>
      <c r="D1827">
        <v>2</v>
      </c>
      <c r="E1827" t="s">
        <v>47</v>
      </c>
      <c r="F1827">
        <v>0</v>
      </c>
      <c r="G1827">
        <f>INDEX(weekly!$E$2:$E$188,MATCH('Marketing Campaigns 22.11.22'!L1827,weekly!$H$2:$H$188,0))</f>
        <v>7000</v>
      </c>
      <c r="H1827">
        <f>INDEX(weekly!$D$2:$D$188,MATCH('Marketing Campaigns 22.11.22'!L1827,weekly!$H$2:$H$188,0))</f>
        <v>14000</v>
      </c>
      <c r="I1827">
        <f>INDEX(weekly!$F$2:$F$188,MATCH('Marketing Campaigns 22.11.22'!L1827,weekly!$H$2:$H$188,0))</f>
        <v>2636.6666666666665</v>
      </c>
      <c r="J1827">
        <v>0</v>
      </c>
      <c r="K1827">
        <v>0</v>
      </c>
      <c r="L1827" t="str">
        <f t="shared" si="56"/>
        <v>17-4-2023</v>
      </c>
      <c r="M1827">
        <f t="shared" si="57"/>
        <v>2023</v>
      </c>
    </row>
    <row r="1828" spans="1:13" x14ac:dyDescent="0.2">
      <c r="A1828" s="1">
        <v>45040</v>
      </c>
      <c r="B1828">
        <v>17</v>
      </c>
      <c r="C1828">
        <v>4</v>
      </c>
      <c r="D1828">
        <v>2</v>
      </c>
      <c r="E1828" t="s">
        <v>48</v>
      </c>
      <c r="F1828">
        <v>0</v>
      </c>
      <c r="G1828">
        <f>INDEX(weekly!$E$2:$E$188,MATCH('Marketing Campaigns 22.11.22'!L1828,weekly!$H$2:$H$188,0))</f>
        <v>7000</v>
      </c>
      <c r="H1828">
        <f>INDEX(weekly!$D$2:$D$188,MATCH('Marketing Campaigns 22.11.22'!L1828,weekly!$H$2:$H$188,0))</f>
        <v>14000</v>
      </c>
      <c r="I1828">
        <f>INDEX(weekly!$F$2:$F$188,MATCH('Marketing Campaigns 22.11.22'!L1828,weekly!$H$2:$H$188,0))</f>
        <v>2636.6666666666665</v>
      </c>
      <c r="J1828">
        <v>0</v>
      </c>
      <c r="K1828">
        <v>0</v>
      </c>
      <c r="L1828" t="str">
        <f t="shared" si="56"/>
        <v>17-4-2023</v>
      </c>
      <c r="M1828">
        <f t="shared" si="57"/>
        <v>2023</v>
      </c>
    </row>
    <row r="1829" spans="1:13" x14ac:dyDescent="0.2">
      <c r="A1829" s="1">
        <v>45040</v>
      </c>
      <c r="B1829">
        <v>17</v>
      </c>
      <c r="C1829">
        <v>4</v>
      </c>
      <c r="D1829">
        <v>2</v>
      </c>
      <c r="E1829" t="s">
        <v>49</v>
      </c>
      <c r="F1829">
        <v>0</v>
      </c>
      <c r="G1829">
        <f>INDEX(weekly!$E$2:$E$188,MATCH('Marketing Campaigns 22.11.22'!L1829,weekly!$H$2:$H$188,0))</f>
        <v>7000</v>
      </c>
      <c r="H1829">
        <f>INDEX(weekly!$D$2:$D$188,MATCH('Marketing Campaigns 22.11.22'!L1829,weekly!$H$2:$H$188,0))</f>
        <v>14000</v>
      </c>
      <c r="I1829">
        <f>INDEX(weekly!$F$2:$F$188,MATCH('Marketing Campaigns 22.11.22'!L1829,weekly!$H$2:$H$188,0))</f>
        <v>2636.6666666666665</v>
      </c>
      <c r="J1829">
        <v>0</v>
      </c>
      <c r="K1829">
        <v>0</v>
      </c>
      <c r="L1829" t="str">
        <f t="shared" si="56"/>
        <v>17-4-2023</v>
      </c>
      <c r="M1829">
        <f t="shared" si="57"/>
        <v>2023</v>
      </c>
    </row>
    <row r="1830" spans="1:13" x14ac:dyDescent="0.2">
      <c r="A1830" s="1">
        <v>45040</v>
      </c>
      <c r="B1830">
        <v>17</v>
      </c>
      <c r="C1830">
        <v>4</v>
      </c>
      <c r="D1830">
        <v>2</v>
      </c>
      <c r="E1830" t="s">
        <v>50</v>
      </c>
      <c r="F1830">
        <v>0</v>
      </c>
      <c r="G1830">
        <f>INDEX(weekly!$E$2:$E$188,MATCH('Marketing Campaigns 22.11.22'!L1830,weekly!$H$2:$H$188,0))</f>
        <v>7000</v>
      </c>
      <c r="H1830">
        <f>INDEX(weekly!$D$2:$D$188,MATCH('Marketing Campaigns 22.11.22'!L1830,weekly!$H$2:$H$188,0))</f>
        <v>14000</v>
      </c>
      <c r="I1830">
        <f>INDEX(weekly!$F$2:$F$188,MATCH('Marketing Campaigns 22.11.22'!L1830,weekly!$H$2:$H$188,0))</f>
        <v>2636.6666666666665</v>
      </c>
      <c r="J1830">
        <v>0</v>
      </c>
      <c r="K1830">
        <v>0</v>
      </c>
      <c r="L1830" t="str">
        <f t="shared" si="56"/>
        <v>17-4-2023</v>
      </c>
      <c r="M1830">
        <f t="shared" si="57"/>
        <v>2023</v>
      </c>
    </row>
    <row r="1831" spans="1:13" x14ac:dyDescent="0.2">
      <c r="A1831" s="1">
        <v>45040</v>
      </c>
      <c r="B1831">
        <v>17</v>
      </c>
      <c r="C1831">
        <v>4</v>
      </c>
      <c r="D1831">
        <v>2</v>
      </c>
      <c r="E1831" t="s">
        <v>51</v>
      </c>
      <c r="F1831">
        <v>0</v>
      </c>
      <c r="G1831">
        <f>INDEX(weekly!$E$2:$E$188,MATCH('Marketing Campaigns 22.11.22'!L1831,weekly!$H$2:$H$188,0))</f>
        <v>7000</v>
      </c>
      <c r="H1831">
        <f>INDEX(weekly!$D$2:$D$188,MATCH('Marketing Campaigns 22.11.22'!L1831,weekly!$H$2:$H$188,0))</f>
        <v>14000</v>
      </c>
      <c r="I1831">
        <f>INDEX(weekly!$F$2:$F$188,MATCH('Marketing Campaigns 22.11.22'!L1831,weekly!$H$2:$H$188,0))</f>
        <v>2636.6666666666665</v>
      </c>
      <c r="J1831">
        <v>0</v>
      </c>
      <c r="K1831">
        <v>0</v>
      </c>
      <c r="L1831" t="str">
        <f t="shared" si="56"/>
        <v>17-4-2023</v>
      </c>
      <c r="M1831">
        <f t="shared" si="57"/>
        <v>2023</v>
      </c>
    </row>
    <row r="1832" spans="1:13" x14ac:dyDescent="0.2">
      <c r="A1832" s="1">
        <v>45040</v>
      </c>
      <c r="B1832">
        <v>17</v>
      </c>
      <c r="C1832">
        <v>4</v>
      </c>
      <c r="D1832">
        <v>2</v>
      </c>
      <c r="E1832" t="s">
        <v>52</v>
      </c>
      <c r="F1832">
        <v>0</v>
      </c>
      <c r="G1832">
        <f>INDEX(weekly!$E$2:$E$188,MATCH('Marketing Campaigns 22.11.22'!L1832,weekly!$H$2:$H$188,0))</f>
        <v>7000</v>
      </c>
      <c r="H1832">
        <f>INDEX(weekly!$D$2:$D$188,MATCH('Marketing Campaigns 22.11.22'!L1832,weekly!$H$2:$H$188,0))</f>
        <v>14000</v>
      </c>
      <c r="I1832">
        <f>INDEX(weekly!$F$2:$F$188,MATCH('Marketing Campaigns 22.11.22'!L1832,weekly!$H$2:$H$188,0))</f>
        <v>2636.6666666666665</v>
      </c>
      <c r="J1832">
        <v>0</v>
      </c>
      <c r="K1832">
        <v>0</v>
      </c>
      <c r="L1832" t="str">
        <f t="shared" si="56"/>
        <v>17-4-2023</v>
      </c>
      <c r="M1832">
        <f t="shared" si="57"/>
        <v>2023</v>
      </c>
    </row>
    <row r="1833" spans="1:13" x14ac:dyDescent="0.2">
      <c r="A1833" s="1">
        <v>45047</v>
      </c>
      <c r="B1833">
        <v>18</v>
      </c>
      <c r="C1833">
        <v>5</v>
      </c>
      <c r="D1833">
        <v>2</v>
      </c>
      <c r="E1833" t="s">
        <v>24</v>
      </c>
      <c r="F1833">
        <v>0</v>
      </c>
      <c r="G1833">
        <f>INDEX(weekly!$E$2:$E$188,MATCH('Marketing Campaigns 22.11.22'!L1833,weekly!$H$2:$H$188,0))</f>
        <v>6774.1935483870975</v>
      </c>
      <c r="H1833">
        <f>INDEX(weekly!$D$2:$D$188,MATCH('Marketing Campaigns 22.11.22'!L1833,weekly!$H$2:$H$188,0))</f>
        <v>13548.387096774195</v>
      </c>
      <c r="I1833">
        <f>INDEX(weekly!$F$2:$F$188,MATCH('Marketing Campaigns 22.11.22'!L1833,weekly!$H$2:$H$188,0))</f>
        <v>3387.0967741935488</v>
      </c>
      <c r="J1833">
        <v>0</v>
      </c>
      <c r="K1833">
        <v>0</v>
      </c>
      <c r="L1833" t="str">
        <f t="shared" si="56"/>
        <v>18-5-2023</v>
      </c>
      <c r="M1833">
        <f t="shared" si="57"/>
        <v>2023</v>
      </c>
    </row>
    <row r="1834" spans="1:13" x14ac:dyDescent="0.2">
      <c r="A1834" s="1">
        <v>45047</v>
      </c>
      <c r="B1834">
        <v>18</v>
      </c>
      <c r="C1834">
        <v>5</v>
      </c>
      <c r="D1834">
        <v>2</v>
      </c>
      <c r="E1834" t="s">
        <v>39</v>
      </c>
      <c r="F1834">
        <v>0</v>
      </c>
      <c r="G1834">
        <f>INDEX(weekly!$E$2:$E$188,MATCH('Marketing Campaigns 22.11.22'!L1834,weekly!$H$2:$H$188,0))</f>
        <v>6774.1935483870975</v>
      </c>
      <c r="H1834">
        <f>INDEX(weekly!$D$2:$D$188,MATCH('Marketing Campaigns 22.11.22'!L1834,weekly!$H$2:$H$188,0))</f>
        <v>13548.387096774195</v>
      </c>
      <c r="I1834">
        <f>INDEX(weekly!$F$2:$F$188,MATCH('Marketing Campaigns 22.11.22'!L1834,weekly!$H$2:$H$188,0))</f>
        <v>3387.0967741935488</v>
      </c>
      <c r="J1834">
        <v>0</v>
      </c>
      <c r="K1834">
        <v>0</v>
      </c>
      <c r="L1834" t="str">
        <f t="shared" si="56"/>
        <v>18-5-2023</v>
      </c>
      <c r="M1834">
        <f t="shared" si="57"/>
        <v>2023</v>
      </c>
    </row>
    <row r="1835" spans="1:13" x14ac:dyDescent="0.2">
      <c r="A1835" s="1">
        <v>45047</v>
      </c>
      <c r="B1835">
        <v>18</v>
      </c>
      <c r="C1835">
        <v>5</v>
      </c>
      <c r="D1835">
        <v>2</v>
      </c>
      <c r="E1835" t="s">
        <v>40</v>
      </c>
      <c r="F1835">
        <v>0</v>
      </c>
      <c r="G1835">
        <f>INDEX(weekly!$E$2:$E$188,MATCH('Marketing Campaigns 22.11.22'!L1835,weekly!$H$2:$H$188,0))</f>
        <v>6774.1935483870975</v>
      </c>
      <c r="H1835">
        <f>INDEX(weekly!$D$2:$D$188,MATCH('Marketing Campaigns 22.11.22'!L1835,weekly!$H$2:$H$188,0))</f>
        <v>13548.387096774195</v>
      </c>
      <c r="I1835">
        <f>INDEX(weekly!$F$2:$F$188,MATCH('Marketing Campaigns 22.11.22'!L1835,weekly!$H$2:$H$188,0))</f>
        <v>3387.0967741935488</v>
      </c>
      <c r="J1835">
        <v>0</v>
      </c>
      <c r="K1835">
        <v>0</v>
      </c>
      <c r="L1835" t="str">
        <f t="shared" si="56"/>
        <v>18-5-2023</v>
      </c>
      <c r="M1835">
        <f t="shared" si="57"/>
        <v>2023</v>
      </c>
    </row>
    <row r="1836" spans="1:13" x14ac:dyDescent="0.2">
      <c r="A1836" s="1">
        <v>45047</v>
      </c>
      <c r="B1836">
        <v>18</v>
      </c>
      <c r="C1836">
        <v>5</v>
      </c>
      <c r="D1836">
        <v>2</v>
      </c>
      <c r="E1836" t="s">
        <v>41</v>
      </c>
      <c r="F1836">
        <v>0</v>
      </c>
      <c r="G1836">
        <f>INDEX(weekly!$E$2:$E$188,MATCH('Marketing Campaigns 22.11.22'!L1836,weekly!$H$2:$H$188,0))</f>
        <v>6774.1935483870975</v>
      </c>
      <c r="H1836">
        <f>INDEX(weekly!$D$2:$D$188,MATCH('Marketing Campaigns 22.11.22'!L1836,weekly!$H$2:$H$188,0))</f>
        <v>13548.387096774195</v>
      </c>
      <c r="I1836">
        <f>INDEX(weekly!$F$2:$F$188,MATCH('Marketing Campaigns 22.11.22'!L1836,weekly!$H$2:$H$188,0))</f>
        <v>3387.0967741935488</v>
      </c>
      <c r="J1836">
        <v>0</v>
      </c>
      <c r="K1836">
        <v>0</v>
      </c>
      <c r="L1836" t="str">
        <f t="shared" si="56"/>
        <v>18-5-2023</v>
      </c>
      <c r="M1836">
        <f t="shared" si="57"/>
        <v>2023</v>
      </c>
    </row>
    <row r="1837" spans="1:13" x14ac:dyDescent="0.2">
      <c r="A1837" s="1">
        <v>45047</v>
      </c>
      <c r="B1837">
        <v>18</v>
      </c>
      <c r="C1837">
        <v>5</v>
      </c>
      <c r="D1837">
        <v>2</v>
      </c>
      <c r="E1837" t="s">
        <v>42</v>
      </c>
      <c r="F1837">
        <v>0</v>
      </c>
      <c r="G1837">
        <f>INDEX(weekly!$E$2:$E$188,MATCH('Marketing Campaigns 22.11.22'!L1837,weekly!$H$2:$H$188,0))</f>
        <v>6774.1935483870975</v>
      </c>
      <c r="H1837">
        <f>INDEX(weekly!$D$2:$D$188,MATCH('Marketing Campaigns 22.11.22'!L1837,weekly!$H$2:$H$188,0))</f>
        <v>13548.387096774195</v>
      </c>
      <c r="I1837">
        <f>INDEX(weekly!$F$2:$F$188,MATCH('Marketing Campaigns 22.11.22'!L1837,weekly!$H$2:$H$188,0))</f>
        <v>3387.0967741935488</v>
      </c>
      <c r="J1837">
        <v>0</v>
      </c>
      <c r="K1837">
        <v>0</v>
      </c>
      <c r="L1837" t="str">
        <f t="shared" si="56"/>
        <v>18-5-2023</v>
      </c>
      <c r="M1837">
        <f t="shared" si="57"/>
        <v>2023</v>
      </c>
    </row>
    <row r="1838" spans="1:13" x14ac:dyDescent="0.2">
      <c r="A1838" s="1">
        <v>45047</v>
      </c>
      <c r="B1838">
        <v>18</v>
      </c>
      <c r="C1838">
        <v>5</v>
      </c>
      <c r="D1838">
        <v>2</v>
      </c>
      <c r="E1838" t="s">
        <v>43</v>
      </c>
      <c r="F1838">
        <v>0</v>
      </c>
      <c r="G1838">
        <f>INDEX(weekly!$E$2:$E$188,MATCH('Marketing Campaigns 22.11.22'!L1838,weekly!$H$2:$H$188,0))</f>
        <v>6774.1935483870975</v>
      </c>
      <c r="H1838">
        <f>INDEX(weekly!$D$2:$D$188,MATCH('Marketing Campaigns 22.11.22'!L1838,weekly!$H$2:$H$188,0))</f>
        <v>13548.387096774195</v>
      </c>
      <c r="I1838">
        <f>INDEX(weekly!$F$2:$F$188,MATCH('Marketing Campaigns 22.11.22'!L1838,weekly!$H$2:$H$188,0))</f>
        <v>3387.0967741935488</v>
      </c>
      <c r="J1838">
        <v>0</v>
      </c>
      <c r="K1838">
        <v>0</v>
      </c>
      <c r="L1838" t="str">
        <f t="shared" si="56"/>
        <v>18-5-2023</v>
      </c>
      <c r="M1838">
        <f t="shared" si="57"/>
        <v>2023</v>
      </c>
    </row>
    <row r="1839" spans="1:13" x14ac:dyDescent="0.2">
      <c r="A1839" s="1">
        <v>45047</v>
      </c>
      <c r="B1839">
        <v>18</v>
      </c>
      <c r="C1839">
        <v>5</v>
      </c>
      <c r="D1839">
        <v>2</v>
      </c>
      <c r="E1839" t="s">
        <v>44</v>
      </c>
      <c r="F1839">
        <v>0</v>
      </c>
      <c r="G1839">
        <f>INDEX(weekly!$E$2:$E$188,MATCH('Marketing Campaigns 22.11.22'!L1839,weekly!$H$2:$H$188,0))</f>
        <v>6774.1935483870975</v>
      </c>
      <c r="H1839">
        <f>INDEX(weekly!$D$2:$D$188,MATCH('Marketing Campaigns 22.11.22'!L1839,weekly!$H$2:$H$188,0))</f>
        <v>13548.387096774195</v>
      </c>
      <c r="I1839">
        <f>INDEX(weekly!$F$2:$F$188,MATCH('Marketing Campaigns 22.11.22'!L1839,weekly!$H$2:$H$188,0))</f>
        <v>3387.0967741935488</v>
      </c>
      <c r="J1839">
        <v>0</v>
      </c>
      <c r="K1839">
        <v>0</v>
      </c>
      <c r="L1839" t="str">
        <f t="shared" si="56"/>
        <v>18-5-2023</v>
      </c>
      <c r="M1839">
        <f t="shared" si="57"/>
        <v>2023</v>
      </c>
    </row>
    <row r="1840" spans="1:13" x14ac:dyDescent="0.2">
      <c r="A1840" s="1">
        <v>45047</v>
      </c>
      <c r="B1840">
        <v>18</v>
      </c>
      <c r="C1840">
        <v>5</v>
      </c>
      <c r="D1840">
        <v>2</v>
      </c>
      <c r="E1840" t="s">
        <v>45</v>
      </c>
      <c r="F1840">
        <v>0</v>
      </c>
      <c r="G1840">
        <f>INDEX(weekly!$E$2:$E$188,MATCH('Marketing Campaigns 22.11.22'!L1840,weekly!$H$2:$H$188,0))</f>
        <v>6774.1935483870975</v>
      </c>
      <c r="H1840">
        <f>INDEX(weekly!$D$2:$D$188,MATCH('Marketing Campaigns 22.11.22'!L1840,weekly!$H$2:$H$188,0))</f>
        <v>13548.387096774195</v>
      </c>
      <c r="I1840">
        <f>INDEX(weekly!$F$2:$F$188,MATCH('Marketing Campaigns 22.11.22'!L1840,weekly!$H$2:$H$188,0))</f>
        <v>3387.0967741935488</v>
      </c>
      <c r="J1840">
        <v>0</v>
      </c>
      <c r="K1840">
        <v>0</v>
      </c>
      <c r="L1840" t="str">
        <f t="shared" si="56"/>
        <v>18-5-2023</v>
      </c>
      <c r="M1840">
        <f t="shared" si="57"/>
        <v>2023</v>
      </c>
    </row>
    <row r="1841" spans="1:13" x14ac:dyDescent="0.2">
      <c r="A1841" s="1">
        <v>45047</v>
      </c>
      <c r="B1841">
        <v>18</v>
      </c>
      <c r="C1841">
        <v>5</v>
      </c>
      <c r="D1841">
        <v>2</v>
      </c>
      <c r="E1841" t="s">
        <v>46</v>
      </c>
      <c r="F1841">
        <v>0</v>
      </c>
      <c r="G1841">
        <f>INDEX(weekly!$E$2:$E$188,MATCH('Marketing Campaigns 22.11.22'!L1841,weekly!$H$2:$H$188,0))</f>
        <v>6774.1935483870975</v>
      </c>
      <c r="H1841">
        <f>INDEX(weekly!$D$2:$D$188,MATCH('Marketing Campaigns 22.11.22'!L1841,weekly!$H$2:$H$188,0))</f>
        <v>13548.387096774195</v>
      </c>
      <c r="I1841">
        <f>INDEX(weekly!$F$2:$F$188,MATCH('Marketing Campaigns 22.11.22'!L1841,weekly!$H$2:$H$188,0))</f>
        <v>3387.0967741935488</v>
      </c>
      <c r="J1841">
        <v>0</v>
      </c>
      <c r="K1841">
        <v>0</v>
      </c>
      <c r="L1841" t="str">
        <f t="shared" si="56"/>
        <v>18-5-2023</v>
      </c>
      <c r="M1841">
        <f t="shared" si="57"/>
        <v>2023</v>
      </c>
    </row>
    <row r="1842" spans="1:13" x14ac:dyDescent="0.2">
      <c r="A1842" s="1">
        <v>45047</v>
      </c>
      <c r="B1842">
        <v>18</v>
      </c>
      <c r="C1842">
        <v>5</v>
      </c>
      <c r="D1842">
        <v>2</v>
      </c>
      <c r="E1842" t="s">
        <v>47</v>
      </c>
      <c r="F1842">
        <v>0</v>
      </c>
      <c r="G1842">
        <f>INDEX(weekly!$E$2:$E$188,MATCH('Marketing Campaigns 22.11.22'!L1842,weekly!$H$2:$H$188,0))</f>
        <v>6774.1935483870975</v>
      </c>
      <c r="H1842">
        <f>INDEX(weekly!$D$2:$D$188,MATCH('Marketing Campaigns 22.11.22'!L1842,weekly!$H$2:$H$188,0))</f>
        <v>13548.387096774195</v>
      </c>
      <c r="I1842">
        <f>INDEX(weekly!$F$2:$F$188,MATCH('Marketing Campaigns 22.11.22'!L1842,weekly!$H$2:$H$188,0))</f>
        <v>3387.0967741935488</v>
      </c>
      <c r="J1842">
        <v>0</v>
      </c>
      <c r="K1842">
        <v>0</v>
      </c>
      <c r="L1842" t="str">
        <f t="shared" si="56"/>
        <v>18-5-2023</v>
      </c>
      <c r="M1842">
        <f t="shared" si="57"/>
        <v>2023</v>
      </c>
    </row>
    <row r="1843" spans="1:13" x14ac:dyDescent="0.2">
      <c r="A1843" s="1">
        <v>45047</v>
      </c>
      <c r="B1843">
        <v>18</v>
      </c>
      <c r="C1843">
        <v>5</v>
      </c>
      <c r="D1843">
        <v>2</v>
      </c>
      <c r="E1843" t="s">
        <v>48</v>
      </c>
      <c r="F1843">
        <v>0</v>
      </c>
      <c r="G1843">
        <f>INDEX(weekly!$E$2:$E$188,MATCH('Marketing Campaigns 22.11.22'!L1843,weekly!$H$2:$H$188,0))</f>
        <v>6774.1935483870975</v>
      </c>
      <c r="H1843">
        <f>INDEX(weekly!$D$2:$D$188,MATCH('Marketing Campaigns 22.11.22'!L1843,weekly!$H$2:$H$188,0))</f>
        <v>13548.387096774195</v>
      </c>
      <c r="I1843">
        <f>INDEX(weekly!$F$2:$F$188,MATCH('Marketing Campaigns 22.11.22'!L1843,weekly!$H$2:$H$188,0))</f>
        <v>3387.0967741935488</v>
      </c>
      <c r="J1843">
        <v>0</v>
      </c>
      <c r="K1843">
        <v>0</v>
      </c>
      <c r="L1843" t="str">
        <f t="shared" si="56"/>
        <v>18-5-2023</v>
      </c>
      <c r="M1843">
        <f t="shared" si="57"/>
        <v>2023</v>
      </c>
    </row>
    <row r="1844" spans="1:13" x14ac:dyDescent="0.2">
      <c r="A1844" s="1">
        <v>45047</v>
      </c>
      <c r="B1844">
        <v>18</v>
      </c>
      <c r="C1844">
        <v>5</v>
      </c>
      <c r="D1844">
        <v>2</v>
      </c>
      <c r="E1844" t="s">
        <v>49</v>
      </c>
      <c r="F1844">
        <v>0</v>
      </c>
      <c r="G1844">
        <f>INDEX(weekly!$E$2:$E$188,MATCH('Marketing Campaigns 22.11.22'!L1844,weekly!$H$2:$H$188,0))</f>
        <v>6774.1935483870975</v>
      </c>
      <c r="H1844">
        <f>INDEX(weekly!$D$2:$D$188,MATCH('Marketing Campaigns 22.11.22'!L1844,weekly!$H$2:$H$188,0))</f>
        <v>13548.387096774195</v>
      </c>
      <c r="I1844">
        <f>INDEX(weekly!$F$2:$F$188,MATCH('Marketing Campaigns 22.11.22'!L1844,weekly!$H$2:$H$188,0))</f>
        <v>3387.0967741935488</v>
      </c>
      <c r="J1844">
        <v>0</v>
      </c>
      <c r="K1844">
        <v>0</v>
      </c>
      <c r="L1844" t="str">
        <f t="shared" si="56"/>
        <v>18-5-2023</v>
      </c>
      <c r="M1844">
        <f t="shared" si="57"/>
        <v>2023</v>
      </c>
    </row>
    <row r="1845" spans="1:13" x14ac:dyDescent="0.2">
      <c r="A1845" s="1">
        <v>45047</v>
      </c>
      <c r="B1845">
        <v>18</v>
      </c>
      <c r="C1845">
        <v>5</v>
      </c>
      <c r="D1845">
        <v>2</v>
      </c>
      <c r="E1845" t="s">
        <v>50</v>
      </c>
      <c r="F1845">
        <v>0</v>
      </c>
      <c r="G1845">
        <f>INDEX(weekly!$E$2:$E$188,MATCH('Marketing Campaigns 22.11.22'!L1845,weekly!$H$2:$H$188,0))</f>
        <v>6774.1935483870975</v>
      </c>
      <c r="H1845">
        <f>INDEX(weekly!$D$2:$D$188,MATCH('Marketing Campaigns 22.11.22'!L1845,weekly!$H$2:$H$188,0))</f>
        <v>13548.387096774195</v>
      </c>
      <c r="I1845">
        <f>INDEX(weekly!$F$2:$F$188,MATCH('Marketing Campaigns 22.11.22'!L1845,weekly!$H$2:$H$188,0))</f>
        <v>3387.0967741935488</v>
      </c>
      <c r="J1845">
        <v>0</v>
      </c>
      <c r="K1845">
        <v>0</v>
      </c>
      <c r="L1845" t="str">
        <f t="shared" si="56"/>
        <v>18-5-2023</v>
      </c>
      <c r="M1845">
        <f t="shared" si="57"/>
        <v>2023</v>
      </c>
    </row>
    <row r="1846" spans="1:13" x14ac:dyDescent="0.2">
      <c r="A1846" s="1">
        <v>45047</v>
      </c>
      <c r="B1846">
        <v>18</v>
      </c>
      <c r="C1846">
        <v>5</v>
      </c>
      <c r="D1846">
        <v>2</v>
      </c>
      <c r="E1846" t="s">
        <v>51</v>
      </c>
      <c r="F1846">
        <v>0</v>
      </c>
      <c r="G1846">
        <f>INDEX(weekly!$E$2:$E$188,MATCH('Marketing Campaigns 22.11.22'!L1846,weekly!$H$2:$H$188,0))</f>
        <v>6774.1935483870975</v>
      </c>
      <c r="H1846">
        <f>INDEX(weekly!$D$2:$D$188,MATCH('Marketing Campaigns 22.11.22'!L1846,weekly!$H$2:$H$188,0))</f>
        <v>13548.387096774195</v>
      </c>
      <c r="I1846">
        <f>INDEX(weekly!$F$2:$F$188,MATCH('Marketing Campaigns 22.11.22'!L1846,weekly!$H$2:$H$188,0))</f>
        <v>3387.0967741935488</v>
      </c>
      <c r="J1846">
        <v>0</v>
      </c>
      <c r="K1846">
        <v>0</v>
      </c>
      <c r="L1846" t="str">
        <f t="shared" si="56"/>
        <v>18-5-2023</v>
      </c>
      <c r="M1846">
        <f t="shared" si="57"/>
        <v>2023</v>
      </c>
    </row>
    <row r="1847" spans="1:13" x14ac:dyDescent="0.2">
      <c r="A1847" s="1">
        <v>45047</v>
      </c>
      <c r="B1847">
        <v>18</v>
      </c>
      <c r="C1847">
        <v>5</v>
      </c>
      <c r="D1847">
        <v>2</v>
      </c>
      <c r="E1847" t="s">
        <v>52</v>
      </c>
      <c r="F1847">
        <v>0</v>
      </c>
      <c r="G1847">
        <f>INDEX(weekly!$E$2:$E$188,MATCH('Marketing Campaigns 22.11.22'!L1847,weekly!$H$2:$H$188,0))</f>
        <v>6774.1935483870975</v>
      </c>
      <c r="H1847">
        <f>INDEX(weekly!$D$2:$D$188,MATCH('Marketing Campaigns 22.11.22'!L1847,weekly!$H$2:$H$188,0))</f>
        <v>13548.387096774195</v>
      </c>
      <c r="I1847">
        <f>INDEX(weekly!$F$2:$F$188,MATCH('Marketing Campaigns 22.11.22'!L1847,weekly!$H$2:$H$188,0))</f>
        <v>3387.0967741935488</v>
      </c>
      <c r="J1847">
        <v>0</v>
      </c>
      <c r="K1847">
        <v>0</v>
      </c>
      <c r="L1847" t="str">
        <f t="shared" si="56"/>
        <v>18-5-2023</v>
      </c>
      <c r="M1847">
        <f t="shared" si="57"/>
        <v>2023</v>
      </c>
    </row>
    <row r="1848" spans="1:13" x14ac:dyDescent="0.2">
      <c r="A1848" s="1">
        <v>45054</v>
      </c>
      <c r="B1848">
        <v>19</v>
      </c>
      <c r="C1848">
        <v>5</v>
      </c>
      <c r="D1848">
        <v>2</v>
      </c>
      <c r="E1848" t="s">
        <v>24</v>
      </c>
      <c r="F1848">
        <v>0</v>
      </c>
      <c r="G1848">
        <f>INDEX(weekly!$E$2:$E$188,MATCH('Marketing Campaigns 22.11.22'!L1848,weekly!$H$2:$H$188,0))</f>
        <v>6774.1935483870975</v>
      </c>
      <c r="H1848">
        <f>INDEX(weekly!$D$2:$D$188,MATCH('Marketing Campaigns 22.11.22'!L1848,weekly!$H$2:$H$188,0))</f>
        <v>13548.387096774195</v>
      </c>
      <c r="I1848">
        <f>INDEX(weekly!$F$2:$F$188,MATCH('Marketing Campaigns 22.11.22'!L1848,weekly!$H$2:$H$188,0))</f>
        <v>3387.0967741935488</v>
      </c>
      <c r="J1848">
        <v>0</v>
      </c>
      <c r="K1848">
        <v>0</v>
      </c>
      <c r="L1848" t="str">
        <f t="shared" si="56"/>
        <v>19-5-2023</v>
      </c>
      <c r="M1848">
        <f t="shared" si="57"/>
        <v>2023</v>
      </c>
    </row>
    <row r="1849" spans="1:13" x14ac:dyDescent="0.2">
      <c r="A1849" s="1">
        <v>45054</v>
      </c>
      <c r="B1849">
        <v>19</v>
      </c>
      <c r="C1849">
        <v>5</v>
      </c>
      <c r="D1849">
        <v>2</v>
      </c>
      <c r="E1849" t="s">
        <v>39</v>
      </c>
      <c r="F1849">
        <v>0</v>
      </c>
      <c r="G1849">
        <f>INDEX(weekly!$E$2:$E$188,MATCH('Marketing Campaigns 22.11.22'!L1849,weekly!$H$2:$H$188,0))</f>
        <v>6774.1935483870975</v>
      </c>
      <c r="H1849">
        <f>INDEX(weekly!$D$2:$D$188,MATCH('Marketing Campaigns 22.11.22'!L1849,weekly!$H$2:$H$188,0))</f>
        <v>13548.387096774195</v>
      </c>
      <c r="I1849">
        <f>INDEX(weekly!$F$2:$F$188,MATCH('Marketing Campaigns 22.11.22'!L1849,weekly!$H$2:$H$188,0))</f>
        <v>3387.0967741935488</v>
      </c>
      <c r="J1849">
        <v>0</v>
      </c>
      <c r="K1849">
        <v>0</v>
      </c>
      <c r="L1849" t="str">
        <f t="shared" si="56"/>
        <v>19-5-2023</v>
      </c>
      <c r="M1849">
        <f t="shared" si="57"/>
        <v>2023</v>
      </c>
    </row>
    <row r="1850" spans="1:13" x14ac:dyDescent="0.2">
      <c r="A1850" s="1">
        <v>45054</v>
      </c>
      <c r="B1850">
        <v>19</v>
      </c>
      <c r="C1850">
        <v>5</v>
      </c>
      <c r="D1850">
        <v>2</v>
      </c>
      <c r="E1850" t="s">
        <v>40</v>
      </c>
      <c r="F1850">
        <v>0</v>
      </c>
      <c r="G1850">
        <f>INDEX(weekly!$E$2:$E$188,MATCH('Marketing Campaigns 22.11.22'!L1850,weekly!$H$2:$H$188,0))</f>
        <v>6774.1935483870975</v>
      </c>
      <c r="H1850">
        <f>INDEX(weekly!$D$2:$D$188,MATCH('Marketing Campaigns 22.11.22'!L1850,weekly!$H$2:$H$188,0))</f>
        <v>13548.387096774195</v>
      </c>
      <c r="I1850">
        <f>INDEX(weekly!$F$2:$F$188,MATCH('Marketing Campaigns 22.11.22'!L1850,weekly!$H$2:$H$188,0))</f>
        <v>3387.0967741935488</v>
      </c>
      <c r="J1850">
        <v>0</v>
      </c>
      <c r="K1850">
        <v>0</v>
      </c>
      <c r="L1850" t="str">
        <f t="shared" si="56"/>
        <v>19-5-2023</v>
      </c>
      <c r="M1850">
        <f t="shared" si="57"/>
        <v>2023</v>
      </c>
    </row>
    <row r="1851" spans="1:13" x14ac:dyDescent="0.2">
      <c r="A1851" s="1">
        <v>45054</v>
      </c>
      <c r="B1851">
        <v>19</v>
      </c>
      <c r="C1851">
        <v>5</v>
      </c>
      <c r="D1851">
        <v>2</v>
      </c>
      <c r="E1851" t="s">
        <v>41</v>
      </c>
      <c r="F1851">
        <v>0</v>
      </c>
      <c r="G1851">
        <f>INDEX(weekly!$E$2:$E$188,MATCH('Marketing Campaigns 22.11.22'!L1851,weekly!$H$2:$H$188,0))</f>
        <v>6774.1935483870975</v>
      </c>
      <c r="H1851">
        <f>INDEX(weekly!$D$2:$D$188,MATCH('Marketing Campaigns 22.11.22'!L1851,weekly!$H$2:$H$188,0))</f>
        <v>13548.387096774195</v>
      </c>
      <c r="I1851">
        <f>INDEX(weekly!$F$2:$F$188,MATCH('Marketing Campaigns 22.11.22'!L1851,weekly!$H$2:$H$188,0))</f>
        <v>3387.0967741935488</v>
      </c>
      <c r="J1851">
        <v>0</v>
      </c>
      <c r="K1851">
        <v>0</v>
      </c>
      <c r="L1851" t="str">
        <f t="shared" si="56"/>
        <v>19-5-2023</v>
      </c>
      <c r="M1851">
        <f t="shared" si="57"/>
        <v>2023</v>
      </c>
    </row>
    <row r="1852" spans="1:13" x14ac:dyDescent="0.2">
      <c r="A1852" s="1">
        <v>45054</v>
      </c>
      <c r="B1852">
        <v>19</v>
      </c>
      <c r="C1852">
        <v>5</v>
      </c>
      <c r="D1852">
        <v>2</v>
      </c>
      <c r="E1852" t="s">
        <v>42</v>
      </c>
      <c r="F1852">
        <v>0</v>
      </c>
      <c r="G1852">
        <f>INDEX(weekly!$E$2:$E$188,MATCH('Marketing Campaigns 22.11.22'!L1852,weekly!$H$2:$H$188,0))</f>
        <v>6774.1935483870975</v>
      </c>
      <c r="H1852">
        <f>INDEX(weekly!$D$2:$D$188,MATCH('Marketing Campaigns 22.11.22'!L1852,weekly!$H$2:$H$188,0))</f>
        <v>13548.387096774195</v>
      </c>
      <c r="I1852">
        <f>INDEX(weekly!$F$2:$F$188,MATCH('Marketing Campaigns 22.11.22'!L1852,weekly!$H$2:$H$188,0))</f>
        <v>3387.0967741935488</v>
      </c>
      <c r="J1852">
        <v>0</v>
      </c>
      <c r="K1852">
        <v>0</v>
      </c>
      <c r="L1852" t="str">
        <f t="shared" si="56"/>
        <v>19-5-2023</v>
      </c>
      <c r="M1852">
        <f t="shared" si="57"/>
        <v>2023</v>
      </c>
    </row>
    <row r="1853" spans="1:13" x14ac:dyDescent="0.2">
      <c r="A1853" s="1">
        <v>45054</v>
      </c>
      <c r="B1853">
        <v>19</v>
      </c>
      <c r="C1853">
        <v>5</v>
      </c>
      <c r="D1853">
        <v>2</v>
      </c>
      <c r="E1853" t="s">
        <v>43</v>
      </c>
      <c r="F1853">
        <v>0</v>
      </c>
      <c r="G1853">
        <f>INDEX(weekly!$E$2:$E$188,MATCH('Marketing Campaigns 22.11.22'!L1853,weekly!$H$2:$H$188,0))</f>
        <v>6774.1935483870975</v>
      </c>
      <c r="H1853">
        <f>INDEX(weekly!$D$2:$D$188,MATCH('Marketing Campaigns 22.11.22'!L1853,weekly!$H$2:$H$188,0))</f>
        <v>13548.387096774195</v>
      </c>
      <c r="I1853">
        <f>INDEX(weekly!$F$2:$F$188,MATCH('Marketing Campaigns 22.11.22'!L1853,weekly!$H$2:$H$188,0))</f>
        <v>3387.0967741935488</v>
      </c>
      <c r="J1853">
        <v>0</v>
      </c>
      <c r="K1853">
        <v>0</v>
      </c>
      <c r="L1853" t="str">
        <f t="shared" si="56"/>
        <v>19-5-2023</v>
      </c>
      <c r="M1853">
        <f t="shared" si="57"/>
        <v>2023</v>
      </c>
    </row>
    <row r="1854" spans="1:13" x14ac:dyDescent="0.2">
      <c r="A1854" s="1">
        <v>45054</v>
      </c>
      <c r="B1854">
        <v>19</v>
      </c>
      <c r="C1854">
        <v>5</v>
      </c>
      <c r="D1854">
        <v>2</v>
      </c>
      <c r="E1854" t="s">
        <v>44</v>
      </c>
      <c r="F1854">
        <v>0</v>
      </c>
      <c r="G1854">
        <f>INDEX(weekly!$E$2:$E$188,MATCH('Marketing Campaigns 22.11.22'!L1854,weekly!$H$2:$H$188,0))</f>
        <v>6774.1935483870975</v>
      </c>
      <c r="H1854">
        <f>INDEX(weekly!$D$2:$D$188,MATCH('Marketing Campaigns 22.11.22'!L1854,weekly!$H$2:$H$188,0))</f>
        <v>13548.387096774195</v>
      </c>
      <c r="I1854">
        <f>INDEX(weekly!$F$2:$F$188,MATCH('Marketing Campaigns 22.11.22'!L1854,weekly!$H$2:$H$188,0))</f>
        <v>3387.0967741935488</v>
      </c>
      <c r="J1854">
        <v>0</v>
      </c>
      <c r="K1854">
        <v>0</v>
      </c>
      <c r="L1854" t="str">
        <f t="shared" si="56"/>
        <v>19-5-2023</v>
      </c>
      <c r="M1854">
        <f t="shared" si="57"/>
        <v>2023</v>
      </c>
    </row>
    <row r="1855" spans="1:13" x14ac:dyDescent="0.2">
      <c r="A1855" s="1">
        <v>45054</v>
      </c>
      <c r="B1855">
        <v>19</v>
      </c>
      <c r="C1855">
        <v>5</v>
      </c>
      <c r="D1855">
        <v>2</v>
      </c>
      <c r="E1855" t="s">
        <v>45</v>
      </c>
      <c r="F1855">
        <v>0</v>
      </c>
      <c r="G1855">
        <f>INDEX(weekly!$E$2:$E$188,MATCH('Marketing Campaigns 22.11.22'!L1855,weekly!$H$2:$H$188,0))</f>
        <v>6774.1935483870975</v>
      </c>
      <c r="H1855">
        <f>INDEX(weekly!$D$2:$D$188,MATCH('Marketing Campaigns 22.11.22'!L1855,weekly!$H$2:$H$188,0))</f>
        <v>13548.387096774195</v>
      </c>
      <c r="I1855">
        <f>INDEX(weekly!$F$2:$F$188,MATCH('Marketing Campaigns 22.11.22'!L1855,weekly!$H$2:$H$188,0))</f>
        <v>3387.0967741935488</v>
      </c>
      <c r="J1855">
        <v>0</v>
      </c>
      <c r="K1855">
        <v>0</v>
      </c>
      <c r="L1855" t="str">
        <f t="shared" si="56"/>
        <v>19-5-2023</v>
      </c>
      <c r="M1855">
        <f t="shared" si="57"/>
        <v>2023</v>
      </c>
    </row>
    <row r="1856" spans="1:13" x14ac:dyDescent="0.2">
      <c r="A1856" s="1">
        <v>45054</v>
      </c>
      <c r="B1856">
        <v>19</v>
      </c>
      <c r="C1856">
        <v>5</v>
      </c>
      <c r="D1856">
        <v>2</v>
      </c>
      <c r="E1856" t="s">
        <v>46</v>
      </c>
      <c r="F1856">
        <v>0</v>
      </c>
      <c r="G1856">
        <f>INDEX(weekly!$E$2:$E$188,MATCH('Marketing Campaigns 22.11.22'!L1856,weekly!$H$2:$H$188,0))</f>
        <v>6774.1935483870975</v>
      </c>
      <c r="H1856">
        <f>INDEX(weekly!$D$2:$D$188,MATCH('Marketing Campaigns 22.11.22'!L1856,weekly!$H$2:$H$188,0))</f>
        <v>13548.387096774195</v>
      </c>
      <c r="I1856">
        <f>INDEX(weekly!$F$2:$F$188,MATCH('Marketing Campaigns 22.11.22'!L1856,weekly!$H$2:$H$188,0))</f>
        <v>3387.0967741935488</v>
      </c>
      <c r="J1856">
        <v>0</v>
      </c>
      <c r="K1856">
        <v>0</v>
      </c>
      <c r="L1856" t="str">
        <f t="shared" si="56"/>
        <v>19-5-2023</v>
      </c>
      <c r="M1856">
        <f t="shared" si="57"/>
        <v>2023</v>
      </c>
    </row>
    <row r="1857" spans="1:13" x14ac:dyDescent="0.2">
      <c r="A1857" s="1">
        <v>45054</v>
      </c>
      <c r="B1857">
        <v>19</v>
      </c>
      <c r="C1857">
        <v>5</v>
      </c>
      <c r="D1857">
        <v>2</v>
      </c>
      <c r="E1857" t="s">
        <v>47</v>
      </c>
      <c r="F1857">
        <v>0</v>
      </c>
      <c r="G1857">
        <f>INDEX(weekly!$E$2:$E$188,MATCH('Marketing Campaigns 22.11.22'!L1857,weekly!$H$2:$H$188,0))</f>
        <v>6774.1935483870975</v>
      </c>
      <c r="H1857">
        <f>INDEX(weekly!$D$2:$D$188,MATCH('Marketing Campaigns 22.11.22'!L1857,weekly!$H$2:$H$188,0))</f>
        <v>13548.387096774195</v>
      </c>
      <c r="I1857">
        <f>INDEX(weekly!$F$2:$F$188,MATCH('Marketing Campaigns 22.11.22'!L1857,weekly!$H$2:$H$188,0))</f>
        <v>3387.0967741935488</v>
      </c>
      <c r="J1857">
        <v>0</v>
      </c>
      <c r="K1857">
        <v>0</v>
      </c>
      <c r="L1857" t="str">
        <f t="shared" si="56"/>
        <v>19-5-2023</v>
      </c>
      <c r="M1857">
        <f t="shared" si="57"/>
        <v>2023</v>
      </c>
    </row>
    <row r="1858" spans="1:13" x14ac:dyDescent="0.2">
      <c r="A1858" s="1">
        <v>45054</v>
      </c>
      <c r="B1858">
        <v>19</v>
      </c>
      <c r="C1858">
        <v>5</v>
      </c>
      <c r="D1858">
        <v>2</v>
      </c>
      <c r="E1858" t="s">
        <v>48</v>
      </c>
      <c r="F1858">
        <v>0</v>
      </c>
      <c r="G1858">
        <f>INDEX(weekly!$E$2:$E$188,MATCH('Marketing Campaigns 22.11.22'!L1858,weekly!$H$2:$H$188,0))</f>
        <v>6774.1935483870975</v>
      </c>
      <c r="H1858">
        <f>INDEX(weekly!$D$2:$D$188,MATCH('Marketing Campaigns 22.11.22'!L1858,weekly!$H$2:$H$188,0))</f>
        <v>13548.387096774195</v>
      </c>
      <c r="I1858">
        <f>INDEX(weekly!$F$2:$F$188,MATCH('Marketing Campaigns 22.11.22'!L1858,weekly!$H$2:$H$188,0))</f>
        <v>3387.0967741935488</v>
      </c>
      <c r="J1858">
        <v>0</v>
      </c>
      <c r="K1858">
        <v>0</v>
      </c>
      <c r="L1858" t="str">
        <f t="shared" si="56"/>
        <v>19-5-2023</v>
      </c>
      <c r="M1858">
        <f t="shared" si="57"/>
        <v>2023</v>
      </c>
    </row>
    <row r="1859" spans="1:13" x14ac:dyDescent="0.2">
      <c r="A1859" s="1">
        <v>45054</v>
      </c>
      <c r="B1859">
        <v>19</v>
      </c>
      <c r="C1859">
        <v>5</v>
      </c>
      <c r="D1859">
        <v>2</v>
      </c>
      <c r="E1859" t="s">
        <v>49</v>
      </c>
      <c r="F1859">
        <v>0</v>
      </c>
      <c r="G1859">
        <f>INDEX(weekly!$E$2:$E$188,MATCH('Marketing Campaigns 22.11.22'!L1859,weekly!$H$2:$H$188,0))</f>
        <v>6774.1935483870975</v>
      </c>
      <c r="H1859">
        <f>INDEX(weekly!$D$2:$D$188,MATCH('Marketing Campaigns 22.11.22'!L1859,weekly!$H$2:$H$188,0))</f>
        <v>13548.387096774195</v>
      </c>
      <c r="I1859">
        <f>INDEX(weekly!$F$2:$F$188,MATCH('Marketing Campaigns 22.11.22'!L1859,weekly!$H$2:$H$188,0))</f>
        <v>3387.0967741935488</v>
      </c>
      <c r="J1859">
        <v>0</v>
      </c>
      <c r="K1859">
        <v>0</v>
      </c>
      <c r="L1859" t="str">
        <f t="shared" si="56"/>
        <v>19-5-2023</v>
      </c>
      <c r="M1859">
        <f t="shared" si="57"/>
        <v>2023</v>
      </c>
    </row>
    <row r="1860" spans="1:13" x14ac:dyDescent="0.2">
      <c r="A1860" s="1">
        <v>45054</v>
      </c>
      <c r="B1860">
        <v>19</v>
      </c>
      <c r="C1860">
        <v>5</v>
      </c>
      <c r="D1860">
        <v>2</v>
      </c>
      <c r="E1860" t="s">
        <v>50</v>
      </c>
      <c r="F1860">
        <v>0</v>
      </c>
      <c r="G1860">
        <f>INDEX(weekly!$E$2:$E$188,MATCH('Marketing Campaigns 22.11.22'!L1860,weekly!$H$2:$H$188,0))</f>
        <v>6774.1935483870975</v>
      </c>
      <c r="H1860">
        <f>INDEX(weekly!$D$2:$D$188,MATCH('Marketing Campaigns 22.11.22'!L1860,weekly!$H$2:$H$188,0))</f>
        <v>13548.387096774195</v>
      </c>
      <c r="I1860">
        <f>INDEX(weekly!$F$2:$F$188,MATCH('Marketing Campaigns 22.11.22'!L1860,weekly!$H$2:$H$188,0))</f>
        <v>3387.0967741935488</v>
      </c>
      <c r="J1860">
        <v>0</v>
      </c>
      <c r="K1860">
        <v>0</v>
      </c>
      <c r="L1860" t="str">
        <f t="shared" ref="L1860:L1923" si="58">B1860&amp;"-"&amp;C1860&amp;"-"&amp;M1860</f>
        <v>19-5-2023</v>
      </c>
      <c r="M1860">
        <f t="shared" ref="M1860:M1923" si="59">YEAR(A1860)</f>
        <v>2023</v>
      </c>
    </row>
    <row r="1861" spans="1:13" x14ac:dyDescent="0.2">
      <c r="A1861" s="1">
        <v>45054</v>
      </c>
      <c r="B1861">
        <v>19</v>
      </c>
      <c r="C1861">
        <v>5</v>
      </c>
      <c r="D1861">
        <v>2</v>
      </c>
      <c r="E1861" t="s">
        <v>51</v>
      </c>
      <c r="F1861">
        <v>0</v>
      </c>
      <c r="G1861">
        <f>INDEX(weekly!$E$2:$E$188,MATCH('Marketing Campaigns 22.11.22'!L1861,weekly!$H$2:$H$188,0))</f>
        <v>6774.1935483870975</v>
      </c>
      <c r="H1861">
        <f>INDEX(weekly!$D$2:$D$188,MATCH('Marketing Campaigns 22.11.22'!L1861,weekly!$H$2:$H$188,0))</f>
        <v>13548.387096774195</v>
      </c>
      <c r="I1861">
        <f>INDEX(weekly!$F$2:$F$188,MATCH('Marketing Campaigns 22.11.22'!L1861,weekly!$H$2:$H$188,0))</f>
        <v>3387.0967741935488</v>
      </c>
      <c r="J1861">
        <v>0</v>
      </c>
      <c r="K1861">
        <v>0</v>
      </c>
      <c r="L1861" t="str">
        <f t="shared" si="58"/>
        <v>19-5-2023</v>
      </c>
      <c r="M1861">
        <f t="shared" si="59"/>
        <v>2023</v>
      </c>
    </row>
    <row r="1862" spans="1:13" x14ac:dyDescent="0.2">
      <c r="A1862" s="1">
        <v>45054</v>
      </c>
      <c r="B1862">
        <v>19</v>
      </c>
      <c r="C1862">
        <v>5</v>
      </c>
      <c r="D1862">
        <v>2</v>
      </c>
      <c r="E1862" t="s">
        <v>52</v>
      </c>
      <c r="F1862">
        <v>0</v>
      </c>
      <c r="G1862">
        <f>INDEX(weekly!$E$2:$E$188,MATCH('Marketing Campaigns 22.11.22'!L1862,weekly!$H$2:$H$188,0))</f>
        <v>6774.1935483870975</v>
      </c>
      <c r="H1862">
        <f>INDEX(weekly!$D$2:$D$188,MATCH('Marketing Campaigns 22.11.22'!L1862,weekly!$H$2:$H$188,0))</f>
        <v>13548.387096774195</v>
      </c>
      <c r="I1862">
        <f>INDEX(weekly!$F$2:$F$188,MATCH('Marketing Campaigns 22.11.22'!L1862,weekly!$H$2:$H$188,0))</f>
        <v>3387.0967741935488</v>
      </c>
      <c r="J1862">
        <v>0</v>
      </c>
      <c r="K1862">
        <v>0</v>
      </c>
      <c r="L1862" t="str">
        <f t="shared" si="58"/>
        <v>19-5-2023</v>
      </c>
      <c r="M1862">
        <f t="shared" si="59"/>
        <v>2023</v>
      </c>
    </row>
    <row r="1863" spans="1:13" x14ac:dyDescent="0.2">
      <c r="A1863" s="1">
        <v>45061</v>
      </c>
      <c r="B1863">
        <v>20</v>
      </c>
      <c r="C1863">
        <v>5</v>
      </c>
      <c r="D1863">
        <v>2</v>
      </c>
      <c r="E1863" t="s">
        <v>24</v>
      </c>
      <c r="F1863">
        <v>0</v>
      </c>
      <c r="G1863">
        <f>INDEX(weekly!$E$2:$E$188,MATCH('Marketing Campaigns 22.11.22'!L1863,weekly!$H$2:$H$188,0))</f>
        <v>6774.1935483870975</v>
      </c>
      <c r="H1863">
        <f>INDEX(weekly!$D$2:$D$188,MATCH('Marketing Campaigns 22.11.22'!L1863,weekly!$H$2:$H$188,0))</f>
        <v>13548.387096774195</v>
      </c>
      <c r="I1863">
        <f>INDEX(weekly!$F$2:$F$188,MATCH('Marketing Campaigns 22.11.22'!L1863,weekly!$H$2:$H$188,0))</f>
        <v>3387.0967741935488</v>
      </c>
      <c r="J1863">
        <v>0</v>
      </c>
      <c r="K1863">
        <v>0</v>
      </c>
      <c r="L1863" t="str">
        <f t="shared" si="58"/>
        <v>20-5-2023</v>
      </c>
      <c r="M1863">
        <f t="shared" si="59"/>
        <v>2023</v>
      </c>
    </row>
    <row r="1864" spans="1:13" x14ac:dyDescent="0.2">
      <c r="A1864" s="1">
        <v>45061</v>
      </c>
      <c r="B1864">
        <v>20</v>
      </c>
      <c r="C1864">
        <v>5</v>
      </c>
      <c r="D1864">
        <v>2</v>
      </c>
      <c r="E1864" t="s">
        <v>39</v>
      </c>
      <c r="F1864">
        <v>0</v>
      </c>
      <c r="G1864">
        <f>INDEX(weekly!$E$2:$E$188,MATCH('Marketing Campaigns 22.11.22'!L1864,weekly!$H$2:$H$188,0))</f>
        <v>6774.1935483870975</v>
      </c>
      <c r="H1864">
        <f>INDEX(weekly!$D$2:$D$188,MATCH('Marketing Campaigns 22.11.22'!L1864,weekly!$H$2:$H$188,0))</f>
        <v>13548.387096774195</v>
      </c>
      <c r="I1864">
        <f>INDEX(weekly!$F$2:$F$188,MATCH('Marketing Campaigns 22.11.22'!L1864,weekly!$H$2:$H$188,0))</f>
        <v>3387.0967741935488</v>
      </c>
      <c r="J1864">
        <v>0</v>
      </c>
      <c r="K1864">
        <v>0</v>
      </c>
      <c r="L1864" t="str">
        <f t="shared" si="58"/>
        <v>20-5-2023</v>
      </c>
      <c r="M1864">
        <f t="shared" si="59"/>
        <v>2023</v>
      </c>
    </row>
    <row r="1865" spans="1:13" x14ac:dyDescent="0.2">
      <c r="A1865" s="1">
        <v>45061</v>
      </c>
      <c r="B1865">
        <v>20</v>
      </c>
      <c r="C1865">
        <v>5</v>
      </c>
      <c r="D1865">
        <v>2</v>
      </c>
      <c r="E1865" t="s">
        <v>40</v>
      </c>
      <c r="F1865">
        <v>0</v>
      </c>
      <c r="G1865">
        <f>INDEX(weekly!$E$2:$E$188,MATCH('Marketing Campaigns 22.11.22'!L1865,weekly!$H$2:$H$188,0))</f>
        <v>6774.1935483870975</v>
      </c>
      <c r="H1865">
        <f>INDEX(weekly!$D$2:$D$188,MATCH('Marketing Campaigns 22.11.22'!L1865,weekly!$H$2:$H$188,0))</f>
        <v>13548.387096774195</v>
      </c>
      <c r="I1865">
        <f>INDEX(weekly!$F$2:$F$188,MATCH('Marketing Campaigns 22.11.22'!L1865,weekly!$H$2:$H$188,0))</f>
        <v>3387.0967741935488</v>
      </c>
      <c r="J1865">
        <v>0</v>
      </c>
      <c r="K1865">
        <v>0</v>
      </c>
      <c r="L1865" t="str">
        <f t="shared" si="58"/>
        <v>20-5-2023</v>
      </c>
      <c r="M1865">
        <f t="shared" si="59"/>
        <v>2023</v>
      </c>
    </row>
    <row r="1866" spans="1:13" x14ac:dyDescent="0.2">
      <c r="A1866" s="1">
        <v>45061</v>
      </c>
      <c r="B1866">
        <v>20</v>
      </c>
      <c r="C1866">
        <v>5</v>
      </c>
      <c r="D1866">
        <v>2</v>
      </c>
      <c r="E1866" t="s">
        <v>41</v>
      </c>
      <c r="F1866">
        <v>0</v>
      </c>
      <c r="G1866">
        <f>INDEX(weekly!$E$2:$E$188,MATCH('Marketing Campaigns 22.11.22'!L1866,weekly!$H$2:$H$188,0))</f>
        <v>6774.1935483870975</v>
      </c>
      <c r="H1866">
        <f>INDEX(weekly!$D$2:$D$188,MATCH('Marketing Campaigns 22.11.22'!L1866,weekly!$H$2:$H$188,0))</f>
        <v>13548.387096774195</v>
      </c>
      <c r="I1866">
        <f>INDEX(weekly!$F$2:$F$188,MATCH('Marketing Campaigns 22.11.22'!L1866,weekly!$H$2:$H$188,0))</f>
        <v>3387.0967741935488</v>
      </c>
      <c r="J1866">
        <v>0</v>
      </c>
      <c r="K1866">
        <v>0</v>
      </c>
      <c r="L1866" t="str">
        <f t="shared" si="58"/>
        <v>20-5-2023</v>
      </c>
      <c r="M1866">
        <f t="shared" si="59"/>
        <v>2023</v>
      </c>
    </row>
    <row r="1867" spans="1:13" x14ac:dyDescent="0.2">
      <c r="A1867" s="1">
        <v>45061</v>
      </c>
      <c r="B1867">
        <v>20</v>
      </c>
      <c r="C1867">
        <v>5</v>
      </c>
      <c r="D1867">
        <v>2</v>
      </c>
      <c r="E1867" t="s">
        <v>42</v>
      </c>
      <c r="F1867">
        <v>0</v>
      </c>
      <c r="G1867">
        <f>INDEX(weekly!$E$2:$E$188,MATCH('Marketing Campaigns 22.11.22'!L1867,weekly!$H$2:$H$188,0))</f>
        <v>6774.1935483870975</v>
      </c>
      <c r="H1867">
        <f>INDEX(weekly!$D$2:$D$188,MATCH('Marketing Campaigns 22.11.22'!L1867,weekly!$H$2:$H$188,0))</f>
        <v>13548.387096774195</v>
      </c>
      <c r="I1867">
        <f>INDEX(weekly!$F$2:$F$188,MATCH('Marketing Campaigns 22.11.22'!L1867,weekly!$H$2:$H$188,0))</f>
        <v>3387.0967741935488</v>
      </c>
      <c r="J1867">
        <v>0</v>
      </c>
      <c r="K1867">
        <v>0</v>
      </c>
      <c r="L1867" t="str">
        <f t="shared" si="58"/>
        <v>20-5-2023</v>
      </c>
      <c r="M1867">
        <f t="shared" si="59"/>
        <v>2023</v>
      </c>
    </row>
    <row r="1868" spans="1:13" x14ac:dyDescent="0.2">
      <c r="A1868" s="1">
        <v>45061</v>
      </c>
      <c r="B1868">
        <v>20</v>
      </c>
      <c r="C1868">
        <v>5</v>
      </c>
      <c r="D1868">
        <v>2</v>
      </c>
      <c r="E1868" t="s">
        <v>43</v>
      </c>
      <c r="F1868">
        <v>0</v>
      </c>
      <c r="G1868">
        <f>INDEX(weekly!$E$2:$E$188,MATCH('Marketing Campaigns 22.11.22'!L1868,weekly!$H$2:$H$188,0))</f>
        <v>6774.1935483870975</v>
      </c>
      <c r="H1868">
        <f>INDEX(weekly!$D$2:$D$188,MATCH('Marketing Campaigns 22.11.22'!L1868,weekly!$H$2:$H$188,0))</f>
        <v>13548.387096774195</v>
      </c>
      <c r="I1868">
        <f>INDEX(weekly!$F$2:$F$188,MATCH('Marketing Campaigns 22.11.22'!L1868,weekly!$H$2:$H$188,0))</f>
        <v>3387.0967741935488</v>
      </c>
      <c r="J1868">
        <v>0</v>
      </c>
      <c r="K1868">
        <v>0</v>
      </c>
      <c r="L1868" t="str">
        <f t="shared" si="58"/>
        <v>20-5-2023</v>
      </c>
      <c r="M1868">
        <f t="shared" si="59"/>
        <v>2023</v>
      </c>
    </row>
    <row r="1869" spans="1:13" x14ac:dyDescent="0.2">
      <c r="A1869" s="1">
        <v>45061</v>
      </c>
      <c r="B1869">
        <v>20</v>
      </c>
      <c r="C1869">
        <v>5</v>
      </c>
      <c r="D1869">
        <v>2</v>
      </c>
      <c r="E1869" t="s">
        <v>44</v>
      </c>
      <c r="F1869">
        <v>0</v>
      </c>
      <c r="G1869">
        <f>INDEX(weekly!$E$2:$E$188,MATCH('Marketing Campaigns 22.11.22'!L1869,weekly!$H$2:$H$188,0))</f>
        <v>6774.1935483870975</v>
      </c>
      <c r="H1869">
        <f>INDEX(weekly!$D$2:$D$188,MATCH('Marketing Campaigns 22.11.22'!L1869,weekly!$H$2:$H$188,0))</f>
        <v>13548.387096774195</v>
      </c>
      <c r="I1869">
        <f>INDEX(weekly!$F$2:$F$188,MATCH('Marketing Campaigns 22.11.22'!L1869,weekly!$H$2:$H$188,0))</f>
        <v>3387.0967741935488</v>
      </c>
      <c r="J1869">
        <v>0</v>
      </c>
      <c r="K1869">
        <v>0</v>
      </c>
      <c r="L1869" t="str">
        <f t="shared" si="58"/>
        <v>20-5-2023</v>
      </c>
      <c r="M1869">
        <f t="shared" si="59"/>
        <v>2023</v>
      </c>
    </row>
    <row r="1870" spans="1:13" x14ac:dyDescent="0.2">
      <c r="A1870" s="1">
        <v>45061</v>
      </c>
      <c r="B1870">
        <v>20</v>
      </c>
      <c r="C1870">
        <v>5</v>
      </c>
      <c r="D1870">
        <v>2</v>
      </c>
      <c r="E1870" t="s">
        <v>45</v>
      </c>
      <c r="F1870">
        <v>0</v>
      </c>
      <c r="G1870">
        <f>INDEX(weekly!$E$2:$E$188,MATCH('Marketing Campaigns 22.11.22'!L1870,weekly!$H$2:$H$188,0))</f>
        <v>6774.1935483870975</v>
      </c>
      <c r="H1870">
        <f>INDEX(weekly!$D$2:$D$188,MATCH('Marketing Campaigns 22.11.22'!L1870,weekly!$H$2:$H$188,0))</f>
        <v>13548.387096774195</v>
      </c>
      <c r="I1870">
        <f>INDEX(weekly!$F$2:$F$188,MATCH('Marketing Campaigns 22.11.22'!L1870,weekly!$H$2:$H$188,0))</f>
        <v>3387.0967741935488</v>
      </c>
      <c r="J1870">
        <v>0</v>
      </c>
      <c r="K1870">
        <v>0</v>
      </c>
      <c r="L1870" t="str">
        <f t="shared" si="58"/>
        <v>20-5-2023</v>
      </c>
      <c r="M1870">
        <f t="shared" si="59"/>
        <v>2023</v>
      </c>
    </row>
    <row r="1871" spans="1:13" x14ac:dyDescent="0.2">
      <c r="A1871" s="1">
        <v>45061</v>
      </c>
      <c r="B1871">
        <v>20</v>
      </c>
      <c r="C1871">
        <v>5</v>
      </c>
      <c r="D1871">
        <v>2</v>
      </c>
      <c r="E1871" t="s">
        <v>46</v>
      </c>
      <c r="F1871">
        <v>0</v>
      </c>
      <c r="G1871">
        <f>INDEX(weekly!$E$2:$E$188,MATCH('Marketing Campaigns 22.11.22'!L1871,weekly!$H$2:$H$188,0))</f>
        <v>6774.1935483870975</v>
      </c>
      <c r="H1871">
        <f>INDEX(weekly!$D$2:$D$188,MATCH('Marketing Campaigns 22.11.22'!L1871,weekly!$H$2:$H$188,0))</f>
        <v>13548.387096774195</v>
      </c>
      <c r="I1871">
        <f>INDEX(weekly!$F$2:$F$188,MATCH('Marketing Campaigns 22.11.22'!L1871,weekly!$H$2:$H$188,0))</f>
        <v>3387.0967741935488</v>
      </c>
      <c r="J1871">
        <v>0</v>
      </c>
      <c r="K1871">
        <v>0</v>
      </c>
      <c r="L1871" t="str">
        <f t="shared" si="58"/>
        <v>20-5-2023</v>
      </c>
      <c r="M1871">
        <f t="shared" si="59"/>
        <v>2023</v>
      </c>
    </row>
    <row r="1872" spans="1:13" x14ac:dyDescent="0.2">
      <c r="A1872" s="1">
        <v>45061</v>
      </c>
      <c r="B1872">
        <v>20</v>
      </c>
      <c r="C1872">
        <v>5</v>
      </c>
      <c r="D1872">
        <v>2</v>
      </c>
      <c r="E1872" t="s">
        <v>47</v>
      </c>
      <c r="F1872">
        <v>0</v>
      </c>
      <c r="G1872">
        <f>INDEX(weekly!$E$2:$E$188,MATCH('Marketing Campaigns 22.11.22'!L1872,weekly!$H$2:$H$188,0))</f>
        <v>6774.1935483870975</v>
      </c>
      <c r="H1872">
        <f>INDEX(weekly!$D$2:$D$188,MATCH('Marketing Campaigns 22.11.22'!L1872,weekly!$H$2:$H$188,0))</f>
        <v>13548.387096774195</v>
      </c>
      <c r="I1872">
        <f>INDEX(weekly!$F$2:$F$188,MATCH('Marketing Campaigns 22.11.22'!L1872,weekly!$H$2:$H$188,0))</f>
        <v>3387.0967741935488</v>
      </c>
      <c r="J1872">
        <v>0</v>
      </c>
      <c r="K1872">
        <v>0</v>
      </c>
      <c r="L1872" t="str">
        <f t="shared" si="58"/>
        <v>20-5-2023</v>
      </c>
      <c r="M1872">
        <f t="shared" si="59"/>
        <v>2023</v>
      </c>
    </row>
    <row r="1873" spans="1:13" x14ac:dyDescent="0.2">
      <c r="A1873" s="1">
        <v>45061</v>
      </c>
      <c r="B1873">
        <v>20</v>
      </c>
      <c r="C1873">
        <v>5</v>
      </c>
      <c r="D1873">
        <v>2</v>
      </c>
      <c r="E1873" t="s">
        <v>48</v>
      </c>
      <c r="F1873">
        <v>0</v>
      </c>
      <c r="G1873">
        <f>INDEX(weekly!$E$2:$E$188,MATCH('Marketing Campaigns 22.11.22'!L1873,weekly!$H$2:$H$188,0))</f>
        <v>6774.1935483870975</v>
      </c>
      <c r="H1873">
        <f>INDEX(weekly!$D$2:$D$188,MATCH('Marketing Campaigns 22.11.22'!L1873,weekly!$H$2:$H$188,0))</f>
        <v>13548.387096774195</v>
      </c>
      <c r="I1873">
        <f>INDEX(weekly!$F$2:$F$188,MATCH('Marketing Campaigns 22.11.22'!L1873,weekly!$H$2:$H$188,0))</f>
        <v>3387.0967741935488</v>
      </c>
      <c r="J1873">
        <v>0</v>
      </c>
      <c r="K1873">
        <v>0</v>
      </c>
      <c r="L1873" t="str">
        <f t="shared" si="58"/>
        <v>20-5-2023</v>
      </c>
      <c r="M1873">
        <f t="shared" si="59"/>
        <v>2023</v>
      </c>
    </row>
    <row r="1874" spans="1:13" x14ac:dyDescent="0.2">
      <c r="A1874" s="1">
        <v>45061</v>
      </c>
      <c r="B1874">
        <v>20</v>
      </c>
      <c r="C1874">
        <v>5</v>
      </c>
      <c r="D1874">
        <v>2</v>
      </c>
      <c r="E1874" t="s">
        <v>49</v>
      </c>
      <c r="F1874">
        <v>0</v>
      </c>
      <c r="G1874">
        <f>INDEX(weekly!$E$2:$E$188,MATCH('Marketing Campaigns 22.11.22'!L1874,weekly!$H$2:$H$188,0))</f>
        <v>6774.1935483870975</v>
      </c>
      <c r="H1874">
        <f>INDEX(weekly!$D$2:$D$188,MATCH('Marketing Campaigns 22.11.22'!L1874,weekly!$H$2:$H$188,0))</f>
        <v>13548.387096774195</v>
      </c>
      <c r="I1874">
        <f>INDEX(weekly!$F$2:$F$188,MATCH('Marketing Campaigns 22.11.22'!L1874,weekly!$H$2:$H$188,0))</f>
        <v>3387.0967741935488</v>
      </c>
      <c r="J1874">
        <v>0</v>
      </c>
      <c r="K1874">
        <v>0</v>
      </c>
      <c r="L1874" t="str">
        <f t="shared" si="58"/>
        <v>20-5-2023</v>
      </c>
      <c r="M1874">
        <f t="shared" si="59"/>
        <v>2023</v>
      </c>
    </row>
    <row r="1875" spans="1:13" x14ac:dyDescent="0.2">
      <c r="A1875" s="1">
        <v>45061</v>
      </c>
      <c r="B1875">
        <v>20</v>
      </c>
      <c r="C1875">
        <v>5</v>
      </c>
      <c r="D1875">
        <v>2</v>
      </c>
      <c r="E1875" t="s">
        <v>50</v>
      </c>
      <c r="F1875">
        <v>0</v>
      </c>
      <c r="G1875">
        <f>INDEX(weekly!$E$2:$E$188,MATCH('Marketing Campaigns 22.11.22'!L1875,weekly!$H$2:$H$188,0))</f>
        <v>6774.1935483870975</v>
      </c>
      <c r="H1875">
        <f>INDEX(weekly!$D$2:$D$188,MATCH('Marketing Campaigns 22.11.22'!L1875,weekly!$H$2:$H$188,0))</f>
        <v>13548.387096774195</v>
      </c>
      <c r="I1875">
        <f>INDEX(weekly!$F$2:$F$188,MATCH('Marketing Campaigns 22.11.22'!L1875,weekly!$H$2:$H$188,0))</f>
        <v>3387.0967741935488</v>
      </c>
      <c r="J1875">
        <v>0</v>
      </c>
      <c r="K1875">
        <v>0</v>
      </c>
      <c r="L1875" t="str">
        <f t="shared" si="58"/>
        <v>20-5-2023</v>
      </c>
      <c r="M1875">
        <f t="shared" si="59"/>
        <v>2023</v>
      </c>
    </row>
    <row r="1876" spans="1:13" x14ac:dyDescent="0.2">
      <c r="A1876" s="1">
        <v>45061</v>
      </c>
      <c r="B1876">
        <v>20</v>
      </c>
      <c r="C1876">
        <v>5</v>
      </c>
      <c r="D1876">
        <v>2</v>
      </c>
      <c r="E1876" t="s">
        <v>51</v>
      </c>
      <c r="F1876">
        <v>0</v>
      </c>
      <c r="G1876">
        <f>INDEX(weekly!$E$2:$E$188,MATCH('Marketing Campaigns 22.11.22'!L1876,weekly!$H$2:$H$188,0))</f>
        <v>6774.1935483870975</v>
      </c>
      <c r="H1876">
        <f>INDEX(weekly!$D$2:$D$188,MATCH('Marketing Campaigns 22.11.22'!L1876,weekly!$H$2:$H$188,0))</f>
        <v>13548.387096774195</v>
      </c>
      <c r="I1876">
        <f>INDEX(weekly!$F$2:$F$188,MATCH('Marketing Campaigns 22.11.22'!L1876,weekly!$H$2:$H$188,0))</f>
        <v>3387.0967741935488</v>
      </c>
      <c r="J1876">
        <v>0</v>
      </c>
      <c r="K1876">
        <v>0</v>
      </c>
      <c r="L1876" t="str">
        <f t="shared" si="58"/>
        <v>20-5-2023</v>
      </c>
      <c r="M1876">
        <f t="shared" si="59"/>
        <v>2023</v>
      </c>
    </row>
    <row r="1877" spans="1:13" x14ac:dyDescent="0.2">
      <c r="A1877" s="1">
        <v>45061</v>
      </c>
      <c r="B1877">
        <v>20</v>
      </c>
      <c r="C1877">
        <v>5</v>
      </c>
      <c r="D1877">
        <v>2</v>
      </c>
      <c r="E1877" t="s">
        <v>52</v>
      </c>
      <c r="F1877">
        <v>0</v>
      </c>
      <c r="G1877">
        <f>INDEX(weekly!$E$2:$E$188,MATCH('Marketing Campaigns 22.11.22'!L1877,weekly!$H$2:$H$188,0))</f>
        <v>6774.1935483870975</v>
      </c>
      <c r="H1877">
        <f>INDEX(weekly!$D$2:$D$188,MATCH('Marketing Campaigns 22.11.22'!L1877,weekly!$H$2:$H$188,0))</f>
        <v>13548.387096774195</v>
      </c>
      <c r="I1877">
        <f>INDEX(weekly!$F$2:$F$188,MATCH('Marketing Campaigns 22.11.22'!L1877,weekly!$H$2:$H$188,0))</f>
        <v>3387.0967741935488</v>
      </c>
      <c r="J1877">
        <v>0</v>
      </c>
      <c r="K1877">
        <v>0</v>
      </c>
      <c r="L1877" t="str">
        <f t="shared" si="58"/>
        <v>20-5-2023</v>
      </c>
      <c r="M1877">
        <f t="shared" si="59"/>
        <v>2023</v>
      </c>
    </row>
    <row r="1878" spans="1:13" x14ac:dyDescent="0.2">
      <c r="A1878" s="1">
        <v>45068</v>
      </c>
      <c r="B1878">
        <v>21</v>
      </c>
      <c r="C1878">
        <v>5</v>
      </c>
      <c r="D1878">
        <v>2</v>
      </c>
      <c r="E1878" t="s">
        <v>24</v>
      </c>
      <c r="F1878">
        <v>0</v>
      </c>
      <c r="G1878">
        <f>INDEX(weekly!$E$2:$E$188,MATCH('Marketing Campaigns 22.11.22'!L1878,weekly!$H$2:$H$188,0))</f>
        <v>6774.1935483870975</v>
      </c>
      <c r="H1878">
        <f>INDEX(weekly!$D$2:$D$188,MATCH('Marketing Campaigns 22.11.22'!L1878,weekly!$H$2:$H$188,0))</f>
        <v>13548.387096774195</v>
      </c>
      <c r="I1878">
        <f>INDEX(weekly!$F$2:$F$188,MATCH('Marketing Campaigns 22.11.22'!L1878,weekly!$H$2:$H$188,0))</f>
        <v>3387.0967741935488</v>
      </c>
      <c r="J1878">
        <v>0</v>
      </c>
      <c r="K1878">
        <v>0</v>
      </c>
      <c r="L1878" t="str">
        <f t="shared" si="58"/>
        <v>21-5-2023</v>
      </c>
      <c r="M1878">
        <f t="shared" si="59"/>
        <v>2023</v>
      </c>
    </row>
    <row r="1879" spans="1:13" x14ac:dyDescent="0.2">
      <c r="A1879" s="1">
        <v>45068</v>
      </c>
      <c r="B1879">
        <v>21</v>
      </c>
      <c r="C1879">
        <v>5</v>
      </c>
      <c r="D1879">
        <v>2</v>
      </c>
      <c r="E1879" t="s">
        <v>39</v>
      </c>
      <c r="F1879">
        <v>0</v>
      </c>
      <c r="G1879">
        <f>INDEX(weekly!$E$2:$E$188,MATCH('Marketing Campaigns 22.11.22'!L1879,weekly!$H$2:$H$188,0))</f>
        <v>6774.1935483870975</v>
      </c>
      <c r="H1879">
        <f>INDEX(weekly!$D$2:$D$188,MATCH('Marketing Campaigns 22.11.22'!L1879,weekly!$H$2:$H$188,0))</f>
        <v>13548.387096774195</v>
      </c>
      <c r="I1879">
        <f>INDEX(weekly!$F$2:$F$188,MATCH('Marketing Campaigns 22.11.22'!L1879,weekly!$H$2:$H$188,0))</f>
        <v>3387.0967741935488</v>
      </c>
      <c r="J1879">
        <v>0</v>
      </c>
      <c r="K1879">
        <v>0</v>
      </c>
      <c r="L1879" t="str">
        <f t="shared" si="58"/>
        <v>21-5-2023</v>
      </c>
      <c r="M1879">
        <f t="shared" si="59"/>
        <v>2023</v>
      </c>
    </row>
    <row r="1880" spans="1:13" x14ac:dyDescent="0.2">
      <c r="A1880" s="1">
        <v>45068</v>
      </c>
      <c r="B1880">
        <v>21</v>
      </c>
      <c r="C1880">
        <v>5</v>
      </c>
      <c r="D1880">
        <v>2</v>
      </c>
      <c r="E1880" t="s">
        <v>40</v>
      </c>
      <c r="F1880">
        <v>0</v>
      </c>
      <c r="G1880">
        <f>INDEX(weekly!$E$2:$E$188,MATCH('Marketing Campaigns 22.11.22'!L1880,weekly!$H$2:$H$188,0))</f>
        <v>6774.1935483870975</v>
      </c>
      <c r="H1880">
        <f>INDEX(weekly!$D$2:$D$188,MATCH('Marketing Campaigns 22.11.22'!L1880,weekly!$H$2:$H$188,0))</f>
        <v>13548.387096774195</v>
      </c>
      <c r="I1880">
        <f>INDEX(weekly!$F$2:$F$188,MATCH('Marketing Campaigns 22.11.22'!L1880,weekly!$H$2:$H$188,0))</f>
        <v>3387.0967741935488</v>
      </c>
      <c r="J1880">
        <v>0</v>
      </c>
      <c r="K1880">
        <v>0</v>
      </c>
      <c r="L1880" t="str">
        <f t="shared" si="58"/>
        <v>21-5-2023</v>
      </c>
      <c r="M1880">
        <f t="shared" si="59"/>
        <v>2023</v>
      </c>
    </row>
    <row r="1881" spans="1:13" x14ac:dyDescent="0.2">
      <c r="A1881" s="1">
        <v>45068</v>
      </c>
      <c r="B1881">
        <v>21</v>
      </c>
      <c r="C1881">
        <v>5</v>
      </c>
      <c r="D1881">
        <v>2</v>
      </c>
      <c r="E1881" t="s">
        <v>41</v>
      </c>
      <c r="F1881">
        <v>0</v>
      </c>
      <c r="G1881">
        <f>INDEX(weekly!$E$2:$E$188,MATCH('Marketing Campaigns 22.11.22'!L1881,weekly!$H$2:$H$188,0))</f>
        <v>6774.1935483870975</v>
      </c>
      <c r="H1881">
        <f>INDEX(weekly!$D$2:$D$188,MATCH('Marketing Campaigns 22.11.22'!L1881,weekly!$H$2:$H$188,0))</f>
        <v>13548.387096774195</v>
      </c>
      <c r="I1881">
        <f>INDEX(weekly!$F$2:$F$188,MATCH('Marketing Campaigns 22.11.22'!L1881,weekly!$H$2:$H$188,0))</f>
        <v>3387.0967741935488</v>
      </c>
      <c r="J1881">
        <v>0</v>
      </c>
      <c r="K1881">
        <v>0</v>
      </c>
      <c r="L1881" t="str">
        <f t="shared" si="58"/>
        <v>21-5-2023</v>
      </c>
      <c r="M1881">
        <f t="shared" si="59"/>
        <v>2023</v>
      </c>
    </row>
    <row r="1882" spans="1:13" x14ac:dyDescent="0.2">
      <c r="A1882" s="1">
        <v>45068</v>
      </c>
      <c r="B1882">
        <v>21</v>
      </c>
      <c r="C1882">
        <v>5</v>
      </c>
      <c r="D1882">
        <v>2</v>
      </c>
      <c r="E1882" t="s">
        <v>42</v>
      </c>
      <c r="F1882">
        <v>0</v>
      </c>
      <c r="G1882">
        <f>INDEX(weekly!$E$2:$E$188,MATCH('Marketing Campaigns 22.11.22'!L1882,weekly!$H$2:$H$188,0))</f>
        <v>6774.1935483870975</v>
      </c>
      <c r="H1882">
        <f>INDEX(weekly!$D$2:$D$188,MATCH('Marketing Campaigns 22.11.22'!L1882,weekly!$H$2:$H$188,0))</f>
        <v>13548.387096774195</v>
      </c>
      <c r="I1882">
        <f>INDEX(weekly!$F$2:$F$188,MATCH('Marketing Campaigns 22.11.22'!L1882,weekly!$H$2:$H$188,0))</f>
        <v>3387.0967741935488</v>
      </c>
      <c r="J1882">
        <v>0</v>
      </c>
      <c r="K1882">
        <v>0</v>
      </c>
      <c r="L1882" t="str">
        <f t="shared" si="58"/>
        <v>21-5-2023</v>
      </c>
      <c r="M1882">
        <f t="shared" si="59"/>
        <v>2023</v>
      </c>
    </row>
    <row r="1883" spans="1:13" x14ac:dyDescent="0.2">
      <c r="A1883" s="1">
        <v>45068</v>
      </c>
      <c r="B1883">
        <v>21</v>
      </c>
      <c r="C1883">
        <v>5</v>
      </c>
      <c r="D1883">
        <v>2</v>
      </c>
      <c r="E1883" t="s">
        <v>43</v>
      </c>
      <c r="F1883">
        <v>0</v>
      </c>
      <c r="G1883">
        <f>INDEX(weekly!$E$2:$E$188,MATCH('Marketing Campaigns 22.11.22'!L1883,weekly!$H$2:$H$188,0))</f>
        <v>6774.1935483870975</v>
      </c>
      <c r="H1883">
        <f>INDEX(weekly!$D$2:$D$188,MATCH('Marketing Campaigns 22.11.22'!L1883,weekly!$H$2:$H$188,0))</f>
        <v>13548.387096774195</v>
      </c>
      <c r="I1883">
        <f>INDEX(weekly!$F$2:$F$188,MATCH('Marketing Campaigns 22.11.22'!L1883,weekly!$H$2:$H$188,0))</f>
        <v>3387.0967741935488</v>
      </c>
      <c r="J1883">
        <v>0</v>
      </c>
      <c r="K1883">
        <v>0</v>
      </c>
      <c r="L1883" t="str">
        <f t="shared" si="58"/>
        <v>21-5-2023</v>
      </c>
      <c r="M1883">
        <f t="shared" si="59"/>
        <v>2023</v>
      </c>
    </row>
    <row r="1884" spans="1:13" x14ac:dyDescent="0.2">
      <c r="A1884" s="1">
        <v>45068</v>
      </c>
      <c r="B1884">
        <v>21</v>
      </c>
      <c r="C1884">
        <v>5</v>
      </c>
      <c r="D1884">
        <v>2</v>
      </c>
      <c r="E1884" t="s">
        <v>44</v>
      </c>
      <c r="F1884">
        <v>0</v>
      </c>
      <c r="G1884">
        <f>INDEX(weekly!$E$2:$E$188,MATCH('Marketing Campaigns 22.11.22'!L1884,weekly!$H$2:$H$188,0))</f>
        <v>6774.1935483870975</v>
      </c>
      <c r="H1884">
        <f>INDEX(weekly!$D$2:$D$188,MATCH('Marketing Campaigns 22.11.22'!L1884,weekly!$H$2:$H$188,0))</f>
        <v>13548.387096774195</v>
      </c>
      <c r="I1884">
        <f>INDEX(weekly!$F$2:$F$188,MATCH('Marketing Campaigns 22.11.22'!L1884,weekly!$H$2:$H$188,0))</f>
        <v>3387.0967741935488</v>
      </c>
      <c r="J1884">
        <v>0</v>
      </c>
      <c r="K1884">
        <v>0</v>
      </c>
      <c r="L1884" t="str">
        <f t="shared" si="58"/>
        <v>21-5-2023</v>
      </c>
      <c r="M1884">
        <f t="shared" si="59"/>
        <v>2023</v>
      </c>
    </row>
    <row r="1885" spans="1:13" x14ac:dyDescent="0.2">
      <c r="A1885" s="1">
        <v>45068</v>
      </c>
      <c r="B1885">
        <v>21</v>
      </c>
      <c r="C1885">
        <v>5</v>
      </c>
      <c r="D1885">
        <v>2</v>
      </c>
      <c r="E1885" t="s">
        <v>45</v>
      </c>
      <c r="F1885">
        <v>0</v>
      </c>
      <c r="G1885">
        <f>INDEX(weekly!$E$2:$E$188,MATCH('Marketing Campaigns 22.11.22'!L1885,weekly!$H$2:$H$188,0))</f>
        <v>6774.1935483870975</v>
      </c>
      <c r="H1885">
        <f>INDEX(weekly!$D$2:$D$188,MATCH('Marketing Campaigns 22.11.22'!L1885,weekly!$H$2:$H$188,0))</f>
        <v>13548.387096774195</v>
      </c>
      <c r="I1885">
        <f>INDEX(weekly!$F$2:$F$188,MATCH('Marketing Campaigns 22.11.22'!L1885,weekly!$H$2:$H$188,0))</f>
        <v>3387.0967741935488</v>
      </c>
      <c r="J1885">
        <v>0</v>
      </c>
      <c r="K1885">
        <v>0</v>
      </c>
      <c r="L1885" t="str">
        <f t="shared" si="58"/>
        <v>21-5-2023</v>
      </c>
      <c r="M1885">
        <f t="shared" si="59"/>
        <v>2023</v>
      </c>
    </row>
    <row r="1886" spans="1:13" x14ac:dyDescent="0.2">
      <c r="A1886" s="1">
        <v>45068</v>
      </c>
      <c r="B1886">
        <v>21</v>
      </c>
      <c r="C1886">
        <v>5</v>
      </c>
      <c r="D1886">
        <v>2</v>
      </c>
      <c r="E1886" t="s">
        <v>46</v>
      </c>
      <c r="F1886">
        <v>0</v>
      </c>
      <c r="G1886">
        <f>INDEX(weekly!$E$2:$E$188,MATCH('Marketing Campaigns 22.11.22'!L1886,weekly!$H$2:$H$188,0))</f>
        <v>6774.1935483870975</v>
      </c>
      <c r="H1886">
        <f>INDEX(weekly!$D$2:$D$188,MATCH('Marketing Campaigns 22.11.22'!L1886,weekly!$H$2:$H$188,0))</f>
        <v>13548.387096774195</v>
      </c>
      <c r="I1886">
        <f>INDEX(weekly!$F$2:$F$188,MATCH('Marketing Campaigns 22.11.22'!L1886,weekly!$H$2:$H$188,0))</f>
        <v>3387.0967741935488</v>
      </c>
      <c r="J1886">
        <v>0</v>
      </c>
      <c r="K1886">
        <v>0</v>
      </c>
      <c r="L1886" t="str">
        <f t="shared" si="58"/>
        <v>21-5-2023</v>
      </c>
      <c r="M1886">
        <f t="shared" si="59"/>
        <v>2023</v>
      </c>
    </row>
    <row r="1887" spans="1:13" x14ac:dyDescent="0.2">
      <c r="A1887" s="1">
        <v>45068</v>
      </c>
      <c r="B1887">
        <v>21</v>
      </c>
      <c r="C1887">
        <v>5</v>
      </c>
      <c r="D1887">
        <v>2</v>
      </c>
      <c r="E1887" t="s">
        <v>47</v>
      </c>
      <c r="F1887">
        <v>0</v>
      </c>
      <c r="G1887">
        <f>INDEX(weekly!$E$2:$E$188,MATCH('Marketing Campaigns 22.11.22'!L1887,weekly!$H$2:$H$188,0))</f>
        <v>6774.1935483870975</v>
      </c>
      <c r="H1887">
        <f>INDEX(weekly!$D$2:$D$188,MATCH('Marketing Campaigns 22.11.22'!L1887,weekly!$H$2:$H$188,0))</f>
        <v>13548.387096774195</v>
      </c>
      <c r="I1887">
        <f>INDEX(weekly!$F$2:$F$188,MATCH('Marketing Campaigns 22.11.22'!L1887,weekly!$H$2:$H$188,0))</f>
        <v>3387.0967741935488</v>
      </c>
      <c r="J1887">
        <v>0</v>
      </c>
      <c r="K1887">
        <v>0</v>
      </c>
      <c r="L1887" t="str">
        <f t="shared" si="58"/>
        <v>21-5-2023</v>
      </c>
      <c r="M1887">
        <f t="shared" si="59"/>
        <v>2023</v>
      </c>
    </row>
    <row r="1888" spans="1:13" x14ac:dyDescent="0.2">
      <c r="A1888" s="1">
        <v>45068</v>
      </c>
      <c r="B1888">
        <v>21</v>
      </c>
      <c r="C1888">
        <v>5</v>
      </c>
      <c r="D1888">
        <v>2</v>
      </c>
      <c r="E1888" t="s">
        <v>48</v>
      </c>
      <c r="F1888">
        <v>0</v>
      </c>
      <c r="G1888">
        <f>INDEX(weekly!$E$2:$E$188,MATCH('Marketing Campaigns 22.11.22'!L1888,weekly!$H$2:$H$188,0))</f>
        <v>6774.1935483870975</v>
      </c>
      <c r="H1888">
        <f>INDEX(weekly!$D$2:$D$188,MATCH('Marketing Campaigns 22.11.22'!L1888,weekly!$H$2:$H$188,0))</f>
        <v>13548.387096774195</v>
      </c>
      <c r="I1888">
        <f>INDEX(weekly!$F$2:$F$188,MATCH('Marketing Campaigns 22.11.22'!L1888,weekly!$H$2:$H$188,0))</f>
        <v>3387.0967741935488</v>
      </c>
      <c r="J1888">
        <v>0</v>
      </c>
      <c r="K1888">
        <v>0</v>
      </c>
      <c r="L1888" t="str">
        <f t="shared" si="58"/>
        <v>21-5-2023</v>
      </c>
      <c r="M1888">
        <f t="shared" si="59"/>
        <v>2023</v>
      </c>
    </row>
    <row r="1889" spans="1:13" x14ac:dyDescent="0.2">
      <c r="A1889" s="1">
        <v>45068</v>
      </c>
      <c r="B1889">
        <v>21</v>
      </c>
      <c r="C1889">
        <v>5</v>
      </c>
      <c r="D1889">
        <v>2</v>
      </c>
      <c r="E1889" t="s">
        <v>49</v>
      </c>
      <c r="F1889">
        <v>0</v>
      </c>
      <c r="G1889">
        <f>INDEX(weekly!$E$2:$E$188,MATCH('Marketing Campaigns 22.11.22'!L1889,weekly!$H$2:$H$188,0))</f>
        <v>6774.1935483870975</v>
      </c>
      <c r="H1889">
        <f>INDEX(weekly!$D$2:$D$188,MATCH('Marketing Campaigns 22.11.22'!L1889,weekly!$H$2:$H$188,0))</f>
        <v>13548.387096774195</v>
      </c>
      <c r="I1889">
        <f>INDEX(weekly!$F$2:$F$188,MATCH('Marketing Campaigns 22.11.22'!L1889,weekly!$H$2:$H$188,0))</f>
        <v>3387.0967741935488</v>
      </c>
      <c r="J1889">
        <v>0</v>
      </c>
      <c r="K1889">
        <v>0</v>
      </c>
      <c r="L1889" t="str">
        <f t="shared" si="58"/>
        <v>21-5-2023</v>
      </c>
      <c r="M1889">
        <f t="shared" si="59"/>
        <v>2023</v>
      </c>
    </row>
    <row r="1890" spans="1:13" x14ac:dyDescent="0.2">
      <c r="A1890" s="1">
        <v>45068</v>
      </c>
      <c r="B1890">
        <v>21</v>
      </c>
      <c r="C1890">
        <v>5</v>
      </c>
      <c r="D1890">
        <v>2</v>
      </c>
      <c r="E1890" t="s">
        <v>50</v>
      </c>
      <c r="F1890">
        <v>0</v>
      </c>
      <c r="G1890">
        <f>INDEX(weekly!$E$2:$E$188,MATCH('Marketing Campaigns 22.11.22'!L1890,weekly!$H$2:$H$188,0))</f>
        <v>6774.1935483870975</v>
      </c>
      <c r="H1890">
        <f>INDEX(weekly!$D$2:$D$188,MATCH('Marketing Campaigns 22.11.22'!L1890,weekly!$H$2:$H$188,0))</f>
        <v>13548.387096774195</v>
      </c>
      <c r="I1890">
        <f>INDEX(weekly!$F$2:$F$188,MATCH('Marketing Campaigns 22.11.22'!L1890,weekly!$H$2:$H$188,0))</f>
        <v>3387.0967741935488</v>
      </c>
      <c r="J1890">
        <v>0</v>
      </c>
      <c r="K1890">
        <v>0</v>
      </c>
      <c r="L1890" t="str">
        <f t="shared" si="58"/>
        <v>21-5-2023</v>
      </c>
      <c r="M1890">
        <f t="shared" si="59"/>
        <v>2023</v>
      </c>
    </row>
    <row r="1891" spans="1:13" x14ac:dyDescent="0.2">
      <c r="A1891" s="1">
        <v>45068</v>
      </c>
      <c r="B1891">
        <v>21</v>
      </c>
      <c r="C1891">
        <v>5</v>
      </c>
      <c r="D1891">
        <v>2</v>
      </c>
      <c r="E1891" t="s">
        <v>51</v>
      </c>
      <c r="F1891">
        <v>0</v>
      </c>
      <c r="G1891">
        <f>INDEX(weekly!$E$2:$E$188,MATCH('Marketing Campaigns 22.11.22'!L1891,weekly!$H$2:$H$188,0))</f>
        <v>6774.1935483870975</v>
      </c>
      <c r="H1891">
        <f>INDEX(weekly!$D$2:$D$188,MATCH('Marketing Campaigns 22.11.22'!L1891,weekly!$H$2:$H$188,0))</f>
        <v>13548.387096774195</v>
      </c>
      <c r="I1891">
        <f>INDEX(weekly!$F$2:$F$188,MATCH('Marketing Campaigns 22.11.22'!L1891,weekly!$H$2:$H$188,0))</f>
        <v>3387.0967741935488</v>
      </c>
      <c r="J1891">
        <v>0</v>
      </c>
      <c r="K1891">
        <v>0</v>
      </c>
      <c r="L1891" t="str">
        <f t="shared" si="58"/>
        <v>21-5-2023</v>
      </c>
      <c r="M1891">
        <f t="shared" si="59"/>
        <v>2023</v>
      </c>
    </row>
    <row r="1892" spans="1:13" x14ac:dyDescent="0.2">
      <c r="A1892" s="1">
        <v>45068</v>
      </c>
      <c r="B1892">
        <v>21</v>
      </c>
      <c r="C1892">
        <v>5</v>
      </c>
      <c r="D1892">
        <v>2</v>
      </c>
      <c r="E1892" t="s">
        <v>52</v>
      </c>
      <c r="F1892">
        <v>0</v>
      </c>
      <c r="G1892">
        <f>INDEX(weekly!$E$2:$E$188,MATCH('Marketing Campaigns 22.11.22'!L1892,weekly!$H$2:$H$188,0))</f>
        <v>6774.1935483870975</v>
      </c>
      <c r="H1892">
        <f>INDEX(weekly!$D$2:$D$188,MATCH('Marketing Campaigns 22.11.22'!L1892,weekly!$H$2:$H$188,0))</f>
        <v>13548.387096774195</v>
      </c>
      <c r="I1892">
        <f>INDEX(weekly!$F$2:$F$188,MATCH('Marketing Campaigns 22.11.22'!L1892,weekly!$H$2:$H$188,0))</f>
        <v>3387.0967741935488</v>
      </c>
      <c r="J1892">
        <v>0</v>
      </c>
      <c r="K1892">
        <v>0</v>
      </c>
      <c r="L1892" t="str">
        <f t="shared" si="58"/>
        <v>21-5-2023</v>
      </c>
      <c r="M1892">
        <f t="shared" si="59"/>
        <v>2023</v>
      </c>
    </row>
    <row r="1893" spans="1:13" x14ac:dyDescent="0.2">
      <c r="A1893" s="1">
        <v>45075</v>
      </c>
      <c r="B1893">
        <v>22</v>
      </c>
      <c r="C1893">
        <v>5</v>
      </c>
      <c r="D1893">
        <v>2</v>
      </c>
      <c r="E1893" t="s">
        <v>24</v>
      </c>
      <c r="F1893">
        <v>0</v>
      </c>
      <c r="G1893">
        <f>INDEX(weekly!$E$2:$E$188,MATCH('Marketing Campaigns 22.11.22'!L1893,weekly!$H$2:$H$188,0))</f>
        <v>2903.2258064516127</v>
      </c>
      <c r="H1893">
        <f>INDEX(weekly!$D$2:$D$188,MATCH('Marketing Campaigns 22.11.22'!L1893,weekly!$H$2:$H$188,0))</f>
        <v>5806.4516129032254</v>
      </c>
      <c r="I1893">
        <f>INDEX(weekly!$F$2:$F$188,MATCH('Marketing Campaigns 22.11.22'!L1893,weekly!$H$2:$H$188,0))</f>
        <v>1451.6129032258063</v>
      </c>
      <c r="J1893">
        <v>0</v>
      </c>
      <c r="K1893">
        <v>0</v>
      </c>
      <c r="L1893" t="str">
        <f t="shared" si="58"/>
        <v>22-5-2023</v>
      </c>
      <c r="M1893">
        <f t="shared" si="59"/>
        <v>2023</v>
      </c>
    </row>
    <row r="1894" spans="1:13" x14ac:dyDescent="0.2">
      <c r="A1894" s="1">
        <v>45075</v>
      </c>
      <c r="B1894">
        <v>22</v>
      </c>
      <c r="C1894">
        <v>5</v>
      </c>
      <c r="D1894">
        <v>2</v>
      </c>
      <c r="E1894" t="s">
        <v>39</v>
      </c>
      <c r="F1894">
        <v>0</v>
      </c>
      <c r="G1894">
        <f>INDEX(weekly!$E$2:$E$188,MATCH('Marketing Campaigns 22.11.22'!L1894,weekly!$H$2:$H$188,0))</f>
        <v>2903.2258064516127</v>
      </c>
      <c r="H1894">
        <f>INDEX(weekly!$D$2:$D$188,MATCH('Marketing Campaigns 22.11.22'!L1894,weekly!$H$2:$H$188,0))</f>
        <v>5806.4516129032254</v>
      </c>
      <c r="I1894">
        <f>INDEX(weekly!$F$2:$F$188,MATCH('Marketing Campaigns 22.11.22'!L1894,weekly!$H$2:$H$188,0))</f>
        <v>1451.6129032258063</v>
      </c>
      <c r="J1894">
        <v>0</v>
      </c>
      <c r="K1894">
        <v>0</v>
      </c>
      <c r="L1894" t="str">
        <f t="shared" si="58"/>
        <v>22-5-2023</v>
      </c>
      <c r="M1894">
        <f t="shared" si="59"/>
        <v>2023</v>
      </c>
    </row>
    <row r="1895" spans="1:13" x14ac:dyDescent="0.2">
      <c r="A1895" s="1">
        <v>45075</v>
      </c>
      <c r="B1895">
        <v>22</v>
      </c>
      <c r="C1895">
        <v>5</v>
      </c>
      <c r="D1895">
        <v>2</v>
      </c>
      <c r="E1895" t="s">
        <v>40</v>
      </c>
      <c r="F1895">
        <v>0</v>
      </c>
      <c r="G1895">
        <f>INDEX(weekly!$E$2:$E$188,MATCH('Marketing Campaigns 22.11.22'!L1895,weekly!$H$2:$H$188,0))</f>
        <v>2903.2258064516127</v>
      </c>
      <c r="H1895">
        <f>INDEX(weekly!$D$2:$D$188,MATCH('Marketing Campaigns 22.11.22'!L1895,weekly!$H$2:$H$188,0))</f>
        <v>5806.4516129032254</v>
      </c>
      <c r="I1895">
        <f>INDEX(weekly!$F$2:$F$188,MATCH('Marketing Campaigns 22.11.22'!L1895,weekly!$H$2:$H$188,0))</f>
        <v>1451.6129032258063</v>
      </c>
      <c r="J1895">
        <v>0</v>
      </c>
      <c r="K1895">
        <v>0</v>
      </c>
      <c r="L1895" t="str">
        <f t="shared" si="58"/>
        <v>22-5-2023</v>
      </c>
      <c r="M1895">
        <f t="shared" si="59"/>
        <v>2023</v>
      </c>
    </row>
    <row r="1896" spans="1:13" x14ac:dyDescent="0.2">
      <c r="A1896" s="1">
        <v>45075</v>
      </c>
      <c r="B1896">
        <v>22</v>
      </c>
      <c r="C1896">
        <v>5</v>
      </c>
      <c r="D1896">
        <v>2</v>
      </c>
      <c r="E1896" t="s">
        <v>41</v>
      </c>
      <c r="F1896">
        <v>0</v>
      </c>
      <c r="G1896">
        <f>INDEX(weekly!$E$2:$E$188,MATCH('Marketing Campaigns 22.11.22'!L1896,weekly!$H$2:$H$188,0))</f>
        <v>2903.2258064516127</v>
      </c>
      <c r="H1896">
        <f>INDEX(weekly!$D$2:$D$188,MATCH('Marketing Campaigns 22.11.22'!L1896,weekly!$H$2:$H$188,0))</f>
        <v>5806.4516129032254</v>
      </c>
      <c r="I1896">
        <f>INDEX(weekly!$F$2:$F$188,MATCH('Marketing Campaigns 22.11.22'!L1896,weekly!$H$2:$H$188,0))</f>
        <v>1451.6129032258063</v>
      </c>
      <c r="J1896">
        <v>0</v>
      </c>
      <c r="K1896">
        <v>0</v>
      </c>
      <c r="L1896" t="str">
        <f t="shared" si="58"/>
        <v>22-5-2023</v>
      </c>
      <c r="M1896">
        <f t="shared" si="59"/>
        <v>2023</v>
      </c>
    </row>
    <row r="1897" spans="1:13" x14ac:dyDescent="0.2">
      <c r="A1897" s="1">
        <v>45075</v>
      </c>
      <c r="B1897">
        <v>22</v>
      </c>
      <c r="C1897">
        <v>5</v>
      </c>
      <c r="D1897">
        <v>2</v>
      </c>
      <c r="E1897" t="s">
        <v>42</v>
      </c>
      <c r="F1897">
        <v>0</v>
      </c>
      <c r="G1897">
        <f>INDEX(weekly!$E$2:$E$188,MATCH('Marketing Campaigns 22.11.22'!L1897,weekly!$H$2:$H$188,0))</f>
        <v>2903.2258064516127</v>
      </c>
      <c r="H1897">
        <f>INDEX(weekly!$D$2:$D$188,MATCH('Marketing Campaigns 22.11.22'!L1897,weekly!$H$2:$H$188,0))</f>
        <v>5806.4516129032254</v>
      </c>
      <c r="I1897">
        <f>INDEX(weekly!$F$2:$F$188,MATCH('Marketing Campaigns 22.11.22'!L1897,weekly!$H$2:$H$188,0))</f>
        <v>1451.6129032258063</v>
      </c>
      <c r="J1897">
        <v>0</v>
      </c>
      <c r="K1897">
        <v>0</v>
      </c>
      <c r="L1897" t="str">
        <f t="shared" si="58"/>
        <v>22-5-2023</v>
      </c>
      <c r="M1897">
        <f t="shared" si="59"/>
        <v>2023</v>
      </c>
    </row>
    <row r="1898" spans="1:13" x14ac:dyDescent="0.2">
      <c r="A1898" s="1">
        <v>45075</v>
      </c>
      <c r="B1898">
        <v>22</v>
      </c>
      <c r="C1898">
        <v>5</v>
      </c>
      <c r="D1898">
        <v>2</v>
      </c>
      <c r="E1898" t="s">
        <v>43</v>
      </c>
      <c r="F1898">
        <v>0</v>
      </c>
      <c r="G1898">
        <f>INDEX(weekly!$E$2:$E$188,MATCH('Marketing Campaigns 22.11.22'!L1898,weekly!$H$2:$H$188,0))</f>
        <v>2903.2258064516127</v>
      </c>
      <c r="H1898">
        <f>INDEX(weekly!$D$2:$D$188,MATCH('Marketing Campaigns 22.11.22'!L1898,weekly!$H$2:$H$188,0))</f>
        <v>5806.4516129032254</v>
      </c>
      <c r="I1898">
        <f>INDEX(weekly!$F$2:$F$188,MATCH('Marketing Campaigns 22.11.22'!L1898,weekly!$H$2:$H$188,0))</f>
        <v>1451.6129032258063</v>
      </c>
      <c r="J1898">
        <v>0</v>
      </c>
      <c r="K1898">
        <v>0</v>
      </c>
      <c r="L1898" t="str">
        <f t="shared" si="58"/>
        <v>22-5-2023</v>
      </c>
      <c r="M1898">
        <f t="shared" si="59"/>
        <v>2023</v>
      </c>
    </row>
    <row r="1899" spans="1:13" x14ac:dyDescent="0.2">
      <c r="A1899" s="1">
        <v>45075</v>
      </c>
      <c r="B1899">
        <v>22</v>
      </c>
      <c r="C1899">
        <v>5</v>
      </c>
      <c r="D1899">
        <v>2</v>
      </c>
      <c r="E1899" t="s">
        <v>44</v>
      </c>
      <c r="F1899">
        <v>0</v>
      </c>
      <c r="G1899">
        <f>INDEX(weekly!$E$2:$E$188,MATCH('Marketing Campaigns 22.11.22'!L1899,weekly!$H$2:$H$188,0))</f>
        <v>2903.2258064516127</v>
      </c>
      <c r="H1899">
        <f>INDEX(weekly!$D$2:$D$188,MATCH('Marketing Campaigns 22.11.22'!L1899,weekly!$H$2:$H$188,0))</f>
        <v>5806.4516129032254</v>
      </c>
      <c r="I1899">
        <f>INDEX(weekly!$F$2:$F$188,MATCH('Marketing Campaigns 22.11.22'!L1899,weekly!$H$2:$H$188,0))</f>
        <v>1451.6129032258063</v>
      </c>
      <c r="J1899">
        <v>0</v>
      </c>
      <c r="K1899">
        <v>0</v>
      </c>
      <c r="L1899" t="str">
        <f t="shared" si="58"/>
        <v>22-5-2023</v>
      </c>
      <c r="M1899">
        <f t="shared" si="59"/>
        <v>2023</v>
      </c>
    </row>
    <row r="1900" spans="1:13" x14ac:dyDescent="0.2">
      <c r="A1900" s="1">
        <v>45075</v>
      </c>
      <c r="B1900">
        <v>22</v>
      </c>
      <c r="C1900">
        <v>5</v>
      </c>
      <c r="D1900">
        <v>2</v>
      </c>
      <c r="E1900" t="s">
        <v>45</v>
      </c>
      <c r="F1900">
        <v>0</v>
      </c>
      <c r="G1900">
        <f>INDEX(weekly!$E$2:$E$188,MATCH('Marketing Campaigns 22.11.22'!L1900,weekly!$H$2:$H$188,0))</f>
        <v>2903.2258064516127</v>
      </c>
      <c r="H1900">
        <f>INDEX(weekly!$D$2:$D$188,MATCH('Marketing Campaigns 22.11.22'!L1900,weekly!$H$2:$H$188,0))</f>
        <v>5806.4516129032254</v>
      </c>
      <c r="I1900">
        <f>INDEX(weekly!$F$2:$F$188,MATCH('Marketing Campaigns 22.11.22'!L1900,weekly!$H$2:$H$188,0))</f>
        <v>1451.6129032258063</v>
      </c>
      <c r="J1900">
        <v>0</v>
      </c>
      <c r="K1900">
        <v>0</v>
      </c>
      <c r="L1900" t="str">
        <f t="shared" si="58"/>
        <v>22-5-2023</v>
      </c>
      <c r="M1900">
        <f t="shared" si="59"/>
        <v>2023</v>
      </c>
    </row>
    <row r="1901" spans="1:13" x14ac:dyDescent="0.2">
      <c r="A1901" s="1">
        <v>45075</v>
      </c>
      <c r="B1901">
        <v>22</v>
      </c>
      <c r="C1901">
        <v>5</v>
      </c>
      <c r="D1901">
        <v>2</v>
      </c>
      <c r="E1901" t="s">
        <v>46</v>
      </c>
      <c r="F1901">
        <v>0</v>
      </c>
      <c r="G1901">
        <f>INDEX(weekly!$E$2:$E$188,MATCH('Marketing Campaigns 22.11.22'!L1901,weekly!$H$2:$H$188,0))</f>
        <v>2903.2258064516127</v>
      </c>
      <c r="H1901">
        <f>INDEX(weekly!$D$2:$D$188,MATCH('Marketing Campaigns 22.11.22'!L1901,weekly!$H$2:$H$188,0))</f>
        <v>5806.4516129032254</v>
      </c>
      <c r="I1901">
        <f>INDEX(weekly!$F$2:$F$188,MATCH('Marketing Campaigns 22.11.22'!L1901,weekly!$H$2:$H$188,0))</f>
        <v>1451.6129032258063</v>
      </c>
      <c r="J1901">
        <v>0</v>
      </c>
      <c r="K1901">
        <v>0</v>
      </c>
      <c r="L1901" t="str">
        <f t="shared" si="58"/>
        <v>22-5-2023</v>
      </c>
      <c r="M1901">
        <f t="shared" si="59"/>
        <v>2023</v>
      </c>
    </row>
    <row r="1902" spans="1:13" x14ac:dyDescent="0.2">
      <c r="A1902" s="1">
        <v>45075</v>
      </c>
      <c r="B1902">
        <v>22</v>
      </c>
      <c r="C1902">
        <v>5</v>
      </c>
      <c r="D1902">
        <v>2</v>
      </c>
      <c r="E1902" t="s">
        <v>47</v>
      </c>
      <c r="F1902">
        <v>0</v>
      </c>
      <c r="G1902">
        <f>INDEX(weekly!$E$2:$E$188,MATCH('Marketing Campaigns 22.11.22'!L1902,weekly!$H$2:$H$188,0))</f>
        <v>2903.2258064516127</v>
      </c>
      <c r="H1902">
        <f>INDEX(weekly!$D$2:$D$188,MATCH('Marketing Campaigns 22.11.22'!L1902,weekly!$H$2:$H$188,0))</f>
        <v>5806.4516129032254</v>
      </c>
      <c r="I1902">
        <f>INDEX(weekly!$F$2:$F$188,MATCH('Marketing Campaigns 22.11.22'!L1902,weekly!$H$2:$H$188,0))</f>
        <v>1451.6129032258063</v>
      </c>
      <c r="J1902">
        <v>0</v>
      </c>
      <c r="K1902">
        <v>0</v>
      </c>
      <c r="L1902" t="str">
        <f t="shared" si="58"/>
        <v>22-5-2023</v>
      </c>
      <c r="M1902">
        <f t="shared" si="59"/>
        <v>2023</v>
      </c>
    </row>
    <row r="1903" spans="1:13" x14ac:dyDescent="0.2">
      <c r="A1903" s="1">
        <v>45075</v>
      </c>
      <c r="B1903">
        <v>22</v>
      </c>
      <c r="C1903">
        <v>5</v>
      </c>
      <c r="D1903">
        <v>2</v>
      </c>
      <c r="E1903" t="s">
        <v>48</v>
      </c>
      <c r="F1903">
        <v>0</v>
      </c>
      <c r="G1903">
        <f>INDEX(weekly!$E$2:$E$188,MATCH('Marketing Campaigns 22.11.22'!L1903,weekly!$H$2:$H$188,0))</f>
        <v>2903.2258064516127</v>
      </c>
      <c r="H1903">
        <f>INDEX(weekly!$D$2:$D$188,MATCH('Marketing Campaigns 22.11.22'!L1903,weekly!$H$2:$H$188,0))</f>
        <v>5806.4516129032254</v>
      </c>
      <c r="I1903">
        <f>INDEX(weekly!$F$2:$F$188,MATCH('Marketing Campaigns 22.11.22'!L1903,weekly!$H$2:$H$188,0))</f>
        <v>1451.6129032258063</v>
      </c>
      <c r="J1903">
        <v>0</v>
      </c>
      <c r="K1903">
        <v>0</v>
      </c>
      <c r="L1903" t="str">
        <f t="shared" si="58"/>
        <v>22-5-2023</v>
      </c>
      <c r="M1903">
        <f t="shared" si="59"/>
        <v>2023</v>
      </c>
    </row>
    <row r="1904" spans="1:13" x14ac:dyDescent="0.2">
      <c r="A1904" s="1">
        <v>45075</v>
      </c>
      <c r="B1904">
        <v>22</v>
      </c>
      <c r="C1904">
        <v>5</v>
      </c>
      <c r="D1904">
        <v>2</v>
      </c>
      <c r="E1904" t="s">
        <v>49</v>
      </c>
      <c r="F1904">
        <v>0</v>
      </c>
      <c r="G1904">
        <f>INDEX(weekly!$E$2:$E$188,MATCH('Marketing Campaigns 22.11.22'!L1904,weekly!$H$2:$H$188,0))</f>
        <v>2903.2258064516127</v>
      </c>
      <c r="H1904">
        <f>INDEX(weekly!$D$2:$D$188,MATCH('Marketing Campaigns 22.11.22'!L1904,weekly!$H$2:$H$188,0))</f>
        <v>5806.4516129032254</v>
      </c>
      <c r="I1904">
        <f>INDEX(weekly!$F$2:$F$188,MATCH('Marketing Campaigns 22.11.22'!L1904,weekly!$H$2:$H$188,0))</f>
        <v>1451.6129032258063</v>
      </c>
      <c r="J1904">
        <v>0</v>
      </c>
      <c r="K1904">
        <v>0</v>
      </c>
      <c r="L1904" t="str">
        <f t="shared" si="58"/>
        <v>22-5-2023</v>
      </c>
      <c r="M1904">
        <f t="shared" si="59"/>
        <v>2023</v>
      </c>
    </row>
    <row r="1905" spans="1:13" x14ac:dyDescent="0.2">
      <c r="A1905" s="1">
        <v>45075</v>
      </c>
      <c r="B1905">
        <v>22</v>
      </c>
      <c r="C1905">
        <v>5</v>
      </c>
      <c r="D1905">
        <v>2</v>
      </c>
      <c r="E1905" t="s">
        <v>50</v>
      </c>
      <c r="F1905">
        <v>0</v>
      </c>
      <c r="G1905">
        <f>INDEX(weekly!$E$2:$E$188,MATCH('Marketing Campaigns 22.11.22'!L1905,weekly!$H$2:$H$188,0))</f>
        <v>2903.2258064516127</v>
      </c>
      <c r="H1905">
        <f>INDEX(weekly!$D$2:$D$188,MATCH('Marketing Campaigns 22.11.22'!L1905,weekly!$H$2:$H$188,0))</f>
        <v>5806.4516129032254</v>
      </c>
      <c r="I1905">
        <f>INDEX(weekly!$F$2:$F$188,MATCH('Marketing Campaigns 22.11.22'!L1905,weekly!$H$2:$H$188,0))</f>
        <v>1451.6129032258063</v>
      </c>
      <c r="J1905">
        <v>0</v>
      </c>
      <c r="K1905">
        <v>0</v>
      </c>
      <c r="L1905" t="str">
        <f t="shared" si="58"/>
        <v>22-5-2023</v>
      </c>
      <c r="M1905">
        <f t="shared" si="59"/>
        <v>2023</v>
      </c>
    </row>
    <row r="1906" spans="1:13" x14ac:dyDescent="0.2">
      <c r="A1906" s="1">
        <v>45075</v>
      </c>
      <c r="B1906">
        <v>22</v>
      </c>
      <c r="C1906">
        <v>5</v>
      </c>
      <c r="D1906">
        <v>2</v>
      </c>
      <c r="E1906" t="s">
        <v>51</v>
      </c>
      <c r="F1906">
        <v>0</v>
      </c>
      <c r="G1906">
        <f>INDEX(weekly!$E$2:$E$188,MATCH('Marketing Campaigns 22.11.22'!L1906,weekly!$H$2:$H$188,0))</f>
        <v>2903.2258064516127</v>
      </c>
      <c r="H1906">
        <f>INDEX(weekly!$D$2:$D$188,MATCH('Marketing Campaigns 22.11.22'!L1906,weekly!$H$2:$H$188,0))</f>
        <v>5806.4516129032254</v>
      </c>
      <c r="I1906">
        <f>INDEX(weekly!$F$2:$F$188,MATCH('Marketing Campaigns 22.11.22'!L1906,weekly!$H$2:$H$188,0))</f>
        <v>1451.6129032258063</v>
      </c>
      <c r="J1906">
        <v>0</v>
      </c>
      <c r="K1906">
        <v>0</v>
      </c>
      <c r="L1906" t="str">
        <f t="shared" si="58"/>
        <v>22-5-2023</v>
      </c>
      <c r="M1906">
        <f t="shared" si="59"/>
        <v>2023</v>
      </c>
    </row>
    <row r="1907" spans="1:13" x14ac:dyDescent="0.2">
      <c r="A1907" s="1">
        <v>45075</v>
      </c>
      <c r="B1907">
        <v>22</v>
      </c>
      <c r="C1907">
        <v>5</v>
      </c>
      <c r="D1907">
        <v>2</v>
      </c>
      <c r="E1907" t="s">
        <v>52</v>
      </c>
      <c r="F1907">
        <v>0</v>
      </c>
      <c r="G1907">
        <f>INDEX(weekly!$E$2:$E$188,MATCH('Marketing Campaigns 22.11.22'!L1907,weekly!$H$2:$H$188,0))</f>
        <v>2903.2258064516127</v>
      </c>
      <c r="H1907">
        <f>INDEX(weekly!$D$2:$D$188,MATCH('Marketing Campaigns 22.11.22'!L1907,weekly!$H$2:$H$188,0))</f>
        <v>5806.4516129032254</v>
      </c>
      <c r="I1907">
        <f>INDEX(weekly!$F$2:$F$188,MATCH('Marketing Campaigns 22.11.22'!L1907,weekly!$H$2:$H$188,0))</f>
        <v>1451.6129032258063</v>
      </c>
      <c r="J1907">
        <v>0</v>
      </c>
      <c r="K1907">
        <v>0</v>
      </c>
      <c r="L1907" t="str">
        <f t="shared" si="58"/>
        <v>22-5-2023</v>
      </c>
      <c r="M1907">
        <f t="shared" si="59"/>
        <v>2023</v>
      </c>
    </row>
    <row r="1908" spans="1:13" x14ac:dyDescent="0.2">
      <c r="A1908" s="1">
        <v>45082</v>
      </c>
      <c r="B1908">
        <v>23</v>
      </c>
      <c r="C1908">
        <v>6</v>
      </c>
      <c r="D1908">
        <v>2</v>
      </c>
      <c r="E1908" t="s">
        <v>24</v>
      </c>
      <c r="F1908">
        <v>0</v>
      </c>
      <c r="G1908">
        <f>INDEX(weekly!$E$2:$E$188,MATCH('Marketing Campaigns 22.11.22'!L1908,weekly!$H$2:$H$188,0))</f>
        <v>5403.6368109736804</v>
      </c>
      <c r="H1908">
        <f>INDEX(weekly!$D$2:$D$188,MATCH('Marketing Campaigns 22.11.22'!L1908,weekly!$H$2:$H$188,0))</f>
        <v>16583.785995752114</v>
      </c>
      <c r="I1908">
        <f>INDEX(weekly!$F$2:$F$188,MATCH('Marketing Campaigns 22.11.22'!L1908,weekly!$H$2:$H$188,0))</f>
        <v>7690.6285425397718</v>
      </c>
      <c r="J1908">
        <v>0</v>
      </c>
      <c r="K1908">
        <v>0</v>
      </c>
      <c r="L1908" t="str">
        <f t="shared" si="58"/>
        <v>23-6-2023</v>
      </c>
      <c r="M1908">
        <f t="shared" si="59"/>
        <v>2023</v>
      </c>
    </row>
    <row r="1909" spans="1:13" x14ac:dyDescent="0.2">
      <c r="A1909" s="1">
        <v>45082</v>
      </c>
      <c r="B1909">
        <v>23</v>
      </c>
      <c r="C1909">
        <v>6</v>
      </c>
      <c r="D1909">
        <v>2</v>
      </c>
      <c r="E1909" t="s">
        <v>39</v>
      </c>
      <c r="F1909">
        <v>0</v>
      </c>
      <c r="G1909">
        <f>INDEX(weekly!$E$2:$E$188,MATCH('Marketing Campaigns 22.11.22'!L1909,weekly!$H$2:$H$188,0))</f>
        <v>5403.6368109736804</v>
      </c>
      <c r="H1909">
        <f>INDEX(weekly!$D$2:$D$188,MATCH('Marketing Campaigns 22.11.22'!L1909,weekly!$H$2:$H$188,0))</f>
        <v>16583.785995752114</v>
      </c>
      <c r="I1909">
        <f>INDEX(weekly!$F$2:$F$188,MATCH('Marketing Campaigns 22.11.22'!L1909,weekly!$H$2:$H$188,0))</f>
        <v>7690.6285425397718</v>
      </c>
      <c r="J1909">
        <v>0</v>
      </c>
      <c r="K1909">
        <v>0</v>
      </c>
      <c r="L1909" t="str">
        <f t="shared" si="58"/>
        <v>23-6-2023</v>
      </c>
      <c r="M1909">
        <f t="shared" si="59"/>
        <v>2023</v>
      </c>
    </row>
    <row r="1910" spans="1:13" x14ac:dyDescent="0.2">
      <c r="A1910" s="1">
        <v>45082</v>
      </c>
      <c r="B1910">
        <v>23</v>
      </c>
      <c r="C1910">
        <v>6</v>
      </c>
      <c r="D1910">
        <v>2</v>
      </c>
      <c r="E1910" t="s">
        <v>40</v>
      </c>
      <c r="F1910">
        <v>0</v>
      </c>
      <c r="G1910">
        <f>INDEX(weekly!$E$2:$E$188,MATCH('Marketing Campaigns 22.11.22'!L1910,weekly!$H$2:$H$188,0))</f>
        <v>5403.6368109736804</v>
      </c>
      <c r="H1910">
        <f>INDEX(weekly!$D$2:$D$188,MATCH('Marketing Campaigns 22.11.22'!L1910,weekly!$H$2:$H$188,0))</f>
        <v>16583.785995752114</v>
      </c>
      <c r="I1910">
        <f>INDEX(weekly!$F$2:$F$188,MATCH('Marketing Campaigns 22.11.22'!L1910,weekly!$H$2:$H$188,0))</f>
        <v>7690.6285425397718</v>
      </c>
      <c r="J1910">
        <v>0</v>
      </c>
      <c r="K1910">
        <v>0</v>
      </c>
      <c r="L1910" t="str">
        <f t="shared" si="58"/>
        <v>23-6-2023</v>
      </c>
      <c r="M1910">
        <f t="shared" si="59"/>
        <v>2023</v>
      </c>
    </row>
    <row r="1911" spans="1:13" x14ac:dyDescent="0.2">
      <c r="A1911" s="1">
        <v>45082</v>
      </c>
      <c r="B1911">
        <v>23</v>
      </c>
      <c r="C1911">
        <v>6</v>
      </c>
      <c r="D1911">
        <v>2</v>
      </c>
      <c r="E1911" t="s">
        <v>41</v>
      </c>
      <c r="F1911">
        <v>0</v>
      </c>
      <c r="G1911">
        <f>INDEX(weekly!$E$2:$E$188,MATCH('Marketing Campaigns 22.11.22'!L1911,weekly!$H$2:$H$188,0))</f>
        <v>5403.6368109736804</v>
      </c>
      <c r="H1911">
        <f>INDEX(weekly!$D$2:$D$188,MATCH('Marketing Campaigns 22.11.22'!L1911,weekly!$H$2:$H$188,0))</f>
        <v>16583.785995752114</v>
      </c>
      <c r="I1911">
        <f>INDEX(weekly!$F$2:$F$188,MATCH('Marketing Campaigns 22.11.22'!L1911,weekly!$H$2:$H$188,0))</f>
        <v>7690.6285425397718</v>
      </c>
      <c r="J1911">
        <v>0</v>
      </c>
      <c r="K1911">
        <v>0</v>
      </c>
      <c r="L1911" t="str">
        <f t="shared" si="58"/>
        <v>23-6-2023</v>
      </c>
      <c r="M1911">
        <f t="shared" si="59"/>
        <v>2023</v>
      </c>
    </row>
    <row r="1912" spans="1:13" x14ac:dyDescent="0.2">
      <c r="A1912" s="1">
        <v>45082</v>
      </c>
      <c r="B1912">
        <v>23</v>
      </c>
      <c r="C1912">
        <v>6</v>
      </c>
      <c r="D1912">
        <v>2</v>
      </c>
      <c r="E1912" t="s">
        <v>42</v>
      </c>
      <c r="F1912">
        <v>0</v>
      </c>
      <c r="G1912">
        <f>INDEX(weekly!$E$2:$E$188,MATCH('Marketing Campaigns 22.11.22'!L1912,weekly!$H$2:$H$188,0))</f>
        <v>5403.6368109736804</v>
      </c>
      <c r="H1912">
        <f>INDEX(weekly!$D$2:$D$188,MATCH('Marketing Campaigns 22.11.22'!L1912,weekly!$H$2:$H$188,0))</f>
        <v>16583.785995752114</v>
      </c>
      <c r="I1912">
        <f>INDEX(weekly!$F$2:$F$188,MATCH('Marketing Campaigns 22.11.22'!L1912,weekly!$H$2:$H$188,0))</f>
        <v>7690.6285425397718</v>
      </c>
      <c r="J1912">
        <v>0</v>
      </c>
      <c r="K1912">
        <v>0</v>
      </c>
      <c r="L1912" t="str">
        <f t="shared" si="58"/>
        <v>23-6-2023</v>
      </c>
      <c r="M1912">
        <f t="shared" si="59"/>
        <v>2023</v>
      </c>
    </row>
    <row r="1913" spans="1:13" x14ac:dyDescent="0.2">
      <c r="A1913" s="1">
        <v>45082</v>
      </c>
      <c r="B1913">
        <v>23</v>
      </c>
      <c r="C1913">
        <v>6</v>
      </c>
      <c r="D1913">
        <v>2</v>
      </c>
      <c r="E1913" t="s">
        <v>43</v>
      </c>
      <c r="F1913">
        <v>0</v>
      </c>
      <c r="G1913">
        <f>INDEX(weekly!$E$2:$E$188,MATCH('Marketing Campaigns 22.11.22'!L1913,weekly!$H$2:$H$188,0))</f>
        <v>5403.6368109736804</v>
      </c>
      <c r="H1913">
        <f>INDEX(weekly!$D$2:$D$188,MATCH('Marketing Campaigns 22.11.22'!L1913,weekly!$H$2:$H$188,0))</f>
        <v>16583.785995752114</v>
      </c>
      <c r="I1913">
        <f>INDEX(weekly!$F$2:$F$188,MATCH('Marketing Campaigns 22.11.22'!L1913,weekly!$H$2:$H$188,0))</f>
        <v>7690.6285425397718</v>
      </c>
      <c r="J1913">
        <v>0</v>
      </c>
      <c r="K1913">
        <v>0</v>
      </c>
      <c r="L1913" t="str">
        <f t="shared" si="58"/>
        <v>23-6-2023</v>
      </c>
      <c r="M1913">
        <f t="shared" si="59"/>
        <v>2023</v>
      </c>
    </row>
    <row r="1914" spans="1:13" x14ac:dyDescent="0.2">
      <c r="A1914" s="1">
        <v>45082</v>
      </c>
      <c r="B1914">
        <v>23</v>
      </c>
      <c r="C1914">
        <v>6</v>
      </c>
      <c r="D1914">
        <v>2</v>
      </c>
      <c r="E1914" t="s">
        <v>44</v>
      </c>
      <c r="F1914">
        <v>0</v>
      </c>
      <c r="G1914">
        <f>INDEX(weekly!$E$2:$E$188,MATCH('Marketing Campaigns 22.11.22'!L1914,weekly!$H$2:$H$188,0))</f>
        <v>5403.6368109736804</v>
      </c>
      <c r="H1914">
        <f>INDEX(weekly!$D$2:$D$188,MATCH('Marketing Campaigns 22.11.22'!L1914,weekly!$H$2:$H$188,0))</f>
        <v>16583.785995752114</v>
      </c>
      <c r="I1914">
        <f>INDEX(weekly!$F$2:$F$188,MATCH('Marketing Campaigns 22.11.22'!L1914,weekly!$H$2:$H$188,0))</f>
        <v>7690.6285425397718</v>
      </c>
      <c r="J1914">
        <v>0</v>
      </c>
      <c r="K1914">
        <v>0</v>
      </c>
      <c r="L1914" t="str">
        <f t="shared" si="58"/>
        <v>23-6-2023</v>
      </c>
      <c r="M1914">
        <f t="shared" si="59"/>
        <v>2023</v>
      </c>
    </row>
    <row r="1915" spans="1:13" x14ac:dyDescent="0.2">
      <c r="A1915" s="1">
        <v>45082</v>
      </c>
      <c r="B1915">
        <v>23</v>
      </c>
      <c r="C1915">
        <v>6</v>
      </c>
      <c r="D1915">
        <v>2</v>
      </c>
      <c r="E1915" t="s">
        <v>45</v>
      </c>
      <c r="F1915">
        <v>0</v>
      </c>
      <c r="G1915">
        <f>INDEX(weekly!$E$2:$E$188,MATCH('Marketing Campaigns 22.11.22'!L1915,weekly!$H$2:$H$188,0))</f>
        <v>5403.6368109736804</v>
      </c>
      <c r="H1915">
        <f>INDEX(weekly!$D$2:$D$188,MATCH('Marketing Campaigns 22.11.22'!L1915,weekly!$H$2:$H$188,0))</f>
        <v>16583.785995752114</v>
      </c>
      <c r="I1915">
        <f>INDEX(weekly!$F$2:$F$188,MATCH('Marketing Campaigns 22.11.22'!L1915,weekly!$H$2:$H$188,0))</f>
        <v>7690.6285425397718</v>
      </c>
      <c r="J1915">
        <v>0</v>
      </c>
      <c r="K1915">
        <v>0</v>
      </c>
      <c r="L1915" t="str">
        <f t="shared" si="58"/>
        <v>23-6-2023</v>
      </c>
      <c r="M1915">
        <f t="shared" si="59"/>
        <v>2023</v>
      </c>
    </row>
    <row r="1916" spans="1:13" x14ac:dyDescent="0.2">
      <c r="A1916" s="1">
        <v>45082</v>
      </c>
      <c r="B1916">
        <v>23</v>
      </c>
      <c r="C1916">
        <v>6</v>
      </c>
      <c r="D1916">
        <v>2</v>
      </c>
      <c r="E1916" t="s">
        <v>46</v>
      </c>
      <c r="F1916">
        <v>0</v>
      </c>
      <c r="G1916">
        <f>INDEX(weekly!$E$2:$E$188,MATCH('Marketing Campaigns 22.11.22'!L1916,weekly!$H$2:$H$188,0))</f>
        <v>5403.6368109736804</v>
      </c>
      <c r="H1916">
        <f>INDEX(weekly!$D$2:$D$188,MATCH('Marketing Campaigns 22.11.22'!L1916,weekly!$H$2:$H$188,0))</f>
        <v>16583.785995752114</v>
      </c>
      <c r="I1916">
        <f>INDEX(weekly!$F$2:$F$188,MATCH('Marketing Campaigns 22.11.22'!L1916,weekly!$H$2:$H$188,0))</f>
        <v>7690.6285425397718</v>
      </c>
      <c r="J1916">
        <v>0</v>
      </c>
      <c r="K1916">
        <v>0</v>
      </c>
      <c r="L1916" t="str">
        <f t="shared" si="58"/>
        <v>23-6-2023</v>
      </c>
      <c r="M1916">
        <f t="shared" si="59"/>
        <v>2023</v>
      </c>
    </row>
    <row r="1917" spans="1:13" x14ac:dyDescent="0.2">
      <c r="A1917" s="1">
        <v>45082</v>
      </c>
      <c r="B1917">
        <v>23</v>
      </c>
      <c r="C1917">
        <v>6</v>
      </c>
      <c r="D1917">
        <v>2</v>
      </c>
      <c r="E1917" t="s">
        <v>47</v>
      </c>
      <c r="F1917">
        <v>0</v>
      </c>
      <c r="G1917">
        <f>INDEX(weekly!$E$2:$E$188,MATCH('Marketing Campaigns 22.11.22'!L1917,weekly!$H$2:$H$188,0))</f>
        <v>5403.6368109736804</v>
      </c>
      <c r="H1917">
        <f>INDEX(weekly!$D$2:$D$188,MATCH('Marketing Campaigns 22.11.22'!L1917,weekly!$H$2:$H$188,0))</f>
        <v>16583.785995752114</v>
      </c>
      <c r="I1917">
        <f>INDEX(weekly!$F$2:$F$188,MATCH('Marketing Campaigns 22.11.22'!L1917,weekly!$H$2:$H$188,0))</f>
        <v>7690.6285425397718</v>
      </c>
      <c r="J1917">
        <v>0</v>
      </c>
      <c r="K1917">
        <v>0</v>
      </c>
      <c r="L1917" t="str">
        <f t="shared" si="58"/>
        <v>23-6-2023</v>
      </c>
      <c r="M1917">
        <f t="shared" si="59"/>
        <v>2023</v>
      </c>
    </row>
    <row r="1918" spans="1:13" x14ac:dyDescent="0.2">
      <c r="A1918" s="1">
        <v>45082</v>
      </c>
      <c r="B1918">
        <v>23</v>
      </c>
      <c r="C1918">
        <v>6</v>
      </c>
      <c r="D1918">
        <v>2</v>
      </c>
      <c r="E1918" t="s">
        <v>48</v>
      </c>
      <c r="F1918">
        <v>0</v>
      </c>
      <c r="G1918">
        <f>INDEX(weekly!$E$2:$E$188,MATCH('Marketing Campaigns 22.11.22'!L1918,weekly!$H$2:$H$188,0))</f>
        <v>5403.6368109736804</v>
      </c>
      <c r="H1918">
        <f>INDEX(weekly!$D$2:$D$188,MATCH('Marketing Campaigns 22.11.22'!L1918,weekly!$H$2:$H$188,0))</f>
        <v>16583.785995752114</v>
      </c>
      <c r="I1918">
        <f>INDEX(weekly!$F$2:$F$188,MATCH('Marketing Campaigns 22.11.22'!L1918,weekly!$H$2:$H$188,0))</f>
        <v>7690.6285425397718</v>
      </c>
      <c r="J1918">
        <v>0</v>
      </c>
      <c r="K1918">
        <v>0</v>
      </c>
      <c r="L1918" t="str">
        <f t="shared" si="58"/>
        <v>23-6-2023</v>
      </c>
      <c r="M1918">
        <f t="shared" si="59"/>
        <v>2023</v>
      </c>
    </row>
    <row r="1919" spans="1:13" x14ac:dyDescent="0.2">
      <c r="A1919" s="1">
        <v>45082</v>
      </c>
      <c r="B1919">
        <v>23</v>
      </c>
      <c r="C1919">
        <v>6</v>
      </c>
      <c r="D1919">
        <v>2</v>
      </c>
      <c r="E1919" t="s">
        <v>49</v>
      </c>
      <c r="F1919">
        <v>0</v>
      </c>
      <c r="G1919">
        <f>INDEX(weekly!$E$2:$E$188,MATCH('Marketing Campaigns 22.11.22'!L1919,weekly!$H$2:$H$188,0))</f>
        <v>5403.6368109736804</v>
      </c>
      <c r="H1919">
        <f>INDEX(weekly!$D$2:$D$188,MATCH('Marketing Campaigns 22.11.22'!L1919,weekly!$H$2:$H$188,0))</f>
        <v>16583.785995752114</v>
      </c>
      <c r="I1919">
        <f>INDEX(weekly!$F$2:$F$188,MATCH('Marketing Campaigns 22.11.22'!L1919,weekly!$H$2:$H$188,0))</f>
        <v>7690.6285425397718</v>
      </c>
      <c r="J1919">
        <v>0</v>
      </c>
      <c r="K1919">
        <v>0</v>
      </c>
      <c r="L1919" t="str">
        <f t="shared" si="58"/>
        <v>23-6-2023</v>
      </c>
      <c r="M1919">
        <f t="shared" si="59"/>
        <v>2023</v>
      </c>
    </row>
    <row r="1920" spans="1:13" x14ac:dyDescent="0.2">
      <c r="A1920" s="1">
        <v>45082</v>
      </c>
      <c r="B1920">
        <v>23</v>
      </c>
      <c r="C1920">
        <v>6</v>
      </c>
      <c r="D1920">
        <v>2</v>
      </c>
      <c r="E1920" t="s">
        <v>50</v>
      </c>
      <c r="F1920">
        <v>0</v>
      </c>
      <c r="G1920">
        <f>INDEX(weekly!$E$2:$E$188,MATCH('Marketing Campaigns 22.11.22'!L1920,weekly!$H$2:$H$188,0))</f>
        <v>5403.6368109736804</v>
      </c>
      <c r="H1920">
        <f>INDEX(weekly!$D$2:$D$188,MATCH('Marketing Campaigns 22.11.22'!L1920,weekly!$H$2:$H$188,0))</f>
        <v>16583.785995752114</v>
      </c>
      <c r="I1920">
        <f>INDEX(weekly!$F$2:$F$188,MATCH('Marketing Campaigns 22.11.22'!L1920,weekly!$H$2:$H$188,0))</f>
        <v>7690.6285425397718</v>
      </c>
      <c r="J1920">
        <v>0</v>
      </c>
      <c r="K1920">
        <v>0</v>
      </c>
      <c r="L1920" t="str">
        <f t="shared" si="58"/>
        <v>23-6-2023</v>
      </c>
      <c r="M1920">
        <f t="shared" si="59"/>
        <v>2023</v>
      </c>
    </row>
    <row r="1921" spans="1:13" x14ac:dyDescent="0.2">
      <c r="A1921" s="1">
        <v>45082</v>
      </c>
      <c r="B1921">
        <v>23</v>
      </c>
      <c r="C1921">
        <v>6</v>
      </c>
      <c r="D1921">
        <v>2</v>
      </c>
      <c r="E1921" t="s">
        <v>51</v>
      </c>
      <c r="F1921">
        <v>0</v>
      </c>
      <c r="G1921">
        <f>INDEX(weekly!$E$2:$E$188,MATCH('Marketing Campaigns 22.11.22'!L1921,weekly!$H$2:$H$188,0))</f>
        <v>5403.6368109736804</v>
      </c>
      <c r="H1921">
        <f>INDEX(weekly!$D$2:$D$188,MATCH('Marketing Campaigns 22.11.22'!L1921,weekly!$H$2:$H$188,0))</f>
        <v>16583.785995752114</v>
      </c>
      <c r="I1921">
        <f>INDEX(weekly!$F$2:$F$188,MATCH('Marketing Campaigns 22.11.22'!L1921,weekly!$H$2:$H$188,0))</f>
        <v>7690.6285425397718</v>
      </c>
      <c r="J1921">
        <v>0</v>
      </c>
      <c r="K1921">
        <v>0</v>
      </c>
      <c r="L1921" t="str">
        <f t="shared" si="58"/>
        <v>23-6-2023</v>
      </c>
      <c r="M1921">
        <f t="shared" si="59"/>
        <v>2023</v>
      </c>
    </row>
    <row r="1922" spans="1:13" x14ac:dyDescent="0.2">
      <c r="A1922" s="1">
        <v>45082</v>
      </c>
      <c r="B1922">
        <v>23</v>
      </c>
      <c r="C1922">
        <v>6</v>
      </c>
      <c r="D1922">
        <v>2</v>
      </c>
      <c r="E1922" t="s">
        <v>52</v>
      </c>
      <c r="F1922">
        <v>0</v>
      </c>
      <c r="G1922">
        <f>INDEX(weekly!$E$2:$E$188,MATCH('Marketing Campaigns 22.11.22'!L1922,weekly!$H$2:$H$188,0))</f>
        <v>5403.6368109736804</v>
      </c>
      <c r="H1922">
        <f>INDEX(weekly!$D$2:$D$188,MATCH('Marketing Campaigns 22.11.22'!L1922,weekly!$H$2:$H$188,0))</f>
        <v>16583.785995752114</v>
      </c>
      <c r="I1922">
        <f>INDEX(weekly!$F$2:$F$188,MATCH('Marketing Campaigns 22.11.22'!L1922,weekly!$H$2:$H$188,0))</f>
        <v>7690.6285425397718</v>
      </c>
      <c r="J1922">
        <v>0</v>
      </c>
      <c r="K1922">
        <v>0</v>
      </c>
      <c r="L1922" t="str">
        <f t="shared" si="58"/>
        <v>23-6-2023</v>
      </c>
      <c r="M1922">
        <f t="shared" si="59"/>
        <v>2023</v>
      </c>
    </row>
    <row r="1923" spans="1:13" x14ac:dyDescent="0.2">
      <c r="A1923" s="1">
        <v>45089</v>
      </c>
      <c r="B1923">
        <v>24</v>
      </c>
      <c r="C1923">
        <v>6</v>
      </c>
      <c r="D1923">
        <v>2</v>
      </c>
      <c r="E1923" t="s">
        <v>24</v>
      </c>
      <c r="F1923">
        <v>0</v>
      </c>
      <c r="G1923">
        <f>INDEX(weekly!$E$2:$E$188,MATCH('Marketing Campaigns 22.11.22'!L1923,weekly!$H$2:$H$188,0))</f>
        <v>5403.6368109736804</v>
      </c>
      <c r="H1923">
        <f>INDEX(weekly!$D$2:$D$188,MATCH('Marketing Campaigns 22.11.22'!L1923,weekly!$H$2:$H$188,0))</f>
        <v>16583.785995752114</v>
      </c>
      <c r="I1923">
        <f>INDEX(weekly!$F$2:$F$188,MATCH('Marketing Campaigns 22.11.22'!L1923,weekly!$H$2:$H$188,0))</f>
        <v>7690.6285425397718</v>
      </c>
      <c r="J1923">
        <v>0</v>
      </c>
      <c r="K1923">
        <v>0</v>
      </c>
      <c r="L1923" t="str">
        <f t="shared" si="58"/>
        <v>24-6-2023</v>
      </c>
      <c r="M1923">
        <f t="shared" si="59"/>
        <v>2023</v>
      </c>
    </row>
    <row r="1924" spans="1:13" x14ac:dyDescent="0.2">
      <c r="A1924" s="1">
        <v>45089</v>
      </c>
      <c r="B1924">
        <v>24</v>
      </c>
      <c r="C1924">
        <v>6</v>
      </c>
      <c r="D1924">
        <v>2</v>
      </c>
      <c r="E1924" t="s">
        <v>39</v>
      </c>
      <c r="F1924">
        <v>0</v>
      </c>
      <c r="G1924">
        <f>INDEX(weekly!$E$2:$E$188,MATCH('Marketing Campaigns 22.11.22'!L1924,weekly!$H$2:$H$188,0))</f>
        <v>5403.6368109736804</v>
      </c>
      <c r="H1924">
        <f>INDEX(weekly!$D$2:$D$188,MATCH('Marketing Campaigns 22.11.22'!L1924,weekly!$H$2:$H$188,0))</f>
        <v>16583.785995752114</v>
      </c>
      <c r="I1924">
        <f>INDEX(weekly!$F$2:$F$188,MATCH('Marketing Campaigns 22.11.22'!L1924,weekly!$H$2:$H$188,0))</f>
        <v>7690.6285425397718</v>
      </c>
      <c r="J1924">
        <v>0</v>
      </c>
      <c r="K1924">
        <v>0</v>
      </c>
      <c r="L1924" t="str">
        <f t="shared" ref="L1924:L1987" si="60">B1924&amp;"-"&amp;C1924&amp;"-"&amp;M1924</f>
        <v>24-6-2023</v>
      </c>
      <c r="M1924">
        <f t="shared" ref="M1924:M1987" si="61">YEAR(A1924)</f>
        <v>2023</v>
      </c>
    </row>
    <row r="1925" spans="1:13" x14ac:dyDescent="0.2">
      <c r="A1925" s="1">
        <v>45089</v>
      </c>
      <c r="B1925">
        <v>24</v>
      </c>
      <c r="C1925">
        <v>6</v>
      </c>
      <c r="D1925">
        <v>2</v>
      </c>
      <c r="E1925" t="s">
        <v>40</v>
      </c>
      <c r="F1925">
        <v>0</v>
      </c>
      <c r="G1925">
        <f>INDEX(weekly!$E$2:$E$188,MATCH('Marketing Campaigns 22.11.22'!L1925,weekly!$H$2:$H$188,0))</f>
        <v>5403.6368109736804</v>
      </c>
      <c r="H1925">
        <f>INDEX(weekly!$D$2:$D$188,MATCH('Marketing Campaigns 22.11.22'!L1925,weekly!$H$2:$H$188,0))</f>
        <v>16583.785995752114</v>
      </c>
      <c r="I1925">
        <f>INDEX(weekly!$F$2:$F$188,MATCH('Marketing Campaigns 22.11.22'!L1925,weekly!$H$2:$H$188,0))</f>
        <v>7690.6285425397718</v>
      </c>
      <c r="J1925">
        <v>0</v>
      </c>
      <c r="K1925">
        <v>0</v>
      </c>
      <c r="L1925" t="str">
        <f t="shared" si="60"/>
        <v>24-6-2023</v>
      </c>
      <c r="M1925">
        <f t="shared" si="61"/>
        <v>2023</v>
      </c>
    </row>
    <row r="1926" spans="1:13" x14ac:dyDescent="0.2">
      <c r="A1926" s="1">
        <v>45089</v>
      </c>
      <c r="B1926">
        <v>24</v>
      </c>
      <c r="C1926">
        <v>6</v>
      </c>
      <c r="D1926">
        <v>2</v>
      </c>
      <c r="E1926" t="s">
        <v>41</v>
      </c>
      <c r="F1926">
        <v>0</v>
      </c>
      <c r="G1926">
        <f>INDEX(weekly!$E$2:$E$188,MATCH('Marketing Campaigns 22.11.22'!L1926,weekly!$H$2:$H$188,0))</f>
        <v>5403.6368109736804</v>
      </c>
      <c r="H1926">
        <f>INDEX(weekly!$D$2:$D$188,MATCH('Marketing Campaigns 22.11.22'!L1926,weekly!$H$2:$H$188,0))</f>
        <v>16583.785995752114</v>
      </c>
      <c r="I1926">
        <f>INDEX(weekly!$F$2:$F$188,MATCH('Marketing Campaigns 22.11.22'!L1926,weekly!$H$2:$H$188,0))</f>
        <v>7690.6285425397718</v>
      </c>
      <c r="J1926">
        <v>0</v>
      </c>
      <c r="K1926">
        <v>0</v>
      </c>
      <c r="L1926" t="str">
        <f t="shared" si="60"/>
        <v>24-6-2023</v>
      </c>
      <c r="M1926">
        <f t="shared" si="61"/>
        <v>2023</v>
      </c>
    </row>
    <row r="1927" spans="1:13" x14ac:dyDescent="0.2">
      <c r="A1927" s="1">
        <v>45089</v>
      </c>
      <c r="B1927">
        <v>24</v>
      </c>
      <c r="C1927">
        <v>6</v>
      </c>
      <c r="D1927">
        <v>2</v>
      </c>
      <c r="E1927" t="s">
        <v>42</v>
      </c>
      <c r="F1927">
        <v>0</v>
      </c>
      <c r="G1927">
        <f>INDEX(weekly!$E$2:$E$188,MATCH('Marketing Campaigns 22.11.22'!L1927,weekly!$H$2:$H$188,0))</f>
        <v>5403.6368109736804</v>
      </c>
      <c r="H1927">
        <f>INDEX(weekly!$D$2:$D$188,MATCH('Marketing Campaigns 22.11.22'!L1927,weekly!$H$2:$H$188,0))</f>
        <v>16583.785995752114</v>
      </c>
      <c r="I1927">
        <f>INDEX(weekly!$F$2:$F$188,MATCH('Marketing Campaigns 22.11.22'!L1927,weekly!$H$2:$H$188,0))</f>
        <v>7690.6285425397718</v>
      </c>
      <c r="J1927">
        <v>0</v>
      </c>
      <c r="K1927">
        <v>0</v>
      </c>
      <c r="L1927" t="str">
        <f t="shared" si="60"/>
        <v>24-6-2023</v>
      </c>
      <c r="M1927">
        <f t="shared" si="61"/>
        <v>2023</v>
      </c>
    </row>
    <row r="1928" spans="1:13" x14ac:dyDescent="0.2">
      <c r="A1928" s="1">
        <v>45089</v>
      </c>
      <c r="B1928">
        <v>24</v>
      </c>
      <c r="C1928">
        <v>6</v>
      </c>
      <c r="D1928">
        <v>2</v>
      </c>
      <c r="E1928" t="s">
        <v>43</v>
      </c>
      <c r="F1928">
        <v>0</v>
      </c>
      <c r="G1928">
        <f>INDEX(weekly!$E$2:$E$188,MATCH('Marketing Campaigns 22.11.22'!L1928,weekly!$H$2:$H$188,0))</f>
        <v>5403.6368109736804</v>
      </c>
      <c r="H1928">
        <f>INDEX(weekly!$D$2:$D$188,MATCH('Marketing Campaigns 22.11.22'!L1928,weekly!$H$2:$H$188,0))</f>
        <v>16583.785995752114</v>
      </c>
      <c r="I1928">
        <f>INDEX(weekly!$F$2:$F$188,MATCH('Marketing Campaigns 22.11.22'!L1928,weekly!$H$2:$H$188,0))</f>
        <v>7690.6285425397718</v>
      </c>
      <c r="J1928">
        <v>0</v>
      </c>
      <c r="K1928">
        <v>0</v>
      </c>
      <c r="L1928" t="str">
        <f t="shared" si="60"/>
        <v>24-6-2023</v>
      </c>
      <c r="M1928">
        <f t="shared" si="61"/>
        <v>2023</v>
      </c>
    </row>
    <row r="1929" spans="1:13" x14ac:dyDescent="0.2">
      <c r="A1929" s="1">
        <v>45089</v>
      </c>
      <c r="B1929">
        <v>24</v>
      </c>
      <c r="C1929">
        <v>6</v>
      </c>
      <c r="D1929">
        <v>2</v>
      </c>
      <c r="E1929" t="s">
        <v>44</v>
      </c>
      <c r="F1929">
        <v>0</v>
      </c>
      <c r="G1929">
        <f>INDEX(weekly!$E$2:$E$188,MATCH('Marketing Campaigns 22.11.22'!L1929,weekly!$H$2:$H$188,0))</f>
        <v>5403.6368109736804</v>
      </c>
      <c r="H1929">
        <f>INDEX(weekly!$D$2:$D$188,MATCH('Marketing Campaigns 22.11.22'!L1929,weekly!$H$2:$H$188,0))</f>
        <v>16583.785995752114</v>
      </c>
      <c r="I1929">
        <f>INDEX(weekly!$F$2:$F$188,MATCH('Marketing Campaigns 22.11.22'!L1929,weekly!$H$2:$H$188,0))</f>
        <v>7690.6285425397718</v>
      </c>
      <c r="J1929">
        <v>0</v>
      </c>
      <c r="K1929">
        <v>0</v>
      </c>
      <c r="L1929" t="str">
        <f t="shared" si="60"/>
        <v>24-6-2023</v>
      </c>
      <c r="M1929">
        <f t="shared" si="61"/>
        <v>2023</v>
      </c>
    </row>
    <row r="1930" spans="1:13" x14ac:dyDescent="0.2">
      <c r="A1930" s="1">
        <v>45089</v>
      </c>
      <c r="B1930">
        <v>24</v>
      </c>
      <c r="C1930">
        <v>6</v>
      </c>
      <c r="D1930">
        <v>2</v>
      </c>
      <c r="E1930" t="s">
        <v>45</v>
      </c>
      <c r="F1930">
        <v>0</v>
      </c>
      <c r="G1930">
        <f>INDEX(weekly!$E$2:$E$188,MATCH('Marketing Campaigns 22.11.22'!L1930,weekly!$H$2:$H$188,0))</f>
        <v>5403.6368109736804</v>
      </c>
      <c r="H1930">
        <f>INDEX(weekly!$D$2:$D$188,MATCH('Marketing Campaigns 22.11.22'!L1930,weekly!$H$2:$H$188,0))</f>
        <v>16583.785995752114</v>
      </c>
      <c r="I1930">
        <f>INDEX(weekly!$F$2:$F$188,MATCH('Marketing Campaigns 22.11.22'!L1930,weekly!$H$2:$H$188,0))</f>
        <v>7690.6285425397718</v>
      </c>
      <c r="J1930">
        <v>0</v>
      </c>
      <c r="K1930">
        <v>0</v>
      </c>
      <c r="L1930" t="str">
        <f t="shared" si="60"/>
        <v>24-6-2023</v>
      </c>
      <c r="M1930">
        <f t="shared" si="61"/>
        <v>2023</v>
      </c>
    </row>
    <row r="1931" spans="1:13" x14ac:dyDescent="0.2">
      <c r="A1931" s="1">
        <v>45089</v>
      </c>
      <c r="B1931">
        <v>24</v>
      </c>
      <c r="C1931">
        <v>6</v>
      </c>
      <c r="D1931">
        <v>2</v>
      </c>
      <c r="E1931" t="s">
        <v>46</v>
      </c>
      <c r="F1931">
        <v>0</v>
      </c>
      <c r="G1931">
        <f>INDEX(weekly!$E$2:$E$188,MATCH('Marketing Campaigns 22.11.22'!L1931,weekly!$H$2:$H$188,0))</f>
        <v>5403.6368109736804</v>
      </c>
      <c r="H1931">
        <f>INDEX(weekly!$D$2:$D$188,MATCH('Marketing Campaigns 22.11.22'!L1931,weekly!$H$2:$H$188,0))</f>
        <v>16583.785995752114</v>
      </c>
      <c r="I1931">
        <f>INDEX(weekly!$F$2:$F$188,MATCH('Marketing Campaigns 22.11.22'!L1931,weekly!$H$2:$H$188,0))</f>
        <v>7690.6285425397718</v>
      </c>
      <c r="J1931">
        <v>0</v>
      </c>
      <c r="K1931">
        <v>0</v>
      </c>
      <c r="L1931" t="str">
        <f t="shared" si="60"/>
        <v>24-6-2023</v>
      </c>
      <c r="M1931">
        <f t="shared" si="61"/>
        <v>2023</v>
      </c>
    </row>
    <row r="1932" spans="1:13" x14ac:dyDescent="0.2">
      <c r="A1932" s="1">
        <v>45089</v>
      </c>
      <c r="B1932">
        <v>24</v>
      </c>
      <c r="C1932">
        <v>6</v>
      </c>
      <c r="D1932">
        <v>2</v>
      </c>
      <c r="E1932" t="s">
        <v>47</v>
      </c>
      <c r="F1932">
        <v>0</v>
      </c>
      <c r="G1932">
        <f>INDEX(weekly!$E$2:$E$188,MATCH('Marketing Campaigns 22.11.22'!L1932,weekly!$H$2:$H$188,0))</f>
        <v>5403.6368109736804</v>
      </c>
      <c r="H1932">
        <f>INDEX(weekly!$D$2:$D$188,MATCH('Marketing Campaigns 22.11.22'!L1932,weekly!$H$2:$H$188,0))</f>
        <v>16583.785995752114</v>
      </c>
      <c r="I1932">
        <f>INDEX(weekly!$F$2:$F$188,MATCH('Marketing Campaigns 22.11.22'!L1932,weekly!$H$2:$H$188,0))</f>
        <v>7690.6285425397718</v>
      </c>
      <c r="J1932">
        <v>0</v>
      </c>
      <c r="K1932">
        <v>0</v>
      </c>
      <c r="L1932" t="str">
        <f t="shared" si="60"/>
        <v>24-6-2023</v>
      </c>
      <c r="M1932">
        <f t="shared" si="61"/>
        <v>2023</v>
      </c>
    </row>
    <row r="1933" spans="1:13" x14ac:dyDescent="0.2">
      <c r="A1933" s="1">
        <v>45089</v>
      </c>
      <c r="B1933">
        <v>24</v>
      </c>
      <c r="C1933">
        <v>6</v>
      </c>
      <c r="D1933">
        <v>2</v>
      </c>
      <c r="E1933" t="s">
        <v>48</v>
      </c>
      <c r="F1933">
        <v>0</v>
      </c>
      <c r="G1933">
        <f>INDEX(weekly!$E$2:$E$188,MATCH('Marketing Campaigns 22.11.22'!L1933,weekly!$H$2:$H$188,0))</f>
        <v>5403.6368109736804</v>
      </c>
      <c r="H1933">
        <f>INDEX(weekly!$D$2:$D$188,MATCH('Marketing Campaigns 22.11.22'!L1933,weekly!$H$2:$H$188,0))</f>
        <v>16583.785995752114</v>
      </c>
      <c r="I1933">
        <f>INDEX(weekly!$F$2:$F$188,MATCH('Marketing Campaigns 22.11.22'!L1933,weekly!$H$2:$H$188,0))</f>
        <v>7690.6285425397718</v>
      </c>
      <c r="J1933">
        <v>0</v>
      </c>
      <c r="K1933">
        <v>0</v>
      </c>
      <c r="L1933" t="str">
        <f t="shared" si="60"/>
        <v>24-6-2023</v>
      </c>
      <c r="M1933">
        <f t="shared" si="61"/>
        <v>2023</v>
      </c>
    </row>
    <row r="1934" spans="1:13" x14ac:dyDescent="0.2">
      <c r="A1934" s="1">
        <v>45089</v>
      </c>
      <c r="B1934">
        <v>24</v>
      </c>
      <c r="C1934">
        <v>6</v>
      </c>
      <c r="D1934">
        <v>2</v>
      </c>
      <c r="E1934" t="s">
        <v>49</v>
      </c>
      <c r="F1934">
        <v>0</v>
      </c>
      <c r="G1934">
        <f>INDEX(weekly!$E$2:$E$188,MATCH('Marketing Campaigns 22.11.22'!L1934,weekly!$H$2:$H$188,0))</f>
        <v>5403.6368109736804</v>
      </c>
      <c r="H1934">
        <f>INDEX(weekly!$D$2:$D$188,MATCH('Marketing Campaigns 22.11.22'!L1934,weekly!$H$2:$H$188,0))</f>
        <v>16583.785995752114</v>
      </c>
      <c r="I1934">
        <f>INDEX(weekly!$F$2:$F$188,MATCH('Marketing Campaigns 22.11.22'!L1934,weekly!$H$2:$H$188,0))</f>
        <v>7690.6285425397718</v>
      </c>
      <c r="J1934">
        <v>0</v>
      </c>
      <c r="K1934">
        <v>0</v>
      </c>
      <c r="L1934" t="str">
        <f t="shared" si="60"/>
        <v>24-6-2023</v>
      </c>
      <c r="M1934">
        <f t="shared" si="61"/>
        <v>2023</v>
      </c>
    </row>
    <row r="1935" spans="1:13" x14ac:dyDescent="0.2">
      <c r="A1935" s="1">
        <v>45089</v>
      </c>
      <c r="B1935">
        <v>24</v>
      </c>
      <c r="C1935">
        <v>6</v>
      </c>
      <c r="D1935">
        <v>2</v>
      </c>
      <c r="E1935" t="s">
        <v>50</v>
      </c>
      <c r="F1935">
        <v>0</v>
      </c>
      <c r="G1935">
        <f>INDEX(weekly!$E$2:$E$188,MATCH('Marketing Campaigns 22.11.22'!L1935,weekly!$H$2:$H$188,0))</f>
        <v>5403.6368109736804</v>
      </c>
      <c r="H1935">
        <f>INDEX(weekly!$D$2:$D$188,MATCH('Marketing Campaigns 22.11.22'!L1935,weekly!$H$2:$H$188,0))</f>
        <v>16583.785995752114</v>
      </c>
      <c r="I1935">
        <f>INDEX(weekly!$F$2:$F$188,MATCH('Marketing Campaigns 22.11.22'!L1935,weekly!$H$2:$H$188,0))</f>
        <v>7690.6285425397718</v>
      </c>
      <c r="J1935">
        <v>0</v>
      </c>
      <c r="K1935">
        <v>0</v>
      </c>
      <c r="L1935" t="str">
        <f t="shared" si="60"/>
        <v>24-6-2023</v>
      </c>
      <c r="M1935">
        <f t="shared" si="61"/>
        <v>2023</v>
      </c>
    </row>
    <row r="1936" spans="1:13" x14ac:dyDescent="0.2">
      <c r="A1936" s="1">
        <v>45089</v>
      </c>
      <c r="B1936">
        <v>24</v>
      </c>
      <c r="C1936">
        <v>6</v>
      </c>
      <c r="D1936">
        <v>2</v>
      </c>
      <c r="E1936" t="s">
        <v>51</v>
      </c>
      <c r="F1936">
        <v>0</v>
      </c>
      <c r="G1936">
        <f>INDEX(weekly!$E$2:$E$188,MATCH('Marketing Campaigns 22.11.22'!L1936,weekly!$H$2:$H$188,0))</f>
        <v>5403.6368109736804</v>
      </c>
      <c r="H1936">
        <f>INDEX(weekly!$D$2:$D$188,MATCH('Marketing Campaigns 22.11.22'!L1936,weekly!$H$2:$H$188,0))</f>
        <v>16583.785995752114</v>
      </c>
      <c r="I1936">
        <f>INDEX(weekly!$F$2:$F$188,MATCH('Marketing Campaigns 22.11.22'!L1936,weekly!$H$2:$H$188,0))</f>
        <v>7690.6285425397718</v>
      </c>
      <c r="J1936">
        <v>0</v>
      </c>
      <c r="K1936">
        <v>0</v>
      </c>
      <c r="L1936" t="str">
        <f t="shared" si="60"/>
        <v>24-6-2023</v>
      </c>
      <c r="M1936">
        <f t="shared" si="61"/>
        <v>2023</v>
      </c>
    </row>
    <row r="1937" spans="1:13" x14ac:dyDescent="0.2">
      <c r="A1937" s="1">
        <v>45089</v>
      </c>
      <c r="B1937">
        <v>24</v>
      </c>
      <c r="C1937">
        <v>6</v>
      </c>
      <c r="D1937">
        <v>2</v>
      </c>
      <c r="E1937" t="s">
        <v>52</v>
      </c>
      <c r="F1937">
        <v>0</v>
      </c>
      <c r="G1937">
        <f>INDEX(weekly!$E$2:$E$188,MATCH('Marketing Campaigns 22.11.22'!L1937,weekly!$H$2:$H$188,0))</f>
        <v>5403.6368109736804</v>
      </c>
      <c r="H1937">
        <f>INDEX(weekly!$D$2:$D$188,MATCH('Marketing Campaigns 22.11.22'!L1937,weekly!$H$2:$H$188,0))</f>
        <v>16583.785995752114</v>
      </c>
      <c r="I1937">
        <f>INDEX(weekly!$F$2:$F$188,MATCH('Marketing Campaigns 22.11.22'!L1937,weekly!$H$2:$H$188,0))</f>
        <v>7690.6285425397718</v>
      </c>
      <c r="J1937">
        <v>0</v>
      </c>
      <c r="K1937">
        <v>0</v>
      </c>
      <c r="L1937" t="str">
        <f t="shared" si="60"/>
        <v>24-6-2023</v>
      </c>
      <c r="M1937">
        <f t="shared" si="61"/>
        <v>2023</v>
      </c>
    </row>
    <row r="1938" spans="1:13" x14ac:dyDescent="0.2">
      <c r="A1938" s="1">
        <v>45096</v>
      </c>
      <c r="B1938">
        <v>25</v>
      </c>
      <c r="C1938">
        <v>6</v>
      </c>
      <c r="D1938">
        <v>2</v>
      </c>
      <c r="E1938" t="s">
        <v>24</v>
      </c>
      <c r="F1938">
        <v>0</v>
      </c>
      <c r="G1938">
        <f>INDEX(weekly!$E$2:$E$188,MATCH('Marketing Campaigns 22.11.22'!L1938,weekly!$H$2:$H$188,0))</f>
        <v>5403.6368109736804</v>
      </c>
      <c r="H1938">
        <f>INDEX(weekly!$D$2:$D$188,MATCH('Marketing Campaigns 22.11.22'!L1938,weekly!$H$2:$H$188,0))</f>
        <v>16583.785995752114</v>
      </c>
      <c r="I1938">
        <f>INDEX(weekly!$F$2:$F$188,MATCH('Marketing Campaigns 22.11.22'!L1938,weekly!$H$2:$H$188,0))</f>
        <v>7690.6285425397718</v>
      </c>
      <c r="J1938">
        <v>0</v>
      </c>
      <c r="K1938">
        <v>0</v>
      </c>
      <c r="L1938" t="str">
        <f t="shared" si="60"/>
        <v>25-6-2023</v>
      </c>
      <c r="M1938">
        <f t="shared" si="61"/>
        <v>2023</v>
      </c>
    </row>
    <row r="1939" spans="1:13" x14ac:dyDescent="0.2">
      <c r="A1939" s="1">
        <v>45096</v>
      </c>
      <c r="B1939">
        <v>25</v>
      </c>
      <c r="C1939">
        <v>6</v>
      </c>
      <c r="D1939">
        <v>2</v>
      </c>
      <c r="E1939" t="s">
        <v>39</v>
      </c>
      <c r="F1939">
        <v>0</v>
      </c>
      <c r="G1939">
        <f>INDEX(weekly!$E$2:$E$188,MATCH('Marketing Campaigns 22.11.22'!L1939,weekly!$H$2:$H$188,0))</f>
        <v>5403.6368109736804</v>
      </c>
      <c r="H1939">
        <f>INDEX(weekly!$D$2:$D$188,MATCH('Marketing Campaigns 22.11.22'!L1939,weekly!$H$2:$H$188,0))</f>
        <v>16583.785995752114</v>
      </c>
      <c r="I1939">
        <f>INDEX(weekly!$F$2:$F$188,MATCH('Marketing Campaigns 22.11.22'!L1939,weekly!$H$2:$H$188,0))</f>
        <v>7690.6285425397718</v>
      </c>
      <c r="J1939">
        <v>0</v>
      </c>
      <c r="K1939">
        <v>0</v>
      </c>
      <c r="L1939" t="str">
        <f t="shared" si="60"/>
        <v>25-6-2023</v>
      </c>
      <c r="M1939">
        <f t="shared" si="61"/>
        <v>2023</v>
      </c>
    </row>
    <row r="1940" spans="1:13" x14ac:dyDescent="0.2">
      <c r="A1940" s="1">
        <v>45096</v>
      </c>
      <c r="B1940">
        <v>25</v>
      </c>
      <c r="C1940">
        <v>6</v>
      </c>
      <c r="D1940">
        <v>2</v>
      </c>
      <c r="E1940" t="s">
        <v>40</v>
      </c>
      <c r="F1940">
        <v>0</v>
      </c>
      <c r="G1940">
        <f>INDEX(weekly!$E$2:$E$188,MATCH('Marketing Campaigns 22.11.22'!L1940,weekly!$H$2:$H$188,0))</f>
        <v>5403.6368109736804</v>
      </c>
      <c r="H1940">
        <f>INDEX(weekly!$D$2:$D$188,MATCH('Marketing Campaigns 22.11.22'!L1940,weekly!$H$2:$H$188,0))</f>
        <v>16583.785995752114</v>
      </c>
      <c r="I1940">
        <f>INDEX(weekly!$F$2:$F$188,MATCH('Marketing Campaigns 22.11.22'!L1940,weekly!$H$2:$H$188,0))</f>
        <v>7690.6285425397718</v>
      </c>
      <c r="J1940">
        <v>0</v>
      </c>
      <c r="K1940">
        <v>0</v>
      </c>
      <c r="L1940" t="str">
        <f t="shared" si="60"/>
        <v>25-6-2023</v>
      </c>
      <c r="M1940">
        <f t="shared" si="61"/>
        <v>2023</v>
      </c>
    </row>
    <row r="1941" spans="1:13" x14ac:dyDescent="0.2">
      <c r="A1941" s="1">
        <v>45096</v>
      </c>
      <c r="B1941">
        <v>25</v>
      </c>
      <c r="C1941">
        <v>6</v>
      </c>
      <c r="D1941">
        <v>2</v>
      </c>
      <c r="E1941" t="s">
        <v>41</v>
      </c>
      <c r="F1941">
        <v>0</v>
      </c>
      <c r="G1941">
        <f>INDEX(weekly!$E$2:$E$188,MATCH('Marketing Campaigns 22.11.22'!L1941,weekly!$H$2:$H$188,0))</f>
        <v>5403.6368109736804</v>
      </c>
      <c r="H1941">
        <f>INDEX(weekly!$D$2:$D$188,MATCH('Marketing Campaigns 22.11.22'!L1941,weekly!$H$2:$H$188,0))</f>
        <v>16583.785995752114</v>
      </c>
      <c r="I1941">
        <f>INDEX(weekly!$F$2:$F$188,MATCH('Marketing Campaigns 22.11.22'!L1941,weekly!$H$2:$H$188,0))</f>
        <v>7690.6285425397718</v>
      </c>
      <c r="J1941">
        <v>0</v>
      </c>
      <c r="K1941">
        <v>0</v>
      </c>
      <c r="L1941" t="str">
        <f t="shared" si="60"/>
        <v>25-6-2023</v>
      </c>
      <c r="M1941">
        <f t="shared" si="61"/>
        <v>2023</v>
      </c>
    </row>
    <row r="1942" spans="1:13" x14ac:dyDescent="0.2">
      <c r="A1942" s="1">
        <v>45096</v>
      </c>
      <c r="B1942">
        <v>25</v>
      </c>
      <c r="C1942">
        <v>6</v>
      </c>
      <c r="D1942">
        <v>2</v>
      </c>
      <c r="E1942" t="s">
        <v>42</v>
      </c>
      <c r="F1942">
        <v>0</v>
      </c>
      <c r="G1942">
        <f>INDEX(weekly!$E$2:$E$188,MATCH('Marketing Campaigns 22.11.22'!L1942,weekly!$H$2:$H$188,0))</f>
        <v>5403.6368109736804</v>
      </c>
      <c r="H1942">
        <f>INDEX(weekly!$D$2:$D$188,MATCH('Marketing Campaigns 22.11.22'!L1942,weekly!$H$2:$H$188,0))</f>
        <v>16583.785995752114</v>
      </c>
      <c r="I1942">
        <f>INDEX(weekly!$F$2:$F$188,MATCH('Marketing Campaigns 22.11.22'!L1942,weekly!$H$2:$H$188,0))</f>
        <v>7690.6285425397718</v>
      </c>
      <c r="J1942">
        <v>0</v>
      </c>
      <c r="K1942">
        <v>0</v>
      </c>
      <c r="L1942" t="str">
        <f t="shared" si="60"/>
        <v>25-6-2023</v>
      </c>
      <c r="M1942">
        <f t="shared" si="61"/>
        <v>2023</v>
      </c>
    </row>
    <row r="1943" spans="1:13" x14ac:dyDescent="0.2">
      <c r="A1943" s="1">
        <v>45096</v>
      </c>
      <c r="B1943">
        <v>25</v>
      </c>
      <c r="C1943">
        <v>6</v>
      </c>
      <c r="D1943">
        <v>2</v>
      </c>
      <c r="E1943" t="s">
        <v>43</v>
      </c>
      <c r="F1943">
        <v>0</v>
      </c>
      <c r="G1943">
        <f>INDEX(weekly!$E$2:$E$188,MATCH('Marketing Campaigns 22.11.22'!L1943,weekly!$H$2:$H$188,0))</f>
        <v>5403.6368109736804</v>
      </c>
      <c r="H1943">
        <f>INDEX(weekly!$D$2:$D$188,MATCH('Marketing Campaigns 22.11.22'!L1943,weekly!$H$2:$H$188,0))</f>
        <v>16583.785995752114</v>
      </c>
      <c r="I1943">
        <f>INDEX(weekly!$F$2:$F$188,MATCH('Marketing Campaigns 22.11.22'!L1943,weekly!$H$2:$H$188,0))</f>
        <v>7690.6285425397718</v>
      </c>
      <c r="J1943">
        <v>0</v>
      </c>
      <c r="K1943">
        <v>0</v>
      </c>
      <c r="L1943" t="str">
        <f t="shared" si="60"/>
        <v>25-6-2023</v>
      </c>
      <c r="M1943">
        <f t="shared" si="61"/>
        <v>2023</v>
      </c>
    </row>
    <row r="1944" spans="1:13" x14ac:dyDescent="0.2">
      <c r="A1944" s="1">
        <v>45096</v>
      </c>
      <c r="B1944">
        <v>25</v>
      </c>
      <c r="C1944">
        <v>6</v>
      </c>
      <c r="D1944">
        <v>2</v>
      </c>
      <c r="E1944" t="s">
        <v>44</v>
      </c>
      <c r="F1944">
        <v>0</v>
      </c>
      <c r="G1944">
        <f>INDEX(weekly!$E$2:$E$188,MATCH('Marketing Campaigns 22.11.22'!L1944,weekly!$H$2:$H$188,0))</f>
        <v>5403.6368109736804</v>
      </c>
      <c r="H1944">
        <f>INDEX(weekly!$D$2:$D$188,MATCH('Marketing Campaigns 22.11.22'!L1944,weekly!$H$2:$H$188,0))</f>
        <v>16583.785995752114</v>
      </c>
      <c r="I1944">
        <f>INDEX(weekly!$F$2:$F$188,MATCH('Marketing Campaigns 22.11.22'!L1944,weekly!$H$2:$H$188,0))</f>
        <v>7690.6285425397718</v>
      </c>
      <c r="J1944">
        <v>0</v>
      </c>
      <c r="K1944">
        <v>0</v>
      </c>
      <c r="L1944" t="str">
        <f t="shared" si="60"/>
        <v>25-6-2023</v>
      </c>
      <c r="M1944">
        <f t="shared" si="61"/>
        <v>2023</v>
      </c>
    </row>
    <row r="1945" spans="1:13" x14ac:dyDescent="0.2">
      <c r="A1945" s="1">
        <v>45096</v>
      </c>
      <c r="B1945">
        <v>25</v>
      </c>
      <c r="C1945">
        <v>6</v>
      </c>
      <c r="D1945">
        <v>2</v>
      </c>
      <c r="E1945" t="s">
        <v>45</v>
      </c>
      <c r="F1945">
        <v>0</v>
      </c>
      <c r="G1945">
        <f>INDEX(weekly!$E$2:$E$188,MATCH('Marketing Campaigns 22.11.22'!L1945,weekly!$H$2:$H$188,0))</f>
        <v>5403.6368109736804</v>
      </c>
      <c r="H1945">
        <f>INDEX(weekly!$D$2:$D$188,MATCH('Marketing Campaigns 22.11.22'!L1945,weekly!$H$2:$H$188,0))</f>
        <v>16583.785995752114</v>
      </c>
      <c r="I1945">
        <f>INDEX(weekly!$F$2:$F$188,MATCH('Marketing Campaigns 22.11.22'!L1945,weekly!$H$2:$H$188,0))</f>
        <v>7690.6285425397718</v>
      </c>
      <c r="J1945">
        <v>0</v>
      </c>
      <c r="K1945">
        <v>0</v>
      </c>
      <c r="L1945" t="str">
        <f t="shared" si="60"/>
        <v>25-6-2023</v>
      </c>
      <c r="M1945">
        <f t="shared" si="61"/>
        <v>2023</v>
      </c>
    </row>
    <row r="1946" spans="1:13" x14ac:dyDescent="0.2">
      <c r="A1946" s="1">
        <v>45096</v>
      </c>
      <c r="B1946">
        <v>25</v>
      </c>
      <c r="C1946">
        <v>6</v>
      </c>
      <c r="D1946">
        <v>2</v>
      </c>
      <c r="E1946" t="s">
        <v>46</v>
      </c>
      <c r="F1946">
        <v>0</v>
      </c>
      <c r="G1946">
        <f>INDEX(weekly!$E$2:$E$188,MATCH('Marketing Campaigns 22.11.22'!L1946,weekly!$H$2:$H$188,0))</f>
        <v>5403.6368109736804</v>
      </c>
      <c r="H1946">
        <f>INDEX(weekly!$D$2:$D$188,MATCH('Marketing Campaigns 22.11.22'!L1946,weekly!$H$2:$H$188,0))</f>
        <v>16583.785995752114</v>
      </c>
      <c r="I1946">
        <f>INDEX(weekly!$F$2:$F$188,MATCH('Marketing Campaigns 22.11.22'!L1946,weekly!$H$2:$H$188,0))</f>
        <v>7690.6285425397718</v>
      </c>
      <c r="J1946">
        <v>0</v>
      </c>
      <c r="K1946">
        <v>0</v>
      </c>
      <c r="L1946" t="str">
        <f t="shared" si="60"/>
        <v>25-6-2023</v>
      </c>
      <c r="M1946">
        <f t="shared" si="61"/>
        <v>2023</v>
      </c>
    </row>
    <row r="1947" spans="1:13" x14ac:dyDescent="0.2">
      <c r="A1947" s="1">
        <v>45096</v>
      </c>
      <c r="B1947">
        <v>25</v>
      </c>
      <c r="C1947">
        <v>6</v>
      </c>
      <c r="D1947">
        <v>2</v>
      </c>
      <c r="E1947" t="s">
        <v>47</v>
      </c>
      <c r="F1947">
        <v>0</v>
      </c>
      <c r="G1947">
        <f>INDEX(weekly!$E$2:$E$188,MATCH('Marketing Campaigns 22.11.22'!L1947,weekly!$H$2:$H$188,0))</f>
        <v>5403.6368109736804</v>
      </c>
      <c r="H1947">
        <f>INDEX(weekly!$D$2:$D$188,MATCH('Marketing Campaigns 22.11.22'!L1947,weekly!$H$2:$H$188,0))</f>
        <v>16583.785995752114</v>
      </c>
      <c r="I1947">
        <f>INDEX(weekly!$F$2:$F$188,MATCH('Marketing Campaigns 22.11.22'!L1947,weekly!$H$2:$H$188,0))</f>
        <v>7690.6285425397718</v>
      </c>
      <c r="J1947">
        <v>0</v>
      </c>
      <c r="K1947">
        <v>0</v>
      </c>
      <c r="L1947" t="str">
        <f t="shared" si="60"/>
        <v>25-6-2023</v>
      </c>
      <c r="M1947">
        <f t="shared" si="61"/>
        <v>2023</v>
      </c>
    </row>
    <row r="1948" spans="1:13" x14ac:dyDescent="0.2">
      <c r="A1948" s="1">
        <v>45096</v>
      </c>
      <c r="B1948">
        <v>25</v>
      </c>
      <c r="C1948">
        <v>6</v>
      </c>
      <c r="D1948">
        <v>2</v>
      </c>
      <c r="E1948" t="s">
        <v>48</v>
      </c>
      <c r="F1948">
        <v>0</v>
      </c>
      <c r="G1948">
        <f>INDEX(weekly!$E$2:$E$188,MATCH('Marketing Campaigns 22.11.22'!L1948,weekly!$H$2:$H$188,0))</f>
        <v>5403.6368109736804</v>
      </c>
      <c r="H1948">
        <f>INDEX(weekly!$D$2:$D$188,MATCH('Marketing Campaigns 22.11.22'!L1948,weekly!$H$2:$H$188,0))</f>
        <v>16583.785995752114</v>
      </c>
      <c r="I1948">
        <f>INDEX(weekly!$F$2:$F$188,MATCH('Marketing Campaigns 22.11.22'!L1948,weekly!$H$2:$H$188,0))</f>
        <v>7690.6285425397718</v>
      </c>
      <c r="J1948">
        <v>0</v>
      </c>
      <c r="K1948">
        <v>0</v>
      </c>
      <c r="L1948" t="str">
        <f t="shared" si="60"/>
        <v>25-6-2023</v>
      </c>
      <c r="M1948">
        <f t="shared" si="61"/>
        <v>2023</v>
      </c>
    </row>
    <row r="1949" spans="1:13" x14ac:dyDescent="0.2">
      <c r="A1949" s="1">
        <v>45096</v>
      </c>
      <c r="B1949">
        <v>25</v>
      </c>
      <c r="C1949">
        <v>6</v>
      </c>
      <c r="D1949">
        <v>2</v>
      </c>
      <c r="E1949" t="s">
        <v>49</v>
      </c>
      <c r="F1949">
        <v>0</v>
      </c>
      <c r="G1949">
        <f>INDEX(weekly!$E$2:$E$188,MATCH('Marketing Campaigns 22.11.22'!L1949,weekly!$H$2:$H$188,0))</f>
        <v>5403.6368109736804</v>
      </c>
      <c r="H1949">
        <f>INDEX(weekly!$D$2:$D$188,MATCH('Marketing Campaigns 22.11.22'!L1949,weekly!$H$2:$H$188,0))</f>
        <v>16583.785995752114</v>
      </c>
      <c r="I1949">
        <f>INDEX(weekly!$F$2:$F$188,MATCH('Marketing Campaigns 22.11.22'!L1949,weekly!$H$2:$H$188,0))</f>
        <v>7690.6285425397718</v>
      </c>
      <c r="J1949">
        <v>0</v>
      </c>
      <c r="K1949">
        <v>0</v>
      </c>
      <c r="L1949" t="str">
        <f t="shared" si="60"/>
        <v>25-6-2023</v>
      </c>
      <c r="M1949">
        <f t="shared" si="61"/>
        <v>2023</v>
      </c>
    </row>
    <row r="1950" spans="1:13" x14ac:dyDescent="0.2">
      <c r="A1950" s="1">
        <v>45096</v>
      </c>
      <c r="B1950">
        <v>25</v>
      </c>
      <c r="C1950">
        <v>6</v>
      </c>
      <c r="D1950">
        <v>2</v>
      </c>
      <c r="E1950" t="s">
        <v>50</v>
      </c>
      <c r="F1950">
        <v>0</v>
      </c>
      <c r="G1950">
        <f>INDEX(weekly!$E$2:$E$188,MATCH('Marketing Campaigns 22.11.22'!L1950,weekly!$H$2:$H$188,0))</f>
        <v>5403.6368109736804</v>
      </c>
      <c r="H1950">
        <f>INDEX(weekly!$D$2:$D$188,MATCH('Marketing Campaigns 22.11.22'!L1950,weekly!$H$2:$H$188,0))</f>
        <v>16583.785995752114</v>
      </c>
      <c r="I1950">
        <f>INDEX(weekly!$F$2:$F$188,MATCH('Marketing Campaigns 22.11.22'!L1950,weekly!$H$2:$H$188,0))</f>
        <v>7690.6285425397718</v>
      </c>
      <c r="J1950">
        <v>0</v>
      </c>
      <c r="K1950">
        <v>0</v>
      </c>
      <c r="L1950" t="str">
        <f t="shared" si="60"/>
        <v>25-6-2023</v>
      </c>
      <c r="M1950">
        <f t="shared" si="61"/>
        <v>2023</v>
      </c>
    </row>
    <row r="1951" spans="1:13" x14ac:dyDescent="0.2">
      <c r="A1951" s="1">
        <v>45096</v>
      </c>
      <c r="B1951">
        <v>25</v>
      </c>
      <c r="C1951">
        <v>6</v>
      </c>
      <c r="D1951">
        <v>2</v>
      </c>
      <c r="E1951" t="s">
        <v>51</v>
      </c>
      <c r="F1951">
        <v>0</v>
      </c>
      <c r="G1951">
        <f>INDEX(weekly!$E$2:$E$188,MATCH('Marketing Campaigns 22.11.22'!L1951,weekly!$H$2:$H$188,0))</f>
        <v>5403.6368109736804</v>
      </c>
      <c r="H1951">
        <f>INDEX(weekly!$D$2:$D$188,MATCH('Marketing Campaigns 22.11.22'!L1951,weekly!$H$2:$H$188,0))</f>
        <v>16583.785995752114</v>
      </c>
      <c r="I1951">
        <f>INDEX(weekly!$F$2:$F$188,MATCH('Marketing Campaigns 22.11.22'!L1951,weekly!$H$2:$H$188,0))</f>
        <v>7690.6285425397718</v>
      </c>
      <c r="J1951">
        <v>0</v>
      </c>
      <c r="K1951">
        <v>0</v>
      </c>
      <c r="L1951" t="str">
        <f t="shared" si="60"/>
        <v>25-6-2023</v>
      </c>
      <c r="M1951">
        <f t="shared" si="61"/>
        <v>2023</v>
      </c>
    </row>
    <row r="1952" spans="1:13" x14ac:dyDescent="0.2">
      <c r="A1952" s="1">
        <v>45096</v>
      </c>
      <c r="B1952">
        <v>25</v>
      </c>
      <c r="C1952">
        <v>6</v>
      </c>
      <c r="D1952">
        <v>2</v>
      </c>
      <c r="E1952" t="s">
        <v>52</v>
      </c>
      <c r="F1952">
        <v>0</v>
      </c>
      <c r="G1952">
        <f>INDEX(weekly!$E$2:$E$188,MATCH('Marketing Campaigns 22.11.22'!L1952,weekly!$H$2:$H$188,0))</f>
        <v>5403.6368109736804</v>
      </c>
      <c r="H1952">
        <f>INDEX(weekly!$D$2:$D$188,MATCH('Marketing Campaigns 22.11.22'!L1952,weekly!$H$2:$H$188,0))</f>
        <v>16583.785995752114</v>
      </c>
      <c r="I1952">
        <f>INDEX(weekly!$F$2:$F$188,MATCH('Marketing Campaigns 22.11.22'!L1952,weekly!$H$2:$H$188,0))</f>
        <v>7690.6285425397718</v>
      </c>
      <c r="J1952">
        <v>0</v>
      </c>
      <c r="K1952">
        <v>0</v>
      </c>
      <c r="L1952" t="str">
        <f t="shared" si="60"/>
        <v>25-6-2023</v>
      </c>
      <c r="M1952">
        <f t="shared" si="61"/>
        <v>2023</v>
      </c>
    </row>
    <row r="1953" spans="1:13" x14ac:dyDescent="0.2">
      <c r="A1953" s="1">
        <v>45103</v>
      </c>
      <c r="B1953">
        <v>26</v>
      </c>
      <c r="C1953">
        <v>6</v>
      </c>
      <c r="D1953">
        <v>2</v>
      </c>
      <c r="E1953" t="s">
        <v>24</v>
      </c>
      <c r="F1953">
        <v>0</v>
      </c>
      <c r="G1953">
        <f>INDEX(weekly!$E$2:$E$188,MATCH('Marketing Campaigns 22.11.22'!L1953,weekly!$H$2:$H$188,0))</f>
        <v>3859.7405792669151</v>
      </c>
      <c r="H1953">
        <f>INDEX(weekly!$D$2:$D$188,MATCH('Marketing Campaigns 22.11.22'!L1953,weekly!$H$2:$H$188,0))</f>
        <v>11845.561425537226</v>
      </c>
      <c r="I1953">
        <f>INDEX(weekly!$F$2:$F$188,MATCH('Marketing Campaigns 22.11.22'!L1953,weekly!$H$2:$H$188,0))</f>
        <v>5493.3061018141225</v>
      </c>
      <c r="J1953">
        <v>0</v>
      </c>
      <c r="K1953">
        <v>0</v>
      </c>
      <c r="L1953" t="str">
        <f t="shared" si="60"/>
        <v>26-6-2023</v>
      </c>
      <c r="M1953">
        <f t="shared" si="61"/>
        <v>2023</v>
      </c>
    </row>
    <row r="1954" spans="1:13" x14ac:dyDescent="0.2">
      <c r="A1954" s="1">
        <v>45103</v>
      </c>
      <c r="B1954">
        <v>26</v>
      </c>
      <c r="C1954">
        <v>6</v>
      </c>
      <c r="D1954">
        <v>2</v>
      </c>
      <c r="E1954" t="s">
        <v>39</v>
      </c>
      <c r="F1954">
        <v>0</v>
      </c>
      <c r="G1954">
        <f>INDEX(weekly!$E$2:$E$188,MATCH('Marketing Campaigns 22.11.22'!L1954,weekly!$H$2:$H$188,0))</f>
        <v>3859.7405792669151</v>
      </c>
      <c r="H1954">
        <f>INDEX(weekly!$D$2:$D$188,MATCH('Marketing Campaigns 22.11.22'!L1954,weekly!$H$2:$H$188,0))</f>
        <v>11845.561425537226</v>
      </c>
      <c r="I1954">
        <f>INDEX(weekly!$F$2:$F$188,MATCH('Marketing Campaigns 22.11.22'!L1954,weekly!$H$2:$H$188,0))</f>
        <v>5493.3061018141225</v>
      </c>
      <c r="J1954">
        <v>0</v>
      </c>
      <c r="K1954">
        <v>0</v>
      </c>
      <c r="L1954" t="str">
        <f t="shared" si="60"/>
        <v>26-6-2023</v>
      </c>
      <c r="M1954">
        <f t="shared" si="61"/>
        <v>2023</v>
      </c>
    </row>
    <row r="1955" spans="1:13" x14ac:dyDescent="0.2">
      <c r="A1955" s="1">
        <v>45103</v>
      </c>
      <c r="B1955">
        <v>26</v>
      </c>
      <c r="C1955">
        <v>6</v>
      </c>
      <c r="D1955">
        <v>2</v>
      </c>
      <c r="E1955" t="s">
        <v>40</v>
      </c>
      <c r="F1955">
        <v>0</v>
      </c>
      <c r="G1955">
        <f>INDEX(weekly!$E$2:$E$188,MATCH('Marketing Campaigns 22.11.22'!L1955,weekly!$H$2:$H$188,0))</f>
        <v>3859.7405792669151</v>
      </c>
      <c r="H1955">
        <f>INDEX(weekly!$D$2:$D$188,MATCH('Marketing Campaigns 22.11.22'!L1955,weekly!$H$2:$H$188,0))</f>
        <v>11845.561425537226</v>
      </c>
      <c r="I1955">
        <f>INDEX(weekly!$F$2:$F$188,MATCH('Marketing Campaigns 22.11.22'!L1955,weekly!$H$2:$H$188,0))</f>
        <v>5493.3061018141225</v>
      </c>
      <c r="J1955">
        <v>0</v>
      </c>
      <c r="K1955">
        <v>0</v>
      </c>
      <c r="L1955" t="str">
        <f t="shared" si="60"/>
        <v>26-6-2023</v>
      </c>
      <c r="M1955">
        <f t="shared" si="61"/>
        <v>2023</v>
      </c>
    </row>
    <row r="1956" spans="1:13" x14ac:dyDescent="0.2">
      <c r="A1956" s="1">
        <v>45103</v>
      </c>
      <c r="B1956">
        <v>26</v>
      </c>
      <c r="C1956">
        <v>6</v>
      </c>
      <c r="D1956">
        <v>2</v>
      </c>
      <c r="E1956" t="s">
        <v>41</v>
      </c>
      <c r="F1956">
        <v>0</v>
      </c>
      <c r="G1956">
        <f>INDEX(weekly!$E$2:$E$188,MATCH('Marketing Campaigns 22.11.22'!L1956,weekly!$H$2:$H$188,0))</f>
        <v>3859.7405792669151</v>
      </c>
      <c r="H1956">
        <f>INDEX(weekly!$D$2:$D$188,MATCH('Marketing Campaigns 22.11.22'!L1956,weekly!$H$2:$H$188,0))</f>
        <v>11845.561425537226</v>
      </c>
      <c r="I1956">
        <f>INDEX(weekly!$F$2:$F$188,MATCH('Marketing Campaigns 22.11.22'!L1956,weekly!$H$2:$H$188,0))</f>
        <v>5493.3061018141225</v>
      </c>
      <c r="J1956">
        <v>0</v>
      </c>
      <c r="K1956">
        <v>0</v>
      </c>
      <c r="L1956" t="str">
        <f t="shared" si="60"/>
        <v>26-6-2023</v>
      </c>
      <c r="M1956">
        <f t="shared" si="61"/>
        <v>2023</v>
      </c>
    </row>
    <row r="1957" spans="1:13" x14ac:dyDescent="0.2">
      <c r="A1957" s="1">
        <v>45103</v>
      </c>
      <c r="B1957">
        <v>26</v>
      </c>
      <c r="C1957">
        <v>6</v>
      </c>
      <c r="D1957">
        <v>2</v>
      </c>
      <c r="E1957" t="s">
        <v>42</v>
      </c>
      <c r="F1957">
        <v>0</v>
      </c>
      <c r="G1957">
        <f>INDEX(weekly!$E$2:$E$188,MATCH('Marketing Campaigns 22.11.22'!L1957,weekly!$H$2:$H$188,0))</f>
        <v>3859.7405792669151</v>
      </c>
      <c r="H1957">
        <f>INDEX(weekly!$D$2:$D$188,MATCH('Marketing Campaigns 22.11.22'!L1957,weekly!$H$2:$H$188,0))</f>
        <v>11845.561425537226</v>
      </c>
      <c r="I1957">
        <f>INDEX(weekly!$F$2:$F$188,MATCH('Marketing Campaigns 22.11.22'!L1957,weekly!$H$2:$H$188,0))</f>
        <v>5493.3061018141225</v>
      </c>
      <c r="J1957">
        <v>0</v>
      </c>
      <c r="K1957">
        <v>0</v>
      </c>
      <c r="L1957" t="str">
        <f t="shared" si="60"/>
        <v>26-6-2023</v>
      </c>
      <c r="M1957">
        <f t="shared" si="61"/>
        <v>2023</v>
      </c>
    </row>
    <row r="1958" spans="1:13" x14ac:dyDescent="0.2">
      <c r="A1958" s="1">
        <v>45103</v>
      </c>
      <c r="B1958">
        <v>26</v>
      </c>
      <c r="C1958">
        <v>6</v>
      </c>
      <c r="D1958">
        <v>2</v>
      </c>
      <c r="E1958" t="s">
        <v>43</v>
      </c>
      <c r="F1958">
        <v>0</v>
      </c>
      <c r="G1958">
        <f>INDEX(weekly!$E$2:$E$188,MATCH('Marketing Campaigns 22.11.22'!L1958,weekly!$H$2:$H$188,0))</f>
        <v>3859.7405792669151</v>
      </c>
      <c r="H1958">
        <f>INDEX(weekly!$D$2:$D$188,MATCH('Marketing Campaigns 22.11.22'!L1958,weekly!$H$2:$H$188,0))</f>
        <v>11845.561425537226</v>
      </c>
      <c r="I1958">
        <f>INDEX(weekly!$F$2:$F$188,MATCH('Marketing Campaigns 22.11.22'!L1958,weekly!$H$2:$H$188,0))</f>
        <v>5493.3061018141225</v>
      </c>
      <c r="J1958">
        <v>0</v>
      </c>
      <c r="K1958">
        <v>0</v>
      </c>
      <c r="L1958" t="str">
        <f t="shared" si="60"/>
        <v>26-6-2023</v>
      </c>
      <c r="M1958">
        <f t="shared" si="61"/>
        <v>2023</v>
      </c>
    </row>
    <row r="1959" spans="1:13" x14ac:dyDescent="0.2">
      <c r="A1959" s="1">
        <v>45103</v>
      </c>
      <c r="B1959">
        <v>26</v>
      </c>
      <c r="C1959">
        <v>6</v>
      </c>
      <c r="D1959">
        <v>2</v>
      </c>
      <c r="E1959" t="s">
        <v>44</v>
      </c>
      <c r="F1959">
        <v>0</v>
      </c>
      <c r="G1959">
        <f>INDEX(weekly!$E$2:$E$188,MATCH('Marketing Campaigns 22.11.22'!L1959,weekly!$H$2:$H$188,0))</f>
        <v>3859.7405792669151</v>
      </c>
      <c r="H1959">
        <f>INDEX(weekly!$D$2:$D$188,MATCH('Marketing Campaigns 22.11.22'!L1959,weekly!$H$2:$H$188,0))</f>
        <v>11845.561425537226</v>
      </c>
      <c r="I1959">
        <f>INDEX(weekly!$F$2:$F$188,MATCH('Marketing Campaigns 22.11.22'!L1959,weekly!$H$2:$H$188,0))</f>
        <v>5493.3061018141225</v>
      </c>
      <c r="J1959">
        <v>0</v>
      </c>
      <c r="K1959">
        <v>0</v>
      </c>
      <c r="L1959" t="str">
        <f t="shared" si="60"/>
        <v>26-6-2023</v>
      </c>
      <c r="M1959">
        <f t="shared" si="61"/>
        <v>2023</v>
      </c>
    </row>
    <row r="1960" spans="1:13" x14ac:dyDescent="0.2">
      <c r="A1960" s="1">
        <v>45103</v>
      </c>
      <c r="B1960">
        <v>26</v>
      </c>
      <c r="C1960">
        <v>6</v>
      </c>
      <c r="D1960">
        <v>2</v>
      </c>
      <c r="E1960" t="s">
        <v>45</v>
      </c>
      <c r="F1960">
        <v>0</v>
      </c>
      <c r="G1960">
        <f>INDEX(weekly!$E$2:$E$188,MATCH('Marketing Campaigns 22.11.22'!L1960,weekly!$H$2:$H$188,0))</f>
        <v>3859.7405792669151</v>
      </c>
      <c r="H1960">
        <f>INDEX(weekly!$D$2:$D$188,MATCH('Marketing Campaigns 22.11.22'!L1960,weekly!$H$2:$H$188,0))</f>
        <v>11845.561425537226</v>
      </c>
      <c r="I1960">
        <f>INDEX(weekly!$F$2:$F$188,MATCH('Marketing Campaigns 22.11.22'!L1960,weekly!$H$2:$H$188,0))</f>
        <v>5493.3061018141225</v>
      </c>
      <c r="J1960">
        <v>0</v>
      </c>
      <c r="K1960">
        <v>0</v>
      </c>
      <c r="L1960" t="str">
        <f t="shared" si="60"/>
        <v>26-6-2023</v>
      </c>
      <c r="M1960">
        <f t="shared" si="61"/>
        <v>2023</v>
      </c>
    </row>
    <row r="1961" spans="1:13" x14ac:dyDescent="0.2">
      <c r="A1961" s="1">
        <v>45103</v>
      </c>
      <c r="B1961">
        <v>26</v>
      </c>
      <c r="C1961">
        <v>6</v>
      </c>
      <c r="D1961">
        <v>2</v>
      </c>
      <c r="E1961" t="s">
        <v>46</v>
      </c>
      <c r="F1961">
        <v>0</v>
      </c>
      <c r="G1961">
        <f>INDEX(weekly!$E$2:$E$188,MATCH('Marketing Campaigns 22.11.22'!L1961,weekly!$H$2:$H$188,0))</f>
        <v>3859.7405792669151</v>
      </c>
      <c r="H1961">
        <f>INDEX(weekly!$D$2:$D$188,MATCH('Marketing Campaigns 22.11.22'!L1961,weekly!$H$2:$H$188,0))</f>
        <v>11845.561425537226</v>
      </c>
      <c r="I1961">
        <f>INDEX(weekly!$F$2:$F$188,MATCH('Marketing Campaigns 22.11.22'!L1961,weekly!$H$2:$H$188,0))</f>
        <v>5493.3061018141225</v>
      </c>
      <c r="J1961">
        <v>0</v>
      </c>
      <c r="K1961">
        <v>0</v>
      </c>
      <c r="L1961" t="str">
        <f t="shared" si="60"/>
        <v>26-6-2023</v>
      </c>
      <c r="M1961">
        <f t="shared" si="61"/>
        <v>2023</v>
      </c>
    </row>
    <row r="1962" spans="1:13" x14ac:dyDescent="0.2">
      <c r="A1962" s="1">
        <v>45103</v>
      </c>
      <c r="B1962">
        <v>26</v>
      </c>
      <c r="C1962">
        <v>6</v>
      </c>
      <c r="D1962">
        <v>2</v>
      </c>
      <c r="E1962" t="s">
        <v>47</v>
      </c>
      <c r="F1962">
        <v>0</v>
      </c>
      <c r="G1962">
        <f>INDEX(weekly!$E$2:$E$188,MATCH('Marketing Campaigns 22.11.22'!L1962,weekly!$H$2:$H$188,0))</f>
        <v>3859.7405792669151</v>
      </c>
      <c r="H1962">
        <f>INDEX(weekly!$D$2:$D$188,MATCH('Marketing Campaigns 22.11.22'!L1962,weekly!$H$2:$H$188,0))</f>
        <v>11845.561425537226</v>
      </c>
      <c r="I1962">
        <f>INDEX(weekly!$F$2:$F$188,MATCH('Marketing Campaigns 22.11.22'!L1962,weekly!$H$2:$H$188,0))</f>
        <v>5493.3061018141225</v>
      </c>
      <c r="J1962">
        <v>0</v>
      </c>
      <c r="K1962">
        <v>0</v>
      </c>
      <c r="L1962" t="str">
        <f t="shared" si="60"/>
        <v>26-6-2023</v>
      </c>
      <c r="M1962">
        <f t="shared" si="61"/>
        <v>2023</v>
      </c>
    </row>
    <row r="1963" spans="1:13" x14ac:dyDescent="0.2">
      <c r="A1963" s="1">
        <v>45103</v>
      </c>
      <c r="B1963">
        <v>26</v>
      </c>
      <c r="C1963">
        <v>6</v>
      </c>
      <c r="D1963">
        <v>2</v>
      </c>
      <c r="E1963" t="s">
        <v>48</v>
      </c>
      <c r="F1963">
        <v>0</v>
      </c>
      <c r="G1963">
        <f>INDEX(weekly!$E$2:$E$188,MATCH('Marketing Campaigns 22.11.22'!L1963,weekly!$H$2:$H$188,0))</f>
        <v>3859.7405792669151</v>
      </c>
      <c r="H1963">
        <f>INDEX(weekly!$D$2:$D$188,MATCH('Marketing Campaigns 22.11.22'!L1963,weekly!$H$2:$H$188,0))</f>
        <v>11845.561425537226</v>
      </c>
      <c r="I1963">
        <f>INDEX(weekly!$F$2:$F$188,MATCH('Marketing Campaigns 22.11.22'!L1963,weekly!$H$2:$H$188,0))</f>
        <v>5493.3061018141225</v>
      </c>
      <c r="J1963">
        <v>0</v>
      </c>
      <c r="K1963">
        <v>0</v>
      </c>
      <c r="L1963" t="str">
        <f t="shared" si="60"/>
        <v>26-6-2023</v>
      </c>
      <c r="M1963">
        <f t="shared" si="61"/>
        <v>2023</v>
      </c>
    </row>
    <row r="1964" spans="1:13" x14ac:dyDescent="0.2">
      <c r="A1964" s="1">
        <v>45103</v>
      </c>
      <c r="B1964">
        <v>26</v>
      </c>
      <c r="C1964">
        <v>6</v>
      </c>
      <c r="D1964">
        <v>2</v>
      </c>
      <c r="E1964" t="s">
        <v>49</v>
      </c>
      <c r="F1964">
        <v>0</v>
      </c>
      <c r="G1964">
        <f>INDEX(weekly!$E$2:$E$188,MATCH('Marketing Campaigns 22.11.22'!L1964,weekly!$H$2:$H$188,0))</f>
        <v>3859.7405792669151</v>
      </c>
      <c r="H1964">
        <f>INDEX(weekly!$D$2:$D$188,MATCH('Marketing Campaigns 22.11.22'!L1964,weekly!$H$2:$H$188,0))</f>
        <v>11845.561425537226</v>
      </c>
      <c r="I1964">
        <f>INDEX(weekly!$F$2:$F$188,MATCH('Marketing Campaigns 22.11.22'!L1964,weekly!$H$2:$H$188,0))</f>
        <v>5493.3061018141225</v>
      </c>
      <c r="J1964">
        <v>0</v>
      </c>
      <c r="K1964">
        <v>0</v>
      </c>
      <c r="L1964" t="str">
        <f t="shared" si="60"/>
        <v>26-6-2023</v>
      </c>
      <c r="M1964">
        <f t="shared" si="61"/>
        <v>2023</v>
      </c>
    </row>
    <row r="1965" spans="1:13" x14ac:dyDescent="0.2">
      <c r="A1965" s="1">
        <v>45103</v>
      </c>
      <c r="B1965">
        <v>26</v>
      </c>
      <c r="C1965">
        <v>6</v>
      </c>
      <c r="D1965">
        <v>2</v>
      </c>
      <c r="E1965" t="s">
        <v>50</v>
      </c>
      <c r="F1965">
        <v>0</v>
      </c>
      <c r="G1965">
        <f>INDEX(weekly!$E$2:$E$188,MATCH('Marketing Campaigns 22.11.22'!L1965,weekly!$H$2:$H$188,0))</f>
        <v>3859.7405792669151</v>
      </c>
      <c r="H1965">
        <f>INDEX(weekly!$D$2:$D$188,MATCH('Marketing Campaigns 22.11.22'!L1965,weekly!$H$2:$H$188,0))</f>
        <v>11845.561425537226</v>
      </c>
      <c r="I1965">
        <f>INDEX(weekly!$F$2:$F$188,MATCH('Marketing Campaigns 22.11.22'!L1965,weekly!$H$2:$H$188,0))</f>
        <v>5493.3061018141225</v>
      </c>
      <c r="J1965">
        <v>0</v>
      </c>
      <c r="K1965">
        <v>0</v>
      </c>
      <c r="L1965" t="str">
        <f t="shared" si="60"/>
        <v>26-6-2023</v>
      </c>
      <c r="M1965">
        <f t="shared" si="61"/>
        <v>2023</v>
      </c>
    </row>
    <row r="1966" spans="1:13" x14ac:dyDescent="0.2">
      <c r="A1966" s="1">
        <v>45103</v>
      </c>
      <c r="B1966">
        <v>26</v>
      </c>
      <c r="C1966">
        <v>6</v>
      </c>
      <c r="D1966">
        <v>2</v>
      </c>
      <c r="E1966" t="s">
        <v>51</v>
      </c>
      <c r="F1966">
        <v>0</v>
      </c>
      <c r="G1966">
        <f>INDEX(weekly!$E$2:$E$188,MATCH('Marketing Campaigns 22.11.22'!L1966,weekly!$H$2:$H$188,0))</f>
        <v>3859.7405792669151</v>
      </c>
      <c r="H1966">
        <f>INDEX(weekly!$D$2:$D$188,MATCH('Marketing Campaigns 22.11.22'!L1966,weekly!$H$2:$H$188,0))</f>
        <v>11845.561425537226</v>
      </c>
      <c r="I1966">
        <f>INDEX(weekly!$F$2:$F$188,MATCH('Marketing Campaigns 22.11.22'!L1966,weekly!$H$2:$H$188,0))</f>
        <v>5493.3061018141225</v>
      </c>
      <c r="J1966">
        <v>0</v>
      </c>
      <c r="K1966">
        <v>0</v>
      </c>
      <c r="L1966" t="str">
        <f t="shared" si="60"/>
        <v>26-6-2023</v>
      </c>
      <c r="M1966">
        <f t="shared" si="61"/>
        <v>2023</v>
      </c>
    </row>
    <row r="1967" spans="1:13" x14ac:dyDescent="0.2">
      <c r="A1967" s="1">
        <v>45103</v>
      </c>
      <c r="B1967">
        <v>26</v>
      </c>
      <c r="C1967">
        <v>6</v>
      </c>
      <c r="D1967">
        <v>2</v>
      </c>
      <c r="E1967" t="s">
        <v>52</v>
      </c>
      <c r="F1967">
        <v>0</v>
      </c>
      <c r="G1967">
        <f>INDEX(weekly!$E$2:$E$188,MATCH('Marketing Campaigns 22.11.22'!L1967,weekly!$H$2:$H$188,0))</f>
        <v>3859.7405792669151</v>
      </c>
      <c r="H1967">
        <f>INDEX(weekly!$D$2:$D$188,MATCH('Marketing Campaigns 22.11.22'!L1967,weekly!$H$2:$H$188,0))</f>
        <v>11845.561425537226</v>
      </c>
      <c r="I1967">
        <f>INDEX(weekly!$F$2:$F$188,MATCH('Marketing Campaigns 22.11.22'!L1967,weekly!$H$2:$H$188,0))</f>
        <v>5493.3061018141225</v>
      </c>
      <c r="J1967">
        <v>0</v>
      </c>
      <c r="K1967">
        <v>0</v>
      </c>
      <c r="L1967" t="str">
        <f t="shared" si="60"/>
        <v>26-6-2023</v>
      </c>
      <c r="M1967">
        <f t="shared" si="61"/>
        <v>2023</v>
      </c>
    </row>
    <row r="1968" spans="1:13" x14ac:dyDescent="0.2">
      <c r="A1968" s="1">
        <f>DATE(2023, 1, -2) - WEEKDAY(DATE(2023, 1, 3)) + B1968 * 7</f>
        <v>45110</v>
      </c>
      <c r="B1968">
        <v>27</v>
      </c>
      <c r="C1968">
        <f>MONTH(A1968)</f>
        <v>7</v>
      </c>
      <c r="D1968">
        <f>CEILING(C1968 / 3,1)</f>
        <v>3</v>
      </c>
      <c r="E1968" t="s">
        <v>24</v>
      </c>
      <c r="F1968">
        <v>0</v>
      </c>
      <c r="G1968">
        <f>INDEX(weekly!$E$2:$E$188,MATCH('Marketing Campaigns 22.11.22'!L1968,weekly!$H$2:$H$188,0))</f>
        <v>5937.1359970023932</v>
      </c>
      <c r="H1968">
        <f>INDEX(weekly!$D$2:$D$188,MATCH('Marketing Campaigns 22.11.22'!L1968,weekly!$H$2:$H$188,0))</f>
        <v>17309.70360597028</v>
      </c>
      <c r="I1968">
        <f>INDEX(weekly!$F$2:$F$188,MATCH('Marketing Campaigns 22.11.22'!L1968,weekly!$H$2:$H$188,0))</f>
        <v>6353.2139167256564</v>
      </c>
      <c r="J1968">
        <v>0</v>
      </c>
      <c r="K1968">
        <v>0</v>
      </c>
      <c r="L1968" t="str">
        <f t="shared" si="60"/>
        <v>27-7-2023</v>
      </c>
      <c r="M1968">
        <f t="shared" si="61"/>
        <v>2023</v>
      </c>
    </row>
    <row r="1969" spans="1:13" x14ac:dyDescent="0.2">
      <c r="A1969" s="1">
        <f t="shared" ref="A1969:A2032" si="62">DATE(2023, 1, -2) - WEEKDAY(DATE(2023, 1, 3)) + B1969 * 7</f>
        <v>45110</v>
      </c>
      <c r="B1969">
        <v>27</v>
      </c>
      <c r="C1969">
        <f t="shared" ref="C1969:C2032" si="63">MONTH(A1969)</f>
        <v>7</v>
      </c>
      <c r="D1969">
        <f t="shared" ref="D1969:D2032" si="64">CEILING(C1969 / 3,1)</f>
        <v>3</v>
      </c>
      <c r="E1969" t="s">
        <v>39</v>
      </c>
      <c r="F1969">
        <v>0</v>
      </c>
      <c r="G1969">
        <f>INDEX(weekly!$E$2:$E$188,MATCH('Marketing Campaigns 22.11.22'!L1969,weekly!$H$2:$H$188,0))</f>
        <v>5937.1359970023932</v>
      </c>
      <c r="H1969">
        <f>INDEX(weekly!$D$2:$D$188,MATCH('Marketing Campaigns 22.11.22'!L1969,weekly!$H$2:$H$188,0))</f>
        <v>17309.70360597028</v>
      </c>
      <c r="I1969">
        <f>INDEX(weekly!$F$2:$F$188,MATCH('Marketing Campaigns 22.11.22'!L1969,weekly!$H$2:$H$188,0))</f>
        <v>6353.2139167256564</v>
      </c>
      <c r="J1969">
        <v>0</v>
      </c>
      <c r="K1969">
        <v>0</v>
      </c>
      <c r="L1969" t="str">
        <f t="shared" si="60"/>
        <v>27-7-2023</v>
      </c>
      <c r="M1969">
        <f t="shared" si="61"/>
        <v>2023</v>
      </c>
    </row>
    <row r="1970" spans="1:13" x14ac:dyDescent="0.2">
      <c r="A1970" s="1">
        <f t="shared" si="62"/>
        <v>45110</v>
      </c>
      <c r="B1970">
        <v>27</v>
      </c>
      <c r="C1970">
        <f t="shared" si="63"/>
        <v>7</v>
      </c>
      <c r="D1970">
        <f t="shared" si="64"/>
        <v>3</v>
      </c>
      <c r="E1970" t="s">
        <v>40</v>
      </c>
      <c r="F1970">
        <v>0</v>
      </c>
      <c r="G1970">
        <f>INDEX(weekly!$E$2:$E$188,MATCH('Marketing Campaigns 22.11.22'!L1970,weekly!$H$2:$H$188,0))</f>
        <v>5937.1359970023932</v>
      </c>
      <c r="H1970">
        <f>INDEX(weekly!$D$2:$D$188,MATCH('Marketing Campaigns 22.11.22'!L1970,weekly!$H$2:$H$188,0))</f>
        <v>17309.70360597028</v>
      </c>
      <c r="I1970">
        <f>INDEX(weekly!$F$2:$F$188,MATCH('Marketing Campaigns 22.11.22'!L1970,weekly!$H$2:$H$188,0))</f>
        <v>6353.2139167256564</v>
      </c>
      <c r="J1970">
        <v>0</v>
      </c>
      <c r="K1970">
        <v>0</v>
      </c>
      <c r="L1970" t="str">
        <f t="shared" si="60"/>
        <v>27-7-2023</v>
      </c>
      <c r="M1970">
        <f t="shared" si="61"/>
        <v>2023</v>
      </c>
    </row>
    <row r="1971" spans="1:13" x14ac:dyDescent="0.2">
      <c r="A1971" s="1">
        <f t="shared" si="62"/>
        <v>45110</v>
      </c>
      <c r="B1971">
        <v>27</v>
      </c>
      <c r="C1971">
        <f t="shared" si="63"/>
        <v>7</v>
      </c>
      <c r="D1971">
        <f t="shared" si="64"/>
        <v>3</v>
      </c>
      <c r="E1971" t="s">
        <v>41</v>
      </c>
      <c r="F1971">
        <v>0</v>
      </c>
      <c r="G1971">
        <f>INDEX(weekly!$E$2:$E$188,MATCH('Marketing Campaigns 22.11.22'!L1971,weekly!$H$2:$H$188,0))</f>
        <v>5937.1359970023932</v>
      </c>
      <c r="H1971">
        <f>INDEX(weekly!$D$2:$D$188,MATCH('Marketing Campaigns 22.11.22'!L1971,weekly!$H$2:$H$188,0))</f>
        <v>17309.70360597028</v>
      </c>
      <c r="I1971">
        <f>INDEX(weekly!$F$2:$F$188,MATCH('Marketing Campaigns 22.11.22'!L1971,weekly!$H$2:$H$188,0))</f>
        <v>6353.2139167256564</v>
      </c>
      <c r="J1971">
        <v>0</v>
      </c>
      <c r="K1971">
        <v>0</v>
      </c>
      <c r="L1971" t="str">
        <f t="shared" si="60"/>
        <v>27-7-2023</v>
      </c>
      <c r="M1971">
        <f t="shared" si="61"/>
        <v>2023</v>
      </c>
    </row>
    <row r="1972" spans="1:13" x14ac:dyDescent="0.2">
      <c r="A1972" s="1">
        <f t="shared" si="62"/>
        <v>45110</v>
      </c>
      <c r="B1972">
        <v>27</v>
      </c>
      <c r="C1972">
        <f t="shared" si="63"/>
        <v>7</v>
      </c>
      <c r="D1972">
        <f t="shared" si="64"/>
        <v>3</v>
      </c>
      <c r="E1972" t="s">
        <v>42</v>
      </c>
      <c r="F1972">
        <v>0</v>
      </c>
      <c r="G1972">
        <f>INDEX(weekly!$E$2:$E$188,MATCH('Marketing Campaigns 22.11.22'!L1972,weekly!$H$2:$H$188,0))</f>
        <v>5937.1359970023932</v>
      </c>
      <c r="H1972">
        <f>INDEX(weekly!$D$2:$D$188,MATCH('Marketing Campaigns 22.11.22'!L1972,weekly!$H$2:$H$188,0))</f>
        <v>17309.70360597028</v>
      </c>
      <c r="I1972">
        <f>INDEX(weekly!$F$2:$F$188,MATCH('Marketing Campaigns 22.11.22'!L1972,weekly!$H$2:$H$188,0))</f>
        <v>6353.2139167256564</v>
      </c>
      <c r="J1972">
        <v>0</v>
      </c>
      <c r="K1972">
        <v>0</v>
      </c>
      <c r="L1972" t="str">
        <f t="shared" si="60"/>
        <v>27-7-2023</v>
      </c>
      <c r="M1972">
        <f t="shared" si="61"/>
        <v>2023</v>
      </c>
    </row>
    <row r="1973" spans="1:13" x14ac:dyDescent="0.2">
      <c r="A1973" s="1">
        <f t="shared" si="62"/>
        <v>45110</v>
      </c>
      <c r="B1973">
        <v>27</v>
      </c>
      <c r="C1973">
        <f t="shared" si="63"/>
        <v>7</v>
      </c>
      <c r="D1973">
        <f t="shared" si="64"/>
        <v>3</v>
      </c>
      <c r="E1973" t="s">
        <v>43</v>
      </c>
      <c r="F1973">
        <v>0</v>
      </c>
      <c r="G1973">
        <f>INDEX(weekly!$E$2:$E$188,MATCH('Marketing Campaigns 22.11.22'!L1973,weekly!$H$2:$H$188,0))</f>
        <v>5937.1359970023932</v>
      </c>
      <c r="H1973">
        <f>INDEX(weekly!$D$2:$D$188,MATCH('Marketing Campaigns 22.11.22'!L1973,weekly!$H$2:$H$188,0))</f>
        <v>17309.70360597028</v>
      </c>
      <c r="I1973">
        <f>INDEX(weekly!$F$2:$F$188,MATCH('Marketing Campaigns 22.11.22'!L1973,weekly!$H$2:$H$188,0))</f>
        <v>6353.2139167256564</v>
      </c>
      <c r="J1973">
        <v>0</v>
      </c>
      <c r="K1973">
        <v>0</v>
      </c>
      <c r="L1973" t="str">
        <f t="shared" si="60"/>
        <v>27-7-2023</v>
      </c>
      <c r="M1973">
        <f t="shared" si="61"/>
        <v>2023</v>
      </c>
    </row>
    <row r="1974" spans="1:13" x14ac:dyDescent="0.2">
      <c r="A1974" s="1">
        <f t="shared" si="62"/>
        <v>45110</v>
      </c>
      <c r="B1974">
        <v>27</v>
      </c>
      <c r="C1974">
        <f t="shared" si="63"/>
        <v>7</v>
      </c>
      <c r="D1974">
        <f t="shared" si="64"/>
        <v>3</v>
      </c>
      <c r="E1974" t="s">
        <v>44</v>
      </c>
      <c r="F1974">
        <v>0</v>
      </c>
      <c r="G1974">
        <f>INDEX(weekly!$E$2:$E$188,MATCH('Marketing Campaigns 22.11.22'!L1974,weekly!$H$2:$H$188,0))</f>
        <v>5937.1359970023932</v>
      </c>
      <c r="H1974">
        <f>INDEX(weekly!$D$2:$D$188,MATCH('Marketing Campaigns 22.11.22'!L1974,weekly!$H$2:$H$188,0))</f>
        <v>17309.70360597028</v>
      </c>
      <c r="I1974">
        <f>INDEX(weekly!$F$2:$F$188,MATCH('Marketing Campaigns 22.11.22'!L1974,weekly!$H$2:$H$188,0))</f>
        <v>6353.2139167256564</v>
      </c>
      <c r="J1974">
        <v>0</v>
      </c>
      <c r="K1974">
        <v>0</v>
      </c>
      <c r="L1974" t="str">
        <f t="shared" si="60"/>
        <v>27-7-2023</v>
      </c>
      <c r="M1974">
        <f t="shared" si="61"/>
        <v>2023</v>
      </c>
    </row>
    <row r="1975" spans="1:13" x14ac:dyDescent="0.2">
      <c r="A1975" s="1">
        <f t="shared" si="62"/>
        <v>45110</v>
      </c>
      <c r="B1975">
        <v>27</v>
      </c>
      <c r="C1975">
        <f t="shared" si="63"/>
        <v>7</v>
      </c>
      <c r="D1975">
        <f t="shared" si="64"/>
        <v>3</v>
      </c>
      <c r="E1975" t="s">
        <v>45</v>
      </c>
      <c r="F1975">
        <v>0</v>
      </c>
      <c r="G1975">
        <f>INDEX(weekly!$E$2:$E$188,MATCH('Marketing Campaigns 22.11.22'!L1975,weekly!$H$2:$H$188,0))</f>
        <v>5937.1359970023932</v>
      </c>
      <c r="H1975">
        <f>INDEX(weekly!$D$2:$D$188,MATCH('Marketing Campaigns 22.11.22'!L1975,weekly!$H$2:$H$188,0))</f>
        <v>17309.70360597028</v>
      </c>
      <c r="I1975">
        <f>INDEX(weekly!$F$2:$F$188,MATCH('Marketing Campaigns 22.11.22'!L1975,weekly!$H$2:$H$188,0))</f>
        <v>6353.2139167256564</v>
      </c>
      <c r="J1975">
        <v>0</v>
      </c>
      <c r="K1975">
        <v>0</v>
      </c>
      <c r="L1975" t="str">
        <f t="shared" si="60"/>
        <v>27-7-2023</v>
      </c>
      <c r="M1975">
        <f t="shared" si="61"/>
        <v>2023</v>
      </c>
    </row>
    <row r="1976" spans="1:13" x14ac:dyDescent="0.2">
      <c r="A1976" s="1">
        <f t="shared" si="62"/>
        <v>45110</v>
      </c>
      <c r="B1976">
        <v>27</v>
      </c>
      <c r="C1976">
        <f t="shared" si="63"/>
        <v>7</v>
      </c>
      <c r="D1976">
        <f t="shared" si="64"/>
        <v>3</v>
      </c>
      <c r="E1976" t="s">
        <v>46</v>
      </c>
      <c r="F1976">
        <v>0</v>
      </c>
      <c r="G1976">
        <f>INDEX(weekly!$E$2:$E$188,MATCH('Marketing Campaigns 22.11.22'!L1976,weekly!$H$2:$H$188,0))</f>
        <v>5937.1359970023932</v>
      </c>
      <c r="H1976">
        <f>INDEX(weekly!$D$2:$D$188,MATCH('Marketing Campaigns 22.11.22'!L1976,weekly!$H$2:$H$188,0))</f>
        <v>17309.70360597028</v>
      </c>
      <c r="I1976">
        <f>INDEX(weekly!$F$2:$F$188,MATCH('Marketing Campaigns 22.11.22'!L1976,weekly!$H$2:$H$188,0))</f>
        <v>6353.2139167256564</v>
      </c>
      <c r="J1976">
        <v>0</v>
      </c>
      <c r="K1976">
        <v>0</v>
      </c>
      <c r="L1976" t="str">
        <f t="shared" si="60"/>
        <v>27-7-2023</v>
      </c>
      <c r="M1976">
        <f t="shared" si="61"/>
        <v>2023</v>
      </c>
    </row>
    <row r="1977" spans="1:13" x14ac:dyDescent="0.2">
      <c r="A1977" s="1">
        <f t="shared" si="62"/>
        <v>45110</v>
      </c>
      <c r="B1977">
        <v>27</v>
      </c>
      <c r="C1977">
        <f t="shared" si="63"/>
        <v>7</v>
      </c>
      <c r="D1977">
        <f t="shared" si="64"/>
        <v>3</v>
      </c>
      <c r="E1977" t="s">
        <v>47</v>
      </c>
      <c r="F1977">
        <v>0</v>
      </c>
      <c r="G1977">
        <f>INDEX(weekly!$E$2:$E$188,MATCH('Marketing Campaigns 22.11.22'!L1977,weekly!$H$2:$H$188,0))</f>
        <v>5937.1359970023932</v>
      </c>
      <c r="H1977">
        <f>INDEX(weekly!$D$2:$D$188,MATCH('Marketing Campaigns 22.11.22'!L1977,weekly!$H$2:$H$188,0))</f>
        <v>17309.70360597028</v>
      </c>
      <c r="I1977">
        <f>INDEX(weekly!$F$2:$F$188,MATCH('Marketing Campaigns 22.11.22'!L1977,weekly!$H$2:$H$188,0))</f>
        <v>6353.2139167256564</v>
      </c>
      <c r="J1977">
        <v>0</v>
      </c>
      <c r="K1977">
        <v>0</v>
      </c>
      <c r="L1977" t="str">
        <f t="shared" si="60"/>
        <v>27-7-2023</v>
      </c>
      <c r="M1977">
        <f t="shared" si="61"/>
        <v>2023</v>
      </c>
    </row>
    <row r="1978" spans="1:13" x14ac:dyDescent="0.2">
      <c r="A1978" s="1">
        <f t="shared" si="62"/>
        <v>45110</v>
      </c>
      <c r="B1978">
        <v>27</v>
      </c>
      <c r="C1978">
        <f t="shared" si="63"/>
        <v>7</v>
      </c>
      <c r="D1978">
        <f t="shared" si="64"/>
        <v>3</v>
      </c>
      <c r="E1978" t="s">
        <v>48</v>
      </c>
      <c r="F1978">
        <v>0</v>
      </c>
      <c r="G1978">
        <f>INDEX(weekly!$E$2:$E$188,MATCH('Marketing Campaigns 22.11.22'!L1978,weekly!$H$2:$H$188,0))</f>
        <v>5937.1359970023932</v>
      </c>
      <c r="H1978">
        <f>INDEX(weekly!$D$2:$D$188,MATCH('Marketing Campaigns 22.11.22'!L1978,weekly!$H$2:$H$188,0))</f>
        <v>17309.70360597028</v>
      </c>
      <c r="I1978">
        <f>INDEX(weekly!$F$2:$F$188,MATCH('Marketing Campaigns 22.11.22'!L1978,weekly!$H$2:$H$188,0))</f>
        <v>6353.2139167256564</v>
      </c>
      <c r="J1978">
        <v>0</v>
      </c>
      <c r="K1978">
        <v>0</v>
      </c>
      <c r="L1978" t="str">
        <f t="shared" si="60"/>
        <v>27-7-2023</v>
      </c>
      <c r="M1978">
        <f t="shared" si="61"/>
        <v>2023</v>
      </c>
    </row>
    <row r="1979" spans="1:13" x14ac:dyDescent="0.2">
      <c r="A1979" s="1">
        <f t="shared" si="62"/>
        <v>45110</v>
      </c>
      <c r="B1979">
        <v>27</v>
      </c>
      <c r="C1979">
        <f t="shared" si="63"/>
        <v>7</v>
      </c>
      <c r="D1979">
        <f t="shared" si="64"/>
        <v>3</v>
      </c>
      <c r="E1979" t="s">
        <v>49</v>
      </c>
      <c r="F1979">
        <v>0</v>
      </c>
      <c r="G1979">
        <f>INDEX(weekly!$E$2:$E$188,MATCH('Marketing Campaigns 22.11.22'!L1979,weekly!$H$2:$H$188,0))</f>
        <v>5937.1359970023932</v>
      </c>
      <c r="H1979">
        <f>INDEX(weekly!$D$2:$D$188,MATCH('Marketing Campaigns 22.11.22'!L1979,weekly!$H$2:$H$188,0))</f>
        <v>17309.70360597028</v>
      </c>
      <c r="I1979">
        <f>INDEX(weekly!$F$2:$F$188,MATCH('Marketing Campaigns 22.11.22'!L1979,weekly!$H$2:$H$188,0))</f>
        <v>6353.2139167256564</v>
      </c>
      <c r="J1979">
        <v>0</v>
      </c>
      <c r="K1979">
        <v>0</v>
      </c>
      <c r="L1979" t="str">
        <f t="shared" si="60"/>
        <v>27-7-2023</v>
      </c>
      <c r="M1979">
        <f t="shared" si="61"/>
        <v>2023</v>
      </c>
    </row>
    <row r="1980" spans="1:13" x14ac:dyDescent="0.2">
      <c r="A1980" s="1">
        <f t="shared" si="62"/>
        <v>45110</v>
      </c>
      <c r="B1980">
        <v>27</v>
      </c>
      <c r="C1980">
        <f t="shared" si="63"/>
        <v>7</v>
      </c>
      <c r="D1980">
        <f t="shared" si="64"/>
        <v>3</v>
      </c>
      <c r="E1980" t="s">
        <v>50</v>
      </c>
      <c r="F1980">
        <v>0</v>
      </c>
      <c r="G1980">
        <f>INDEX(weekly!$E$2:$E$188,MATCH('Marketing Campaigns 22.11.22'!L1980,weekly!$H$2:$H$188,0))</f>
        <v>5937.1359970023932</v>
      </c>
      <c r="H1980">
        <f>INDEX(weekly!$D$2:$D$188,MATCH('Marketing Campaigns 22.11.22'!L1980,weekly!$H$2:$H$188,0))</f>
        <v>17309.70360597028</v>
      </c>
      <c r="I1980">
        <f>INDEX(weekly!$F$2:$F$188,MATCH('Marketing Campaigns 22.11.22'!L1980,weekly!$H$2:$H$188,0))</f>
        <v>6353.2139167256564</v>
      </c>
      <c r="J1980">
        <v>0</v>
      </c>
      <c r="K1980">
        <v>0</v>
      </c>
      <c r="L1980" t="str">
        <f t="shared" si="60"/>
        <v>27-7-2023</v>
      </c>
      <c r="M1980">
        <f t="shared" si="61"/>
        <v>2023</v>
      </c>
    </row>
    <row r="1981" spans="1:13" x14ac:dyDescent="0.2">
      <c r="A1981" s="1">
        <f t="shared" si="62"/>
        <v>45110</v>
      </c>
      <c r="B1981">
        <v>27</v>
      </c>
      <c r="C1981">
        <f t="shared" si="63"/>
        <v>7</v>
      </c>
      <c r="D1981">
        <f t="shared" si="64"/>
        <v>3</v>
      </c>
      <c r="E1981" t="s">
        <v>51</v>
      </c>
      <c r="F1981">
        <v>0</v>
      </c>
      <c r="G1981">
        <f>INDEX(weekly!$E$2:$E$188,MATCH('Marketing Campaigns 22.11.22'!L1981,weekly!$H$2:$H$188,0))</f>
        <v>5937.1359970023932</v>
      </c>
      <c r="H1981">
        <f>INDEX(weekly!$D$2:$D$188,MATCH('Marketing Campaigns 22.11.22'!L1981,weekly!$H$2:$H$188,0))</f>
        <v>17309.70360597028</v>
      </c>
      <c r="I1981">
        <f>INDEX(weekly!$F$2:$F$188,MATCH('Marketing Campaigns 22.11.22'!L1981,weekly!$H$2:$H$188,0))</f>
        <v>6353.2139167256564</v>
      </c>
      <c r="J1981">
        <v>0</v>
      </c>
      <c r="K1981">
        <v>0</v>
      </c>
      <c r="L1981" t="str">
        <f t="shared" si="60"/>
        <v>27-7-2023</v>
      </c>
      <c r="M1981">
        <f t="shared" si="61"/>
        <v>2023</v>
      </c>
    </row>
    <row r="1982" spans="1:13" x14ac:dyDescent="0.2">
      <c r="A1982" s="1">
        <f t="shared" si="62"/>
        <v>45110</v>
      </c>
      <c r="B1982">
        <v>27</v>
      </c>
      <c r="C1982">
        <f t="shared" si="63"/>
        <v>7</v>
      </c>
      <c r="D1982">
        <f t="shared" si="64"/>
        <v>3</v>
      </c>
      <c r="E1982" t="s">
        <v>52</v>
      </c>
      <c r="F1982">
        <v>0</v>
      </c>
      <c r="G1982">
        <f>INDEX(weekly!$E$2:$E$188,MATCH('Marketing Campaigns 22.11.22'!L1982,weekly!$H$2:$H$188,0))</f>
        <v>5937.1359970023932</v>
      </c>
      <c r="H1982">
        <f>INDEX(weekly!$D$2:$D$188,MATCH('Marketing Campaigns 22.11.22'!L1982,weekly!$H$2:$H$188,0))</f>
        <v>17309.70360597028</v>
      </c>
      <c r="I1982">
        <f>INDEX(weekly!$F$2:$F$188,MATCH('Marketing Campaigns 22.11.22'!L1982,weekly!$H$2:$H$188,0))</f>
        <v>6353.2139167256564</v>
      </c>
      <c r="J1982">
        <v>0</v>
      </c>
      <c r="K1982">
        <v>0</v>
      </c>
      <c r="L1982" t="str">
        <f t="shared" si="60"/>
        <v>27-7-2023</v>
      </c>
      <c r="M1982">
        <f t="shared" si="61"/>
        <v>2023</v>
      </c>
    </row>
    <row r="1983" spans="1:13" x14ac:dyDescent="0.2">
      <c r="A1983" s="1">
        <f t="shared" si="62"/>
        <v>45117</v>
      </c>
      <c r="B1983">
        <f>IF(E1983="None",B1982+1,B1982)</f>
        <v>28</v>
      </c>
      <c r="C1983">
        <f t="shared" si="63"/>
        <v>7</v>
      </c>
      <c r="D1983">
        <f t="shared" si="64"/>
        <v>3</v>
      </c>
      <c r="E1983" t="s">
        <v>24</v>
      </c>
      <c r="F1983">
        <v>0</v>
      </c>
      <c r="G1983">
        <f>INDEX(weekly!$E$2:$E$188,MATCH('Marketing Campaigns 22.11.22'!L1983,weekly!$H$2:$H$188,0))</f>
        <v>5937.1359970023932</v>
      </c>
      <c r="H1983">
        <f>INDEX(weekly!$D$2:$D$188,MATCH('Marketing Campaigns 22.11.22'!L1983,weekly!$H$2:$H$188,0))</f>
        <v>17309.70360597028</v>
      </c>
      <c r="I1983">
        <f>INDEX(weekly!$F$2:$F$188,MATCH('Marketing Campaigns 22.11.22'!L1983,weekly!$H$2:$H$188,0))</f>
        <v>6353.2139167256564</v>
      </c>
      <c r="J1983">
        <v>0</v>
      </c>
      <c r="K1983">
        <v>0</v>
      </c>
      <c r="L1983" t="str">
        <f t="shared" si="60"/>
        <v>28-7-2023</v>
      </c>
      <c r="M1983">
        <f t="shared" si="61"/>
        <v>2023</v>
      </c>
    </row>
    <row r="1984" spans="1:13" x14ac:dyDescent="0.2">
      <c r="A1984" s="1">
        <f t="shared" si="62"/>
        <v>45117</v>
      </c>
      <c r="B1984">
        <f t="shared" ref="B1984:B2047" si="65">IF(E1984="None",B1983+1,B1983)</f>
        <v>28</v>
      </c>
      <c r="C1984">
        <f t="shared" si="63"/>
        <v>7</v>
      </c>
      <c r="D1984">
        <f t="shared" si="64"/>
        <v>3</v>
      </c>
      <c r="E1984" t="s">
        <v>39</v>
      </c>
      <c r="F1984">
        <v>0</v>
      </c>
      <c r="G1984">
        <f>INDEX(weekly!$E$2:$E$188,MATCH('Marketing Campaigns 22.11.22'!L1984,weekly!$H$2:$H$188,0))</f>
        <v>5937.1359970023932</v>
      </c>
      <c r="H1984">
        <f>INDEX(weekly!$D$2:$D$188,MATCH('Marketing Campaigns 22.11.22'!L1984,weekly!$H$2:$H$188,0))</f>
        <v>17309.70360597028</v>
      </c>
      <c r="I1984">
        <f>INDEX(weekly!$F$2:$F$188,MATCH('Marketing Campaigns 22.11.22'!L1984,weekly!$H$2:$H$188,0))</f>
        <v>6353.2139167256564</v>
      </c>
      <c r="J1984">
        <v>0</v>
      </c>
      <c r="K1984">
        <v>0</v>
      </c>
      <c r="L1984" t="str">
        <f t="shared" si="60"/>
        <v>28-7-2023</v>
      </c>
      <c r="M1984">
        <f t="shared" si="61"/>
        <v>2023</v>
      </c>
    </row>
    <row r="1985" spans="1:13" x14ac:dyDescent="0.2">
      <c r="A1985" s="1">
        <f t="shared" si="62"/>
        <v>45117</v>
      </c>
      <c r="B1985">
        <f t="shared" si="65"/>
        <v>28</v>
      </c>
      <c r="C1985">
        <f t="shared" si="63"/>
        <v>7</v>
      </c>
      <c r="D1985">
        <f t="shared" si="64"/>
        <v>3</v>
      </c>
      <c r="E1985" t="s">
        <v>40</v>
      </c>
      <c r="F1985">
        <v>0</v>
      </c>
      <c r="G1985">
        <f>INDEX(weekly!$E$2:$E$188,MATCH('Marketing Campaigns 22.11.22'!L1985,weekly!$H$2:$H$188,0))</f>
        <v>5937.1359970023932</v>
      </c>
      <c r="H1985">
        <f>INDEX(weekly!$D$2:$D$188,MATCH('Marketing Campaigns 22.11.22'!L1985,weekly!$H$2:$H$188,0))</f>
        <v>17309.70360597028</v>
      </c>
      <c r="I1985">
        <f>INDEX(weekly!$F$2:$F$188,MATCH('Marketing Campaigns 22.11.22'!L1985,weekly!$H$2:$H$188,0))</f>
        <v>6353.2139167256564</v>
      </c>
      <c r="J1985">
        <v>0</v>
      </c>
      <c r="K1985">
        <v>0</v>
      </c>
      <c r="L1985" t="str">
        <f t="shared" si="60"/>
        <v>28-7-2023</v>
      </c>
      <c r="M1985">
        <f t="shared" si="61"/>
        <v>2023</v>
      </c>
    </row>
    <row r="1986" spans="1:13" x14ac:dyDescent="0.2">
      <c r="A1986" s="1">
        <f t="shared" si="62"/>
        <v>45117</v>
      </c>
      <c r="B1986">
        <f t="shared" si="65"/>
        <v>28</v>
      </c>
      <c r="C1986">
        <f t="shared" si="63"/>
        <v>7</v>
      </c>
      <c r="D1986">
        <f t="shared" si="64"/>
        <v>3</v>
      </c>
      <c r="E1986" t="s">
        <v>41</v>
      </c>
      <c r="F1986">
        <v>0</v>
      </c>
      <c r="G1986">
        <f>INDEX(weekly!$E$2:$E$188,MATCH('Marketing Campaigns 22.11.22'!L1986,weekly!$H$2:$H$188,0))</f>
        <v>5937.1359970023932</v>
      </c>
      <c r="H1986">
        <f>INDEX(weekly!$D$2:$D$188,MATCH('Marketing Campaigns 22.11.22'!L1986,weekly!$H$2:$H$188,0))</f>
        <v>17309.70360597028</v>
      </c>
      <c r="I1986">
        <f>INDEX(weekly!$F$2:$F$188,MATCH('Marketing Campaigns 22.11.22'!L1986,weekly!$H$2:$H$188,0))</f>
        <v>6353.2139167256564</v>
      </c>
      <c r="J1986">
        <v>0</v>
      </c>
      <c r="K1986">
        <v>0</v>
      </c>
      <c r="L1986" t="str">
        <f t="shared" si="60"/>
        <v>28-7-2023</v>
      </c>
      <c r="M1986">
        <f t="shared" si="61"/>
        <v>2023</v>
      </c>
    </row>
    <row r="1987" spans="1:13" x14ac:dyDescent="0.2">
      <c r="A1987" s="1">
        <f t="shared" si="62"/>
        <v>45117</v>
      </c>
      <c r="B1987">
        <f t="shared" si="65"/>
        <v>28</v>
      </c>
      <c r="C1987">
        <f t="shared" si="63"/>
        <v>7</v>
      </c>
      <c r="D1987">
        <f t="shared" si="64"/>
        <v>3</v>
      </c>
      <c r="E1987" t="s">
        <v>42</v>
      </c>
      <c r="F1987">
        <v>0</v>
      </c>
      <c r="G1987">
        <f>INDEX(weekly!$E$2:$E$188,MATCH('Marketing Campaigns 22.11.22'!L1987,weekly!$H$2:$H$188,0))</f>
        <v>5937.1359970023932</v>
      </c>
      <c r="H1987">
        <f>INDEX(weekly!$D$2:$D$188,MATCH('Marketing Campaigns 22.11.22'!L1987,weekly!$H$2:$H$188,0))</f>
        <v>17309.70360597028</v>
      </c>
      <c r="I1987">
        <f>INDEX(weekly!$F$2:$F$188,MATCH('Marketing Campaigns 22.11.22'!L1987,weekly!$H$2:$H$188,0))</f>
        <v>6353.2139167256564</v>
      </c>
      <c r="J1987">
        <v>0</v>
      </c>
      <c r="K1987">
        <v>0</v>
      </c>
      <c r="L1987" t="str">
        <f t="shared" si="60"/>
        <v>28-7-2023</v>
      </c>
      <c r="M1987">
        <f t="shared" si="61"/>
        <v>2023</v>
      </c>
    </row>
    <row r="1988" spans="1:13" x14ac:dyDescent="0.2">
      <c r="A1988" s="1">
        <f t="shared" si="62"/>
        <v>45117</v>
      </c>
      <c r="B1988">
        <f t="shared" si="65"/>
        <v>28</v>
      </c>
      <c r="C1988">
        <f t="shared" si="63"/>
        <v>7</v>
      </c>
      <c r="D1988">
        <f t="shared" si="64"/>
        <v>3</v>
      </c>
      <c r="E1988" t="s">
        <v>43</v>
      </c>
      <c r="F1988">
        <v>0</v>
      </c>
      <c r="G1988">
        <f>INDEX(weekly!$E$2:$E$188,MATCH('Marketing Campaigns 22.11.22'!L1988,weekly!$H$2:$H$188,0))</f>
        <v>5937.1359970023932</v>
      </c>
      <c r="H1988">
        <f>INDEX(weekly!$D$2:$D$188,MATCH('Marketing Campaigns 22.11.22'!L1988,weekly!$H$2:$H$188,0))</f>
        <v>17309.70360597028</v>
      </c>
      <c r="I1988">
        <f>INDEX(weekly!$F$2:$F$188,MATCH('Marketing Campaigns 22.11.22'!L1988,weekly!$H$2:$H$188,0))</f>
        <v>6353.2139167256564</v>
      </c>
      <c r="J1988">
        <v>0</v>
      </c>
      <c r="K1988">
        <v>0</v>
      </c>
      <c r="L1988" t="str">
        <f t="shared" ref="L1988:L2051" si="66">B1988&amp;"-"&amp;C1988&amp;"-"&amp;M1988</f>
        <v>28-7-2023</v>
      </c>
      <c r="M1988">
        <f t="shared" ref="M1988:M2051" si="67">YEAR(A1988)</f>
        <v>2023</v>
      </c>
    </row>
    <row r="1989" spans="1:13" x14ac:dyDescent="0.2">
      <c r="A1989" s="1">
        <f t="shared" si="62"/>
        <v>45117</v>
      </c>
      <c r="B1989">
        <f t="shared" si="65"/>
        <v>28</v>
      </c>
      <c r="C1989">
        <f t="shared" si="63"/>
        <v>7</v>
      </c>
      <c r="D1989">
        <f t="shared" si="64"/>
        <v>3</v>
      </c>
      <c r="E1989" t="s">
        <v>44</v>
      </c>
      <c r="F1989">
        <v>0</v>
      </c>
      <c r="G1989">
        <f>INDEX(weekly!$E$2:$E$188,MATCH('Marketing Campaigns 22.11.22'!L1989,weekly!$H$2:$H$188,0))</f>
        <v>5937.1359970023932</v>
      </c>
      <c r="H1989">
        <f>INDEX(weekly!$D$2:$D$188,MATCH('Marketing Campaigns 22.11.22'!L1989,weekly!$H$2:$H$188,0))</f>
        <v>17309.70360597028</v>
      </c>
      <c r="I1989">
        <f>INDEX(weekly!$F$2:$F$188,MATCH('Marketing Campaigns 22.11.22'!L1989,weekly!$H$2:$H$188,0))</f>
        <v>6353.2139167256564</v>
      </c>
      <c r="J1989">
        <v>0</v>
      </c>
      <c r="K1989">
        <v>0</v>
      </c>
      <c r="L1989" t="str">
        <f t="shared" si="66"/>
        <v>28-7-2023</v>
      </c>
      <c r="M1989">
        <f t="shared" si="67"/>
        <v>2023</v>
      </c>
    </row>
    <row r="1990" spans="1:13" x14ac:dyDescent="0.2">
      <c r="A1990" s="1">
        <f t="shared" si="62"/>
        <v>45117</v>
      </c>
      <c r="B1990">
        <f t="shared" si="65"/>
        <v>28</v>
      </c>
      <c r="C1990">
        <f t="shared" si="63"/>
        <v>7</v>
      </c>
      <c r="D1990">
        <f t="shared" si="64"/>
        <v>3</v>
      </c>
      <c r="E1990" t="s">
        <v>45</v>
      </c>
      <c r="F1990">
        <v>0</v>
      </c>
      <c r="G1990">
        <f>INDEX(weekly!$E$2:$E$188,MATCH('Marketing Campaigns 22.11.22'!L1990,weekly!$H$2:$H$188,0))</f>
        <v>5937.1359970023932</v>
      </c>
      <c r="H1990">
        <f>INDEX(weekly!$D$2:$D$188,MATCH('Marketing Campaigns 22.11.22'!L1990,weekly!$H$2:$H$188,0))</f>
        <v>17309.70360597028</v>
      </c>
      <c r="I1990">
        <f>INDEX(weekly!$F$2:$F$188,MATCH('Marketing Campaigns 22.11.22'!L1990,weekly!$H$2:$H$188,0))</f>
        <v>6353.2139167256564</v>
      </c>
      <c r="J1990">
        <v>0</v>
      </c>
      <c r="K1990">
        <v>0</v>
      </c>
      <c r="L1990" t="str">
        <f t="shared" si="66"/>
        <v>28-7-2023</v>
      </c>
      <c r="M1990">
        <f t="shared" si="67"/>
        <v>2023</v>
      </c>
    </row>
    <row r="1991" spans="1:13" x14ac:dyDescent="0.2">
      <c r="A1991" s="1">
        <f t="shared" si="62"/>
        <v>45117</v>
      </c>
      <c r="B1991">
        <f t="shared" si="65"/>
        <v>28</v>
      </c>
      <c r="C1991">
        <f t="shared" si="63"/>
        <v>7</v>
      </c>
      <c r="D1991">
        <f t="shared" si="64"/>
        <v>3</v>
      </c>
      <c r="E1991" t="s">
        <v>46</v>
      </c>
      <c r="F1991">
        <v>0</v>
      </c>
      <c r="G1991">
        <f>INDEX(weekly!$E$2:$E$188,MATCH('Marketing Campaigns 22.11.22'!L1991,weekly!$H$2:$H$188,0))</f>
        <v>5937.1359970023932</v>
      </c>
      <c r="H1991">
        <f>INDEX(weekly!$D$2:$D$188,MATCH('Marketing Campaigns 22.11.22'!L1991,weekly!$H$2:$H$188,0))</f>
        <v>17309.70360597028</v>
      </c>
      <c r="I1991">
        <f>INDEX(weekly!$F$2:$F$188,MATCH('Marketing Campaigns 22.11.22'!L1991,weekly!$H$2:$H$188,0))</f>
        <v>6353.2139167256564</v>
      </c>
      <c r="J1991">
        <v>0</v>
      </c>
      <c r="K1991">
        <v>0</v>
      </c>
      <c r="L1991" t="str">
        <f t="shared" si="66"/>
        <v>28-7-2023</v>
      </c>
      <c r="M1991">
        <f t="shared" si="67"/>
        <v>2023</v>
      </c>
    </row>
    <row r="1992" spans="1:13" x14ac:dyDescent="0.2">
      <c r="A1992" s="1">
        <f t="shared" si="62"/>
        <v>45117</v>
      </c>
      <c r="B1992">
        <f t="shared" si="65"/>
        <v>28</v>
      </c>
      <c r="C1992">
        <f t="shared" si="63"/>
        <v>7</v>
      </c>
      <c r="D1992">
        <f t="shared" si="64"/>
        <v>3</v>
      </c>
      <c r="E1992" t="s">
        <v>47</v>
      </c>
      <c r="F1992">
        <v>0</v>
      </c>
      <c r="G1992">
        <f>INDEX(weekly!$E$2:$E$188,MATCH('Marketing Campaigns 22.11.22'!L1992,weekly!$H$2:$H$188,0))</f>
        <v>5937.1359970023932</v>
      </c>
      <c r="H1992">
        <f>INDEX(weekly!$D$2:$D$188,MATCH('Marketing Campaigns 22.11.22'!L1992,weekly!$H$2:$H$188,0))</f>
        <v>17309.70360597028</v>
      </c>
      <c r="I1992">
        <f>INDEX(weekly!$F$2:$F$188,MATCH('Marketing Campaigns 22.11.22'!L1992,weekly!$H$2:$H$188,0))</f>
        <v>6353.2139167256564</v>
      </c>
      <c r="J1992">
        <v>0</v>
      </c>
      <c r="K1992">
        <v>0</v>
      </c>
      <c r="L1992" t="str">
        <f t="shared" si="66"/>
        <v>28-7-2023</v>
      </c>
      <c r="M1992">
        <f t="shared" si="67"/>
        <v>2023</v>
      </c>
    </row>
    <row r="1993" spans="1:13" x14ac:dyDescent="0.2">
      <c r="A1993" s="1">
        <f t="shared" si="62"/>
        <v>45117</v>
      </c>
      <c r="B1993">
        <f t="shared" si="65"/>
        <v>28</v>
      </c>
      <c r="C1993">
        <f t="shared" si="63"/>
        <v>7</v>
      </c>
      <c r="D1993">
        <f t="shared" si="64"/>
        <v>3</v>
      </c>
      <c r="E1993" t="s">
        <v>48</v>
      </c>
      <c r="F1993">
        <v>0</v>
      </c>
      <c r="G1993">
        <f>INDEX(weekly!$E$2:$E$188,MATCH('Marketing Campaigns 22.11.22'!L1993,weekly!$H$2:$H$188,0))</f>
        <v>5937.1359970023932</v>
      </c>
      <c r="H1993">
        <f>INDEX(weekly!$D$2:$D$188,MATCH('Marketing Campaigns 22.11.22'!L1993,weekly!$H$2:$H$188,0))</f>
        <v>17309.70360597028</v>
      </c>
      <c r="I1993">
        <f>INDEX(weekly!$F$2:$F$188,MATCH('Marketing Campaigns 22.11.22'!L1993,weekly!$H$2:$H$188,0))</f>
        <v>6353.2139167256564</v>
      </c>
      <c r="J1993">
        <v>0</v>
      </c>
      <c r="K1993">
        <v>0</v>
      </c>
      <c r="L1993" t="str">
        <f t="shared" si="66"/>
        <v>28-7-2023</v>
      </c>
      <c r="M1993">
        <f t="shared" si="67"/>
        <v>2023</v>
      </c>
    </row>
    <row r="1994" spans="1:13" x14ac:dyDescent="0.2">
      <c r="A1994" s="1">
        <f t="shared" si="62"/>
        <v>45117</v>
      </c>
      <c r="B1994">
        <f t="shared" si="65"/>
        <v>28</v>
      </c>
      <c r="C1994">
        <f t="shared" si="63"/>
        <v>7</v>
      </c>
      <c r="D1994">
        <f t="shared" si="64"/>
        <v>3</v>
      </c>
      <c r="E1994" t="s">
        <v>49</v>
      </c>
      <c r="F1994">
        <v>0</v>
      </c>
      <c r="G1994">
        <f>INDEX(weekly!$E$2:$E$188,MATCH('Marketing Campaigns 22.11.22'!L1994,weekly!$H$2:$H$188,0))</f>
        <v>5937.1359970023932</v>
      </c>
      <c r="H1994">
        <f>INDEX(weekly!$D$2:$D$188,MATCH('Marketing Campaigns 22.11.22'!L1994,weekly!$H$2:$H$188,0))</f>
        <v>17309.70360597028</v>
      </c>
      <c r="I1994">
        <f>INDEX(weekly!$F$2:$F$188,MATCH('Marketing Campaigns 22.11.22'!L1994,weekly!$H$2:$H$188,0))</f>
        <v>6353.2139167256564</v>
      </c>
      <c r="J1994">
        <v>0</v>
      </c>
      <c r="K1994">
        <v>0</v>
      </c>
      <c r="L1994" t="str">
        <f t="shared" si="66"/>
        <v>28-7-2023</v>
      </c>
      <c r="M1994">
        <f t="shared" si="67"/>
        <v>2023</v>
      </c>
    </row>
    <row r="1995" spans="1:13" x14ac:dyDescent="0.2">
      <c r="A1995" s="1">
        <f t="shared" si="62"/>
        <v>45117</v>
      </c>
      <c r="B1995">
        <f t="shared" si="65"/>
        <v>28</v>
      </c>
      <c r="C1995">
        <f t="shared" si="63"/>
        <v>7</v>
      </c>
      <c r="D1995">
        <f t="shared" si="64"/>
        <v>3</v>
      </c>
      <c r="E1995" t="s">
        <v>50</v>
      </c>
      <c r="F1995">
        <v>0</v>
      </c>
      <c r="G1995">
        <f>INDEX(weekly!$E$2:$E$188,MATCH('Marketing Campaigns 22.11.22'!L1995,weekly!$H$2:$H$188,0))</f>
        <v>5937.1359970023932</v>
      </c>
      <c r="H1995">
        <f>INDEX(weekly!$D$2:$D$188,MATCH('Marketing Campaigns 22.11.22'!L1995,weekly!$H$2:$H$188,0))</f>
        <v>17309.70360597028</v>
      </c>
      <c r="I1995">
        <f>INDEX(weekly!$F$2:$F$188,MATCH('Marketing Campaigns 22.11.22'!L1995,weekly!$H$2:$H$188,0))</f>
        <v>6353.2139167256564</v>
      </c>
      <c r="J1995">
        <v>0</v>
      </c>
      <c r="K1995">
        <v>0</v>
      </c>
      <c r="L1995" t="str">
        <f t="shared" si="66"/>
        <v>28-7-2023</v>
      </c>
      <c r="M1995">
        <f t="shared" si="67"/>
        <v>2023</v>
      </c>
    </row>
    <row r="1996" spans="1:13" x14ac:dyDescent="0.2">
      <c r="A1996" s="1">
        <f t="shared" si="62"/>
        <v>45117</v>
      </c>
      <c r="B1996">
        <f t="shared" si="65"/>
        <v>28</v>
      </c>
      <c r="C1996">
        <f t="shared" si="63"/>
        <v>7</v>
      </c>
      <c r="D1996">
        <f t="shared" si="64"/>
        <v>3</v>
      </c>
      <c r="E1996" t="s">
        <v>51</v>
      </c>
      <c r="F1996">
        <v>0</v>
      </c>
      <c r="G1996">
        <f>INDEX(weekly!$E$2:$E$188,MATCH('Marketing Campaigns 22.11.22'!L1996,weekly!$H$2:$H$188,0))</f>
        <v>5937.1359970023932</v>
      </c>
      <c r="H1996">
        <f>INDEX(weekly!$D$2:$D$188,MATCH('Marketing Campaigns 22.11.22'!L1996,weekly!$H$2:$H$188,0))</f>
        <v>17309.70360597028</v>
      </c>
      <c r="I1996">
        <f>INDEX(weekly!$F$2:$F$188,MATCH('Marketing Campaigns 22.11.22'!L1996,weekly!$H$2:$H$188,0))</f>
        <v>6353.2139167256564</v>
      </c>
      <c r="J1996">
        <v>0</v>
      </c>
      <c r="K1996">
        <v>0</v>
      </c>
      <c r="L1996" t="str">
        <f t="shared" si="66"/>
        <v>28-7-2023</v>
      </c>
      <c r="M1996">
        <f t="shared" si="67"/>
        <v>2023</v>
      </c>
    </row>
    <row r="1997" spans="1:13" x14ac:dyDescent="0.2">
      <c r="A1997" s="1">
        <f t="shared" si="62"/>
        <v>45117</v>
      </c>
      <c r="B1997">
        <f t="shared" si="65"/>
        <v>28</v>
      </c>
      <c r="C1997">
        <f t="shared" si="63"/>
        <v>7</v>
      </c>
      <c r="D1997">
        <f t="shared" si="64"/>
        <v>3</v>
      </c>
      <c r="E1997" t="s">
        <v>52</v>
      </c>
      <c r="F1997">
        <v>0</v>
      </c>
      <c r="G1997">
        <f>INDEX(weekly!$E$2:$E$188,MATCH('Marketing Campaigns 22.11.22'!L1997,weekly!$H$2:$H$188,0))</f>
        <v>5937.1359970023932</v>
      </c>
      <c r="H1997">
        <f>INDEX(weekly!$D$2:$D$188,MATCH('Marketing Campaigns 22.11.22'!L1997,weekly!$H$2:$H$188,0))</f>
        <v>17309.70360597028</v>
      </c>
      <c r="I1997">
        <f>INDEX(weekly!$F$2:$F$188,MATCH('Marketing Campaigns 22.11.22'!L1997,weekly!$H$2:$H$188,0))</f>
        <v>6353.2139167256564</v>
      </c>
      <c r="J1997">
        <v>0</v>
      </c>
      <c r="K1997">
        <v>0</v>
      </c>
      <c r="L1997" t="str">
        <f t="shared" si="66"/>
        <v>28-7-2023</v>
      </c>
      <c r="M1997">
        <f t="shared" si="67"/>
        <v>2023</v>
      </c>
    </row>
    <row r="1998" spans="1:13" x14ac:dyDescent="0.2">
      <c r="A1998" s="1">
        <f t="shared" si="62"/>
        <v>45124</v>
      </c>
      <c r="B1998">
        <f>IF(E1998="None",B1997+1,B1997)</f>
        <v>29</v>
      </c>
      <c r="C1998">
        <f t="shared" si="63"/>
        <v>7</v>
      </c>
      <c r="D1998">
        <f t="shared" si="64"/>
        <v>3</v>
      </c>
      <c r="E1998" t="s">
        <v>24</v>
      </c>
      <c r="F1998">
        <v>0</v>
      </c>
      <c r="G1998">
        <f>INDEX(weekly!$E$2:$E$188,MATCH('Marketing Campaigns 22.11.22'!L1998,weekly!$H$2:$H$188,0))</f>
        <v>5937.1359970023932</v>
      </c>
      <c r="H1998">
        <f>INDEX(weekly!$D$2:$D$188,MATCH('Marketing Campaigns 22.11.22'!L1998,weekly!$H$2:$H$188,0))</f>
        <v>17309.70360597028</v>
      </c>
      <c r="I1998">
        <f>INDEX(weekly!$F$2:$F$188,MATCH('Marketing Campaigns 22.11.22'!L1998,weekly!$H$2:$H$188,0))</f>
        <v>6353.2139167256564</v>
      </c>
      <c r="J1998">
        <v>0</v>
      </c>
      <c r="K1998">
        <v>0</v>
      </c>
      <c r="L1998" t="str">
        <f t="shared" si="66"/>
        <v>29-7-2023</v>
      </c>
      <c r="M1998">
        <f t="shared" si="67"/>
        <v>2023</v>
      </c>
    </row>
    <row r="1999" spans="1:13" x14ac:dyDescent="0.2">
      <c r="A1999" s="1">
        <f t="shared" si="62"/>
        <v>45124</v>
      </c>
      <c r="B1999">
        <f t="shared" si="65"/>
        <v>29</v>
      </c>
      <c r="C1999">
        <f t="shared" si="63"/>
        <v>7</v>
      </c>
      <c r="D1999">
        <f t="shared" si="64"/>
        <v>3</v>
      </c>
      <c r="E1999" t="s">
        <v>39</v>
      </c>
      <c r="F1999">
        <v>0</v>
      </c>
      <c r="G1999">
        <f>INDEX(weekly!$E$2:$E$188,MATCH('Marketing Campaigns 22.11.22'!L1999,weekly!$H$2:$H$188,0))</f>
        <v>5937.1359970023932</v>
      </c>
      <c r="H1999">
        <f>INDEX(weekly!$D$2:$D$188,MATCH('Marketing Campaigns 22.11.22'!L1999,weekly!$H$2:$H$188,0))</f>
        <v>17309.70360597028</v>
      </c>
      <c r="I1999">
        <f>INDEX(weekly!$F$2:$F$188,MATCH('Marketing Campaigns 22.11.22'!L1999,weekly!$H$2:$H$188,0))</f>
        <v>6353.2139167256564</v>
      </c>
      <c r="J1999">
        <v>0</v>
      </c>
      <c r="K1999">
        <v>0</v>
      </c>
      <c r="L1999" t="str">
        <f t="shared" si="66"/>
        <v>29-7-2023</v>
      </c>
      <c r="M1999">
        <f t="shared" si="67"/>
        <v>2023</v>
      </c>
    </row>
    <row r="2000" spans="1:13" x14ac:dyDescent="0.2">
      <c r="A2000" s="1">
        <f t="shared" si="62"/>
        <v>45124</v>
      </c>
      <c r="B2000">
        <f t="shared" si="65"/>
        <v>29</v>
      </c>
      <c r="C2000">
        <f t="shared" si="63"/>
        <v>7</v>
      </c>
      <c r="D2000">
        <f t="shared" si="64"/>
        <v>3</v>
      </c>
      <c r="E2000" t="s">
        <v>40</v>
      </c>
      <c r="F2000">
        <v>0</v>
      </c>
      <c r="G2000">
        <f>INDEX(weekly!$E$2:$E$188,MATCH('Marketing Campaigns 22.11.22'!L2000,weekly!$H$2:$H$188,0))</f>
        <v>5937.1359970023932</v>
      </c>
      <c r="H2000">
        <f>INDEX(weekly!$D$2:$D$188,MATCH('Marketing Campaigns 22.11.22'!L2000,weekly!$H$2:$H$188,0))</f>
        <v>17309.70360597028</v>
      </c>
      <c r="I2000">
        <f>INDEX(weekly!$F$2:$F$188,MATCH('Marketing Campaigns 22.11.22'!L2000,weekly!$H$2:$H$188,0))</f>
        <v>6353.2139167256564</v>
      </c>
      <c r="J2000">
        <v>0</v>
      </c>
      <c r="K2000">
        <v>0</v>
      </c>
      <c r="L2000" t="str">
        <f t="shared" si="66"/>
        <v>29-7-2023</v>
      </c>
      <c r="M2000">
        <f t="shared" si="67"/>
        <v>2023</v>
      </c>
    </row>
    <row r="2001" spans="1:13" x14ac:dyDescent="0.2">
      <c r="A2001" s="1">
        <f t="shared" si="62"/>
        <v>45124</v>
      </c>
      <c r="B2001">
        <f t="shared" si="65"/>
        <v>29</v>
      </c>
      <c r="C2001">
        <f t="shared" si="63"/>
        <v>7</v>
      </c>
      <c r="D2001">
        <f t="shared" si="64"/>
        <v>3</v>
      </c>
      <c r="E2001" t="s">
        <v>41</v>
      </c>
      <c r="F2001">
        <v>0</v>
      </c>
      <c r="G2001">
        <f>INDEX(weekly!$E$2:$E$188,MATCH('Marketing Campaigns 22.11.22'!L2001,weekly!$H$2:$H$188,0))</f>
        <v>5937.1359970023932</v>
      </c>
      <c r="H2001">
        <f>INDEX(weekly!$D$2:$D$188,MATCH('Marketing Campaigns 22.11.22'!L2001,weekly!$H$2:$H$188,0))</f>
        <v>17309.70360597028</v>
      </c>
      <c r="I2001">
        <f>INDEX(weekly!$F$2:$F$188,MATCH('Marketing Campaigns 22.11.22'!L2001,weekly!$H$2:$H$188,0))</f>
        <v>6353.2139167256564</v>
      </c>
      <c r="J2001">
        <v>0</v>
      </c>
      <c r="K2001">
        <v>0</v>
      </c>
      <c r="L2001" t="str">
        <f t="shared" si="66"/>
        <v>29-7-2023</v>
      </c>
      <c r="M2001">
        <f t="shared" si="67"/>
        <v>2023</v>
      </c>
    </row>
    <row r="2002" spans="1:13" x14ac:dyDescent="0.2">
      <c r="A2002" s="1">
        <f t="shared" si="62"/>
        <v>45124</v>
      </c>
      <c r="B2002">
        <f t="shared" si="65"/>
        <v>29</v>
      </c>
      <c r="C2002">
        <f t="shared" si="63"/>
        <v>7</v>
      </c>
      <c r="D2002">
        <f t="shared" si="64"/>
        <v>3</v>
      </c>
      <c r="E2002" t="s">
        <v>42</v>
      </c>
      <c r="F2002">
        <v>0</v>
      </c>
      <c r="G2002">
        <f>INDEX(weekly!$E$2:$E$188,MATCH('Marketing Campaigns 22.11.22'!L2002,weekly!$H$2:$H$188,0))</f>
        <v>5937.1359970023932</v>
      </c>
      <c r="H2002">
        <f>INDEX(weekly!$D$2:$D$188,MATCH('Marketing Campaigns 22.11.22'!L2002,weekly!$H$2:$H$188,0))</f>
        <v>17309.70360597028</v>
      </c>
      <c r="I2002">
        <f>INDEX(weekly!$F$2:$F$188,MATCH('Marketing Campaigns 22.11.22'!L2002,weekly!$H$2:$H$188,0))</f>
        <v>6353.2139167256564</v>
      </c>
      <c r="J2002">
        <v>0</v>
      </c>
      <c r="K2002">
        <v>0</v>
      </c>
      <c r="L2002" t="str">
        <f t="shared" si="66"/>
        <v>29-7-2023</v>
      </c>
      <c r="M2002">
        <f t="shared" si="67"/>
        <v>2023</v>
      </c>
    </row>
    <row r="2003" spans="1:13" x14ac:dyDescent="0.2">
      <c r="A2003" s="1">
        <f t="shared" si="62"/>
        <v>45124</v>
      </c>
      <c r="B2003">
        <f t="shared" si="65"/>
        <v>29</v>
      </c>
      <c r="C2003">
        <f t="shared" si="63"/>
        <v>7</v>
      </c>
      <c r="D2003">
        <f t="shared" si="64"/>
        <v>3</v>
      </c>
      <c r="E2003" t="s">
        <v>43</v>
      </c>
      <c r="F2003">
        <v>0</v>
      </c>
      <c r="G2003">
        <f>INDEX(weekly!$E$2:$E$188,MATCH('Marketing Campaigns 22.11.22'!L2003,weekly!$H$2:$H$188,0))</f>
        <v>5937.1359970023932</v>
      </c>
      <c r="H2003">
        <f>INDEX(weekly!$D$2:$D$188,MATCH('Marketing Campaigns 22.11.22'!L2003,weekly!$H$2:$H$188,0))</f>
        <v>17309.70360597028</v>
      </c>
      <c r="I2003">
        <f>INDEX(weekly!$F$2:$F$188,MATCH('Marketing Campaigns 22.11.22'!L2003,weekly!$H$2:$H$188,0))</f>
        <v>6353.2139167256564</v>
      </c>
      <c r="J2003">
        <v>0</v>
      </c>
      <c r="K2003">
        <v>0</v>
      </c>
      <c r="L2003" t="str">
        <f t="shared" si="66"/>
        <v>29-7-2023</v>
      </c>
      <c r="M2003">
        <f t="shared" si="67"/>
        <v>2023</v>
      </c>
    </row>
    <row r="2004" spans="1:13" x14ac:dyDescent="0.2">
      <c r="A2004" s="1">
        <f t="shared" si="62"/>
        <v>45124</v>
      </c>
      <c r="B2004">
        <f t="shared" si="65"/>
        <v>29</v>
      </c>
      <c r="C2004">
        <f t="shared" si="63"/>
        <v>7</v>
      </c>
      <c r="D2004">
        <f t="shared" si="64"/>
        <v>3</v>
      </c>
      <c r="E2004" t="s">
        <v>44</v>
      </c>
      <c r="F2004">
        <v>0</v>
      </c>
      <c r="G2004">
        <f>INDEX(weekly!$E$2:$E$188,MATCH('Marketing Campaigns 22.11.22'!L2004,weekly!$H$2:$H$188,0))</f>
        <v>5937.1359970023932</v>
      </c>
      <c r="H2004">
        <f>INDEX(weekly!$D$2:$D$188,MATCH('Marketing Campaigns 22.11.22'!L2004,weekly!$H$2:$H$188,0))</f>
        <v>17309.70360597028</v>
      </c>
      <c r="I2004">
        <f>INDEX(weekly!$F$2:$F$188,MATCH('Marketing Campaigns 22.11.22'!L2004,weekly!$H$2:$H$188,0))</f>
        <v>6353.2139167256564</v>
      </c>
      <c r="J2004">
        <v>0</v>
      </c>
      <c r="K2004">
        <v>0</v>
      </c>
      <c r="L2004" t="str">
        <f t="shared" si="66"/>
        <v>29-7-2023</v>
      </c>
      <c r="M2004">
        <f t="shared" si="67"/>
        <v>2023</v>
      </c>
    </row>
    <row r="2005" spans="1:13" x14ac:dyDescent="0.2">
      <c r="A2005" s="1">
        <f t="shared" si="62"/>
        <v>45124</v>
      </c>
      <c r="B2005">
        <f t="shared" si="65"/>
        <v>29</v>
      </c>
      <c r="C2005">
        <f t="shared" si="63"/>
        <v>7</v>
      </c>
      <c r="D2005">
        <f t="shared" si="64"/>
        <v>3</v>
      </c>
      <c r="E2005" t="s">
        <v>45</v>
      </c>
      <c r="F2005">
        <v>0</v>
      </c>
      <c r="G2005">
        <f>INDEX(weekly!$E$2:$E$188,MATCH('Marketing Campaigns 22.11.22'!L2005,weekly!$H$2:$H$188,0))</f>
        <v>5937.1359970023932</v>
      </c>
      <c r="H2005">
        <f>INDEX(weekly!$D$2:$D$188,MATCH('Marketing Campaigns 22.11.22'!L2005,weekly!$H$2:$H$188,0))</f>
        <v>17309.70360597028</v>
      </c>
      <c r="I2005">
        <f>INDEX(weekly!$F$2:$F$188,MATCH('Marketing Campaigns 22.11.22'!L2005,weekly!$H$2:$H$188,0))</f>
        <v>6353.2139167256564</v>
      </c>
      <c r="J2005">
        <v>0</v>
      </c>
      <c r="K2005">
        <v>0</v>
      </c>
      <c r="L2005" t="str">
        <f t="shared" si="66"/>
        <v>29-7-2023</v>
      </c>
      <c r="M2005">
        <f t="shared" si="67"/>
        <v>2023</v>
      </c>
    </row>
    <row r="2006" spans="1:13" x14ac:dyDescent="0.2">
      <c r="A2006" s="1">
        <f t="shared" si="62"/>
        <v>45124</v>
      </c>
      <c r="B2006">
        <f t="shared" si="65"/>
        <v>29</v>
      </c>
      <c r="C2006">
        <f t="shared" si="63"/>
        <v>7</v>
      </c>
      <c r="D2006">
        <f t="shared" si="64"/>
        <v>3</v>
      </c>
      <c r="E2006" t="s">
        <v>46</v>
      </c>
      <c r="F2006">
        <v>0</v>
      </c>
      <c r="G2006">
        <f>INDEX(weekly!$E$2:$E$188,MATCH('Marketing Campaigns 22.11.22'!L2006,weekly!$H$2:$H$188,0))</f>
        <v>5937.1359970023932</v>
      </c>
      <c r="H2006">
        <f>INDEX(weekly!$D$2:$D$188,MATCH('Marketing Campaigns 22.11.22'!L2006,weekly!$H$2:$H$188,0))</f>
        <v>17309.70360597028</v>
      </c>
      <c r="I2006">
        <f>INDEX(weekly!$F$2:$F$188,MATCH('Marketing Campaigns 22.11.22'!L2006,weekly!$H$2:$H$188,0))</f>
        <v>6353.2139167256564</v>
      </c>
      <c r="J2006">
        <v>0</v>
      </c>
      <c r="K2006">
        <v>0</v>
      </c>
      <c r="L2006" t="str">
        <f t="shared" si="66"/>
        <v>29-7-2023</v>
      </c>
      <c r="M2006">
        <f t="shared" si="67"/>
        <v>2023</v>
      </c>
    </row>
    <row r="2007" spans="1:13" x14ac:dyDescent="0.2">
      <c r="A2007" s="1">
        <f t="shared" si="62"/>
        <v>45124</v>
      </c>
      <c r="B2007">
        <f t="shared" si="65"/>
        <v>29</v>
      </c>
      <c r="C2007">
        <f t="shared" si="63"/>
        <v>7</v>
      </c>
      <c r="D2007">
        <f t="shared" si="64"/>
        <v>3</v>
      </c>
      <c r="E2007" t="s">
        <v>47</v>
      </c>
      <c r="F2007">
        <v>0</v>
      </c>
      <c r="G2007">
        <f>INDEX(weekly!$E$2:$E$188,MATCH('Marketing Campaigns 22.11.22'!L2007,weekly!$H$2:$H$188,0))</f>
        <v>5937.1359970023932</v>
      </c>
      <c r="H2007">
        <f>INDEX(weekly!$D$2:$D$188,MATCH('Marketing Campaigns 22.11.22'!L2007,weekly!$H$2:$H$188,0))</f>
        <v>17309.70360597028</v>
      </c>
      <c r="I2007">
        <f>INDEX(weekly!$F$2:$F$188,MATCH('Marketing Campaigns 22.11.22'!L2007,weekly!$H$2:$H$188,0))</f>
        <v>6353.2139167256564</v>
      </c>
      <c r="J2007">
        <v>0</v>
      </c>
      <c r="K2007">
        <v>0</v>
      </c>
      <c r="L2007" t="str">
        <f t="shared" si="66"/>
        <v>29-7-2023</v>
      </c>
      <c r="M2007">
        <f t="shared" si="67"/>
        <v>2023</v>
      </c>
    </row>
    <row r="2008" spans="1:13" x14ac:dyDescent="0.2">
      <c r="A2008" s="1">
        <f t="shared" si="62"/>
        <v>45124</v>
      </c>
      <c r="B2008">
        <f t="shared" si="65"/>
        <v>29</v>
      </c>
      <c r="C2008">
        <f t="shared" si="63"/>
        <v>7</v>
      </c>
      <c r="D2008">
        <f t="shared" si="64"/>
        <v>3</v>
      </c>
      <c r="E2008" t="s">
        <v>48</v>
      </c>
      <c r="F2008">
        <v>0</v>
      </c>
      <c r="G2008">
        <f>INDEX(weekly!$E$2:$E$188,MATCH('Marketing Campaigns 22.11.22'!L2008,weekly!$H$2:$H$188,0))</f>
        <v>5937.1359970023932</v>
      </c>
      <c r="H2008">
        <f>INDEX(weekly!$D$2:$D$188,MATCH('Marketing Campaigns 22.11.22'!L2008,weekly!$H$2:$H$188,0))</f>
        <v>17309.70360597028</v>
      </c>
      <c r="I2008">
        <f>INDEX(weekly!$F$2:$F$188,MATCH('Marketing Campaigns 22.11.22'!L2008,weekly!$H$2:$H$188,0))</f>
        <v>6353.2139167256564</v>
      </c>
      <c r="J2008">
        <v>0</v>
      </c>
      <c r="K2008">
        <v>0</v>
      </c>
      <c r="L2008" t="str">
        <f t="shared" si="66"/>
        <v>29-7-2023</v>
      </c>
      <c r="M2008">
        <f t="shared" si="67"/>
        <v>2023</v>
      </c>
    </row>
    <row r="2009" spans="1:13" x14ac:dyDescent="0.2">
      <c r="A2009" s="1">
        <f t="shared" si="62"/>
        <v>45124</v>
      </c>
      <c r="B2009">
        <f t="shared" si="65"/>
        <v>29</v>
      </c>
      <c r="C2009">
        <f t="shared" si="63"/>
        <v>7</v>
      </c>
      <c r="D2009">
        <f t="shared" si="64"/>
        <v>3</v>
      </c>
      <c r="E2009" t="s">
        <v>49</v>
      </c>
      <c r="F2009">
        <v>0</v>
      </c>
      <c r="G2009">
        <f>INDEX(weekly!$E$2:$E$188,MATCH('Marketing Campaigns 22.11.22'!L2009,weekly!$H$2:$H$188,0))</f>
        <v>5937.1359970023932</v>
      </c>
      <c r="H2009">
        <f>INDEX(weekly!$D$2:$D$188,MATCH('Marketing Campaigns 22.11.22'!L2009,weekly!$H$2:$H$188,0))</f>
        <v>17309.70360597028</v>
      </c>
      <c r="I2009">
        <f>INDEX(weekly!$F$2:$F$188,MATCH('Marketing Campaigns 22.11.22'!L2009,weekly!$H$2:$H$188,0))</f>
        <v>6353.2139167256564</v>
      </c>
      <c r="J2009">
        <v>0</v>
      </c>
      <c r="K2009">
        <v>0</v>
      </c>
      <c r="L2009" t="str">
        <f t="shared" si="66"/>
        <v>29-7-2023</v>
      </c>
      <c r="M2009">
        <f t="shared" si="67"/>
        <v>2023</v>
      </c>
    </row>
    <row r="2010" spans="1:13" x14ac:dyDescent="0.2">
      <c r="A2010" s="1">
        <f t="shared" si="62"/>
        <v>45124</v>
      </c>
      <c r="B2010">
        <f t="shared" si="65"/>
        <v>29</v>
      </c>
      <c r="C2010">
        <f t="shared" si="63"/>
        <v>7</v>
      </c>
      <c r="D2010">
        <f t="shared" si="64"/>
        <v>3</v>
      </c>
      <c r="E2010" t="s">
        <v>50</v>
      </c>
      <c r="F2010">
        <v>0</v>
      </c>
      <c r="G2010">
        <f>INDEX(weekly!$E$2:$E$188,MATCH('Marketing Campaigns 22.11.22'!L2010,weekly!$H$2:$H$188,0))</f>
        <v>5937.1359970023932</v>
      </c>
      <c r="H2010">
        <f>INDEX(weekly!$D$2:$D$188,MATCH('Marketing Campaigns 22.11.22'!L2010,weekly!$H$2:$H$188,0))</f>
        <v>17309.70360597028</v>
      </c>
      <c r="I2010">
        <f>INDEX(weekly!$F$2:$F$188,MATCH('Marketing Campaigns 22.11.22'!L2010,weekly!$H$2:$H$188,0))</f>
        <v>6353.2139167256564</v>
      </c>
      <c r="J2010">
        <v>0</v>
      </c>
      <c r="K2010">
        <v>0</v>
      </c>
      <c r="L2010" t="str">
        <f t="shared" si="66"/>
        <v>29-7-2023</v>
      </c>
      <c r="M2010">
        <f t="shared" si="67"/>
        <v>2023</v>
      </c>
    </row>
    <row r="2011" spans="1:13" x14ac:dyDescent="0.2">
      <c r="A2011" s="1">
        <f t="shared" si="62"/>
        <v>45124</v>
      </c>
      <c r="B2011">
        <f t="shared" si="65"/>
        <v>29</v>
      </c>
      <c r="C2011">
        <f t="shared" si="63"/>
        <v>7</v>
      </c>
      <c r="D2011">
        <f t="shared" si="64"/>
        <v>3</v>
      </c>
      <c r="E2011" t="s">
        <v>51</v>
      </c>
      <c r="F2011">
        <v>0</v>
      </c>
      <c r="G2011">
        <f>INDEX(weekly!$E$2:$E$188,MATCH('Marketing Campaigns 22.11.22'!L2011,weekly!$H$2:$H$188,0))</f>
        <v>5937.1359970023932</v>
      </c>
      <c r="H2011">
        <f>INDEX(weekly!$D$2:$D$188,MATCH('Marketing Campaigns 22.11.22'!L2011,weekly!$H$2:$H$188,0))</f>
        <v>17309.70360597028</v>
      </c>
      <c r="I2011">
        <f>INDEX(weekly!$F$2:$F$188,MATCH('Marketing Campaigns 22.11.22'!L2011,weekly!$H$2:$H$188,0))</f>
        <v>6353.2139167256564</v>
      </c>
      <c r="J2011">
        <v>0</v>
      </c>
      <c r="K2011">
        <v>0</v>
      </c>
      <c r="L2011" t="str">
        <f t="shared" si="66"/>
        <v>29-7-2023</v>
      </c>
      <c r="M2011">
        <f t="shared" si="67"/>
        <v>2023</v>
      </c>
    </row>
    <row r="2012" spans="1:13" x14ac:dyDescent="0.2">
      <c r="A2012" s="1">
        <f t="shared" si="62"/>
        <v>45124</v>
      </c>
      <c r="B2012">
        <f t="shared" si="65"/>
        <v>29</v>
      </c>
      <c r="C2012">
        <f t="shared" si="63"/>
        <v>7</v>
      </c>
      <c r="D2012">
        <f t="shared" si="64"/>
        <v>3</v>
      </c>
      <c r="E2012" t="s">
        <v>52</v>
      </c>
      <c r="F2012">
        <v>0</v>
      </c>
      <c r="G2012">
        <f>INDEX(weekly!$E$2:$E$188,MATCH('Marketing Campaigns 22.11.22'!L2012,weekly!$H$2:$H$188,0))</f>
        <v>5937.1359970023932</v>
      </c>
      <c r="H2012">
        <f>INDEX(weekly!$D$2:$D$188,MATCH('Marketing Campaigns 22.11.22'!L2012,weekly!$H$2:$H$188,0))</f>
        <v>17309.70360597028</v>
      </c>
      <c r="I2012">
        <f>INDEX(weekly!$F$2:$F$188,MATCH('Marketing Campaigns 22.11.22'!L2012,weekly!$H$2:$H$188,0))</f>
        <v>6353.2139167256564</v>
      </c>
      <c r="J2012">
        <v>0</v>
      </c>
      <c r="K2012">
        <v>0</v>
      </c>
      <c r="L2012" t="str">
        <f t="shared" si="66"/>
        <v>29-7-2023</v>
      </c>
      <c r="M2012">
        <f t="shared" si="67"/>
        <v>2023</v>
      </c>
    </row>
    <row r="2013" spans="1:13" x14ac:dyDescent="0.2">
      <c r="A2013" s="1">
        <f t="shared" si="62"/>
        <v>45131</v>
      </c>
      <c r="B2013">
        <f>IF(E2013="None",B2012+1,B2012)</f>
        <v>30</v>
      </c>
      <c r="C2013">
        <f t="shared" si="63"/>
        <v>7</v>
      </c>
      <c r="D2013">
        <f t="shared" si="64"/>
        <v>3</v>
      </c>
      <c r="E2013" t="s">
        <v>24</v>
      </c>
      <c r="F2013">
        <v>0</v>
      </c>
      <c r="G2013">
        <f>INDEX(weekly!$E$2:$E$188,MATCH('Marketing Campaigns 22.11.22'!L2013,weekly!$H$2:$H$188,0))</f>
        <v>5937.1359970023932</v>
      </c>
      <c r="H2013">
        <f>INDEX(weekly!$D$2:$D$188,MATCH('Marketing Campaigns 22.11.22'!L2013,weekly!$H$2:$H$188,0))</f>
        <v>17309.70360597028</v>
      </c>
      <c r="I2013">
        <f>INDEX(weekly!$F$2:$F$188,MATCH('Marketing Campaigns 22.11.22'!L2013,weekly!$H$2:$H$188,0))</f>
        <v>6353.2139167256564</v>
      </c>
      <c r="J2013">
        <v>0</v>
      </c>
      <c r="K2013">
        <v>0</v>
      </c>
      <c r="L2013" t="str">
        <f t="shared" si="66"/>
        <v>30-7-2023</v>
      </c>
      <c r="M2013">
        <f t="shared" si="67"/>
        <v>2023</v>
      </c>
    </row>
    <row r="2014" spans="1:13" x14ac:dyDescent="0.2">
      <c r="A2014" s="1">
        <f t="shared" si="62"/>
        <v>45131</v>
      </c>
      <c r="B2014">
        <f t="shared" si="65"/>
        <v>30</v>
      </c>
      <c r="C2014">
        <f t="shared" si="63"/>
        <v>7</v>
      </c>
      <c r="D2014">
        <f t="shared" si="64"/>
        <v>3</v>
      </c>
      <c r="E2014" t="s">
        <v>39</v>
      </c>
      <c r="F2014">
        <v>0</v>
      </c>
      <c r="G2014">
        <f>INDEX(weekly!$E$2:$E$188,MATCH('Marketing Campaigns 22.11.22'!L2014,weekly!$H$2:$H$188,0))</f>
        <v>5937.1359970023932</v>
      </c>
      <c r="H2014">
        <f>INDEX(weekly!$D$2:$D$188,MATCH('Marketing Campaigns 22.11.22'!L2014,weekly!$H$2:$H$188,0))</f>
        <v>17309.70360597028</v>
      </c>
      <c r="I2014">
        <f>INDEX(weekly!$F$2:$F$188,MATCH('Marketing Campaigns 22.11.22'!L2014,weekly!$H$2:$H$188,0))</f>
        <v>6353.2139167256564</v>
      </c>
      <c r="J2014">
        <v>0</v>
      </c>
      <c r="K2014">
        <v>0</v>
      </c>
      <c r="L2014" t="str">
        <f t="shared" si="66"/>
        <v>30-7-2023</v>
      </c>
      <c r="M2014">
        <f t="shared" si="67"/>
        <v>2023</v>
      </c>
    </row>
    <row r="2015" spans="1:13" x14ac:dyDescent="0.2">
      <c r="A2015" s="1">
        <f t="shared" si="62"/>
        <v>45131</v>
      </c>
      <c r="B2015">
        <f t="shared" si="65"/>
        <v>30</v>
      </c>
      <c r="C2015">
        <f t="shared" si="63"/>
        <v>7</v>
      </c>
      <c r="D2015">
        <f t="shared" si="64"/>
        <v>3</v>
      </c>
      <c r="E2015" t="s">
        <v>40</v>
      </c>
      <c r="F2015">
        <v>0</v>
      </c>
      <c r="G2015">
        <f>INDEX(weekly!$E$2:$E$188,MATCH('Marketing Campaigns 22.11.22'!L2015,weekly!$H$2:$H$188,0))</f>
        <v>5937.1359970023932</v>
      </c>
      <c r="H2015">
        <f>INDEX(weekly!$D$2:$D$188,MATCH('Marketing Campaigns 22.11.22'!L2015,weekly!$H$2:$H$188,0))</f>
        <v>17309.70360597028</v>
      </c>
      <c r="I2015">
        <f>INDEX(weekly!$F$2:$F$188,MATCH('Marketing Campaigns 22.11.22'!L2015,weekly!$H$2:$H$188,0))</f>
        <v>6353.2139167256564</v>
      </c>
      <c r="J2015">
        <v>0</v>
      </c>
      <c r="K2015">
        <v>0</v>
      </c>
      <c r="L2015" t="str">
        <f t="shared" si="66"/>
        <v>30-7-2023</v>
      </c>
      <c r="M2015">
        <f t="shared" si="67"/>
        <v>2023</v>
      </c>
    </row>
    <row r="2016" spans="1:13" x14ac:dyDescent="0.2">
      <c r="A2016" s="1">
        <f t="shared" si="62"/>
        <v>45131</v>
      </c>
      <c r="B2016">
        <f t="shared" si="65"/>
        <v>30</v>
      </c>
      <c r="C2016">
        <f t="shared" si="63"/>
        <v>7</v>
      </c>
      <c r="D2016">
        <f t="shared" si="64"/>
        <v>3</v>
      </c>
      <c r="E2016" t="s">
        <v>41</v>
      </c>
      <c r="F2016">
        <v>0</v>
      </c>
      <c r="G2016">
        <f>INDEX(weekly!$E$2:$E$188,MATCH('Marketing Campaigns 22.11.22'!L2016,weekly!$H$2:$H$188,0))</f>
        <v>5937.1359970023932</v>
      </c>
      <c r="H2016">
        <f>INDEX(weekly!$D$2:$D$188,MATCH('Marketing Campaigns 22.11.22'!L2016,weekly!$H$2:$H$188,0))</f>
        <v>17309.70360597028</v>
      </c>
      <c r="I2016">
        <f>INDEX(weekly!$F$2:$F$188,MATCH('Marketing Campaigns 22.11.22'!L2016,weekly!$H$2:$H$188,0))</f>
        <v>6353.2139167256564</v>
      </c>
      <c r="J2016">
        <v>0</v>
      </c>
      <c r="K2016">
        <v>0</v>
      </c>
      <c r="L2016" t="str">
        <f t="shared" si="66"/>
        <v>30-7-2023</v>
      </c>
      <c r="M2016">
        <f t="shared" si="67"/>
        <v>2023</v>
      </c>
    </row>
    <row r="2017" spans="1:13" x14ac:dyDescent="0.2">
      <c r="A2017" s="1">
        <f t="shared" si="62"/>
        <v>45131</v>
      </c>
      <c r="B2017">
        <f t="shared" si="65"/>
        <v>30</v>
      </c>
      <c r="C2017">
        <f t="shared" si="63"/>
        <v>7</v>
      </c>
      <c r="D2017">
        <f t="shared" si="64"/>
        <v>3</v>
      </c>
      <c r="E2017" t="s">
        <v>42</v>
      </c>
      <c r="F2017">
        <v>0</v>
      </c>
      <c r="G2017">
        <f>INDEX(weekly!$E$2:$E$188,MATCH('Marketing Campaigns 22.11.22'!L2017,weekly!$H$2:$H$188,0))</f>
        <v>5937.1359970023932</v>
      </c>
      <c r="H2017">
        <f>INDEX(weekly!$D$2:$D$188,MATCH('Marketing Campaigns 22.11.22'!L2017,weekly!$H$2:$H$188,0))</f>
        <v>17309.70360597028</v>
      </c>
      <c r="I2017">
        <f>INDEX(weekly!$F$2:$F$188,MATCH('Marketing Campaigns 22.11.22'!L2017,weekly!$H$2:$H$188,0))</f>
        <v>6353.2139167256564</v>
      </c>
      <c r="J2017">
        <v>0</v>
      </c>
      <c r="K2017">
        <v>0</v>
      </c>
      <c r="L2017" t="str">
        <f t="shared" si="66"/>
        <v>30-7-2023</v>
      </c>
      <c r="M2017">
        <f t="shared" si="67"/>
        <v>2023</v>
      </c>
    </row>
    <row r="2018" spans="1:13" x14ac:dyDescent="0.2">
      <c r="A2018" s="1">
        <f t="shared" si="62"/>
        <v>45131</v>
      </c>
      <c r="B2018">
        <f t="shared" si="65"/>
        <v>30</v>
      </c>
      <c r="C2018">
        <f t="shared" si="63"/>
        <v>7</v>
      </c>
      <c r="D2018">
        <f t="shared" si="64"/>
        <v>3</v>
      </c>
      <c r="E2018" t="s">
        <v>43</v>
      </c>
      <c r="F2018">
        <v>0</v>
      </c>
      <c r="G2018">
        <f>INDEX(weekly!$E$2:$E$188,MATCH('Marketing Campaigns 22.11.22'!L2018,weekly!$H$2:$H$188,0))</f>
        <v>5937.1359970023932</v>
      </c>
      <c r="H2018">
        <f>INDEX(weekly!$D$2:$D$188,MATCH('Marketing Campaigns 22.11.22'!L2018,weekly!$H$2:$H$188,0))</f>
        <v>17309.70360597028</v>
      </c>
      <c r="I2018">
        <f>INDEX(weekly!$F$2:$F$188,MATCH('Marketing Campaigns 22.11.22'!L2018,weekly!$H$2:$H$188,0))</f>
        <v>6353.2139167256564</v>
      </c>
      <c r="J2018">
        <v>0</v>
      </c>
      <c r="K2018">
        <v>0</v>
      </c>
      <c r="L2018" t="str">
        <f t="shared" si="66"/>
        <v>30-7-2023</v>
      </c>
      <c r="M2018">
        <f t="shared" si="67"/>
        <v>2023</v>
      </c>
    </row>
    <row r="2019" spans="1:13" x14ac:dyDescent="0.2">
      <c r="A2019" s="1">
        <f t="shared" si="62"/>
        <v>45131</v>
      </c>
      <c r="B2019">
        <f t="shared" si="65"/>
        <v>30</v>
      </c>
      <c r="C2019">
        <f t="shared" si="63"/>
        <v>7</v>
      </c>
      <c r="D2019">
        <f t="shared" si="64"/>
        <v>3</v>
      </c>
      <c r="E2019" t="s">
        <v>44</v>
      </c>
      <c r="F2019">
        <v>0</v>
      </c>
      <c r="G2019">
        <f>INDEX(weekly!$E$2:$E$188,MATCH('Marketing Campaigns 22.11.22'!L2019,weekly!$H$2:$H$188,0))</f>
        <v>5937.1359970023932</v>
      </c>
      <c r="H2019">
        <f>INDEX(weekly!$D$2:$D$188,MATCH('Marketing Campaigns 22.11.22'!L2019,weekly!$H$2:$H$188,0))</f>
        <v>17309.70360597028</v>
      </c>
      <c r="I2019">
        <f>INDEX(weekly!$F$2:$F$188,MATCH('Marketing Campaigns 22.11.22'!L2019,weekly!$H$2:$H$188,0))</f>
        <v>6353.2139167256564</v>
      </c>
      <c r="J2019">
        <v>0</v>
      </c>
      <c r="K2019">
        <v>0</v>
      </c>
      <c r="L2019" t="str">
        <f t="shared" si="66"/>
        <v>30-7-2023</v>
      </c>
      <c r="M2019">
        <f t="shared" si="67"/>
        <v>2023</v>
      </c>
    </row>
    <row r="2020" spans="1:13" x14ac:dyDescent="0.2">
      <c r="A2020" s="1">
        <f t="shared" si="62"/>
        <v>45131</v>
      </c>
      <c r="B2020">
        <f t="shared" si="65"/>
        <v>30</v>
      </c>
      <c r="C2020">
        <f t="shared" si="63"/>
        <v>7</v>
      </c>
      <c r="D2020">
        <f t="shared" si="64"/>
        <v>3</v>
      </c>
      <c r="E2020" t="s">
        <v>45</v>
      </c>
      <c r="F2020">
        <v>0</v>
      </c>
      <c r="G2020">
        <f>INDEX(weekly!$E$2:$E$188,MATCH('Marketing Campaigns 22.11.22'!L2020,weekly!$H$2:$H$188,0))</f>
        <v>5937.1359970023932</v>
      </c>
      <c r="H2020">
        <f>INDEX(weekly!$D$2:$D$188,MATCH('Marketing Campaigns 22.11.22'!L2020,weekly!$H$2:$H$188,0))</f>
        <v>17309.70360597028</v>
      </c>
      <c r="I2020">
        <f>INDEX(weekly!$F$2:$F$188,MATCH('Marketing Campaigns 22.11.22'!L2020,weekly!$H$2:$H$188,0))</f>
        <v>6353.2139167256564</v>
      </c>
      <c r="J2020">
        <v>0</v>
      </c>
      <c r="K2020">
        <v>0</v>
      </c>
      <c r="L2020" t="str">
        <f t="shared" si="66"/>
        <v>30-7-2023</v>
      </c>
      <c r="M2020">
        <f t="shared" si="67"/>
        <v>2023</v>
      </c>
    </row>
    <row r="2021" spans="1:13" x14ac:dyDescent="0.2">
      <c r="A2021" s="1">
        <f t="shared" si="62"/>
        <v>45131</v>
      </c>
      <c r="B2021">
        <f t="shared" si="65"/>
        <v>30</v>
      </c>
      <c r="C2021">
        <f t="shared" si="63"/>
        <v>7</v>
      </c>
      <c r="D2021">
        <f t="shared" si="64"/>
        <v>3</v>
      </c>
      <c r="E2021" t="s">
        <v>46</v>
      </c>
      <c r="F2021">
        <v>0</v>
      </c>
      <c r="G2021">
        <f>INDEX(weekly!$E$2:$E$188,MATCH('Marketing Campaigns 22.11.22'!L2021,weekly!$H$2:$H$188,0))</f>
        <v>5937.1359970023932</v>
      </c>
      <c r="H2021">
        <f>INDEX(weekly!$D$2:$D$188,MATCH('Marketing Campaigns 22.11.22'!L2021,weekly!$H$2:$H$188,0))</f>
        <v>17309.70360597028</v>
      </c>
      <c r="I2021">
        <f>INDEX(weekly!$F$2:$F$188,MATCH('Marketing Campaigns 22.11.22'!L2021,weekly!$H$2:$H$188,0))</f>
        <v>6353.2139167256564</v>
      </c>
      <c r="J2021">
        <v>0</v>
      </c>
      <c r="K2021">
        <v>0</v>
      </c>
      <c r="L2021" t="str">
        <f t="shared" si="66"/>
        <v>30-7-2023</v>
      </c>
      <c r="M2021">
        <f t="shared" si="67"/>
        <v>2023</v>
      </c>
    </row>
    <row r="2022" spans="1:13" x14ac:dyDescent="0.2">
      <c r="A2022" s="1">
        <f t="shared" si="62"/>
        <v>45131</v>
      </c>
      <c r="B2022">
        <f t="shared" si="65"/>
        <v>30</v>
      </c>
      <c r="C2022">
        <f t="shared" si="63"/>
        <v>7</v>
      </c>
      <c r="D2022">
        <f t="shared" si="64"/>
        <v>3</v>
      </c>
      <c r="E2022" t="s">
        <v>47</v>
      </c>
      <c r="F2022">
        <v>0</v>
      </c>
      <c r="G2022">
        <f>INDEX(weekly!$E$2:$E$188,MATCH('Marketing Campaigns 22.11.22'!L2022,weekly!$H$2:$H$188,0))</f>
        <v>5937.1359970023932</v>
      </c>
      <c r="H2022">
        <f>INDEX(weekly!$D$2:$D$188,MATCH('Marketing Campaigns 22.11.22'!L2022,weekly!$H$2:$H$188,0))</f>
        <v>17309.70360597028</v>
      </c>
      <c r="I2022">
        <f>INDEX(weekly!$F$2:$F$188,MATCH('Marketing Campaigns 22.11.22'!L2022,weekly!$H$2:$H$188,0))</f>
        <v>6353.2139167256564</v>
      </c>
      <c r="J2022">
        <v>0</v>
      </c>
      <c r="K2022">
        <v>0</v>
      </c>
      <c r="L2022" t="str">
        <f t="shared" si="66"/>
        <v>30-7-2023</v>
      </c>
      <c r="M2022">
        <f t="shared" si="67"/>
        <v>2023</v>
      </c>
    </row>
    <row r="2023" spans="1:13" x14ac:dyDescent="0.2">
      <c r="A2023" s="1">
        <f t="shared" si="62"/>
        <v>45131</v>
      </c>
      <c r="B2023">
        <f t="shared" si="65"/>
        <v>30</v>
      </c>
      <c r="C2023">
        <f t="shared" si="63"/>
        <v>7</v>
      </c>
      <c r="D2023">
        <f t="shared" si="64"/>
        <v>3</v>
      </c>
      <c r="E2023" t="s">
        <v>48</v>
      </c>
      <c r="F2023">
        <v>0</v>
      </c>
      <c r="G2023">
        <f>INDEX(weekly!$E$2:$E$188,MATCH('Marketing Campaigns 22.11.22'!L2023,weekly!$H$2:$H$188,0))</f>
        <v>5937.1359970023932</v>
      </c>
      <c r="H2023">
        <f>INDEX(weekly!$D$2:$D$188,MATCH('Marketing Campaigns 22.11.22'!L2023,weekly!$H$2:$H$188,0))</f>
        <v>17309.70360597028</v>
      </c>
      <c r="I2023">
        <f>INDEX(weekly!$F$2:$F$188,MATCH('Marketing Campaigns 22.11.22'!L2023,weekly!$H$2:$H$188,0))</f>
        <v>6353.2139167256564</v>
      </c>
      <c r="J2023">
        <v>0</v>
      </c>
      <c r="K2023">
        <v>0</v>
      </c>
      <c r="L2023" t="str">
        <f t="shared" si="66"/>
        <v>30-7-2023</v>
      </c>
      <c r="M2023">
        <f t="shared" si="67"/>
        <v>2023</v>
      </c>
    </row>
    <row r="2024" spans="1:13" x14ac:dyDescent="0.2">
      <c r="A2024" s="1">
        <f t="shared" si="62"/>
        <v>45131</v>
      </c>
      <c r="B2024">
        <f t="shared" si="65"/>
        <v>30</v>
      </c>
      <c r="C2024">
        <f t="shared" si="63"/>
        <v>7</v>
      </c>
      <c r="D2024">
        <f t="shared" si="64"/>
        <v>3</v>
      </c>
      <c r="E2024" t="s">
        <v>49</v>
      </c>
      <c r="F2024">
        <v>0</v>
      </c>
      <c r="G2024">
        <f>INDEX(weekly!$E$2:$E$188,MATCH('Marketing Campaigns 22.11.22'!L2024,weekly!$H$2:$H$188,0))</f>
        <v>5937.1359970023932</v>
      </c>
      <c r="H2024">
        <f>INDEX(weekly!$D$2:$D$188,MATCH('Marketing Campaigns 22.11.22'!L2024,weekly!$H$2:$H$188,0))</f>
        <v>17309.70360597028</v>
      </c>
      <c r="I2024">
        <f>INDEX(weekly!$F$2:$F$188,MATCH('Marketing Campaigns 22.11.22'!L2024,weekly!$H$2:$H$188,0))</f>
        <v>6353.2139167256564</v>
      </c>
      <c r="J2024">
        <v>0</v>
      </c>
      <c r="K2024">
        <v>0</v>
      </c>
      <c r="L2024" t="str">
        <f t="shared" si="66"/>
        <v>30-7-2023</v>
      </c>
      <c r="M2024">
        <f t="shared" si="67"/>
        <v>2023</v>
      </c>
    </row>
    <row r="2025" spans="1:13" x14ac:dyDescent="0.2">
      <c r="A2025" s="1">
        <f t="shared" si="62"/>
        <v>45131</v>
      </c>
      <c r="B2025">
        <f t="shared" si="65"/>
        <v>30</v>
      </c>
      <c r="C2025">
        <f t="shared" si="63"/>
        <v>7</v>
      </c>
      <c r="D2025">
        <f t="shared" si="64"/>
        <v>3</v>
      </c>
      <c r="E2025" t="s">
        <v>50</v>
      </c>
      <c r="F2025">
        <v>0</v>
      </c>
      <c r="G2025">
        <f>INDEX(weekly!$E$2:$E$188,MATCH('Marketing Campaigns 22.11.22'!L2025,weekly!$H$2:$H$188,0))</f>
        <v>5937.1359970023932</v>
      </c>
      <c r="H2025">
        <f>INDEX(weekly!$D$2:$D$188,MATCH('Marketing Campaigns 22.11.22'!L2025,weekly!$H$2:$H$188,0))</f>
        <v>17309.70360597028</v>
      </c>
      <c r="I2025">
        <f>INDEX(weekly!$F$2:$F$188,MATCH('Marketing Campaigns 22.11.22'!L2025,weekly!$H$2:$H$188,0))</f>
        <v>6353.2139167256564</v>
      </c>
      <c r="J2025">
        <v>0</v>
      </c>
      <c r="K2025">
        <v>0</v>
      </c>
      <c r="L2025" t="str">
        <f t="shared" si="66"/>
        <v>30-7-2023</v>
      </c>
      <c r="M2025">
        <f t="shared" si="67"/>
        <v>2023</v>
      </c>
    </row>
    <row r="2026" spans="1:13" x14ac:dyDescent="0.2">
      <c r="A2026" s="1">
        <f t="shared" si="62"/>
        <v>45131</v>
      </c>
      <c r="B2026">
        <f t="shared" si="65"/>
        <v>30</v>
      </c>
      <c r="C2026">
        <f t="shared" si="63"/>
        <v>7</v>
      </c>
      <c r="D2026">
        <f t="shared" si="64"/>
        <v>3</v>
      </c>
      <c r="E2026" t="s">
        <v>51</v>
      </c>
      <c r="F2026">
        <v>0</v>
      </c>
      <c r="G2026">
        <f>INDEX(weekly!$E$2:$E$188,MATCH('Marketing Campaigns 22.11.22'!L2026,weekly!$H$2:$H$188,0))</f>
        <v>5937.1359970023932</v>
      </c>
      <c r="H2026">
        <f>INDEX(weekly!$D$2:$D$188,MATCH('Marketing Campaigns 22.11.22'!L2026,weekly!$H$2:$H$188,0))</f>
        <v>17309.70360597028</v>
      </c>
      <c r="I2026">
        <f>INDEX(weekly!$F$2:$F$188,MATCH('Marketing Campaigns 22.11.22'!L2026,weekly!$H$2:$H$188,0))</f>
        <v>6353.2139167256564</v>
      </c>
      <c r="J2026">
        <v>0</v>
      </c>
      <c r="K2026">
        <v>0</v>
      </c>
      <c r="L2026" t="str">
        <f t="shared" si="66"/>
        <v>30-7-2023</v>
      </c>
      <c r="M2026">
        <f t="shared" si="67"/>
        <v>2023</v>
      </c>
    </row>
    <row r="2027" spans="1:13" x14ac:dyDescent="0.2">
      <c r="A2027" s="1">
        <f t="shared" si="62"/>
        <v>45131</v>
      </c>
      <c r="B2027">
        <f t="shared" si="65"/>
        <v>30</v>
      </c>
      <c r="C2027">
        <f t="shared" si="63"/>
        <v>7</v>
      </c>
      <c r="D2027">
        <f t="shared" si="64"/>
        <v>3</v>
      </c>
      <c r="E2027" t="s">
        <v>52</v>
      </c>
      <c r="F2027">
        <v>0</v>
      </c>
      <c r="G2027">
        <f>INDEX(weekly!$E$2:$E$188,MATCH('Marketing Campaigns 22.11.22'!L2027,weekly!$H$2:$H$188,0))</f>
        <v>5937.1359970023932</v>
      </c>
      <c r="H2027">
        <f>INDEX(weekly!$D$2:$D$188,MATCH('Marketing Campaigns 22.11.22'!L2027,weekly!$H$2:$H$188,0))</f>
        <v>17309.70360597028</v>
      </c>
      <c r="I2027">
        <f>INDEX(weekly!$F$2:$F$188,MATCH('Marketing Campaigns 22.11.22'!L2027,weekly!$H$2:$H$188,0))</f>
        <v>6353.2139167256564</v>
      </c>
      <c r="J2027">
        <v>0</v>
      </c>
      <c r="K2027">
        <v>0</v>
      </c>
      <c r="L2027" t="str">
        <f t="shared" si="66"/>
        <v>30-7-2023</v>
      </c>
      <c r="M2027">
        <f t="shared" si="67"/>
        <v>2023</v>
      </c>
    </row>
    <row r="2028" spans="1:13" x14ac:dyDescent="0.2">
      <c r="A2028" s="1">
        <f t="shared" si="62"/>
        <v>45138</v>
      </c>
      <c r="B2028">
        <f>IF(E2028="None",B2027+1,B2027)</f>
        <v>31</v>
      </c>
      <c r="C2028">
        <f t="shared" si="63"/>
        <v>7</v>
      </c>
      <c r="D2028">
        <f t="shared" si="64"/>
        <v>3</v>
      </c>
      <c r="E2028" t="s">
        <v>24</v>
      </c>
      <c r="F2028">
        <v>0</v>
      </c>
      <c r="G2028">
        <f>INDEX(weekly!$E$2:$E$188,MATCH('Marketing Campaigns 22.11.22'!L2028,weekly!$H$2:$H$188,0))</f>
        <v>848.16228528605598</v>
      </c>
      <c r="H2028">
        <f>INDEX(weekly!$D$2:$D$188,MATCH('Marketing Campaigns 22.11.22'!L2028,weekly!$H$2:$H$188,0))</f>
        <v>2472.8148008528974</v>
      </c>
      <c r="I2028">
        <f>INDEX(weekly!$F$2:$F$188,MATCH('Marketing Campaigns 22.11.22'!L2028,weekly!$H$2:$H$188,0))</f>
        <v>907.60198810366512</v>
      </c>
      <c r="J2028">
        <v>0</v>
      </c>
      <c r="K2028">
        <v>0</v>
      </c>
      <c r="L2028" t="str">
        <f t="shared" si="66"/>
        <v>31-7-2023</v>
      </c>
      <c r="M2028">
        <f t="shared" si="67"/>
        <v>2023</v>
      </c>
    </row>
    <row r="2029" spans="1:13" x14ac:dyDescent="0.2">
      <c r="A2029" s="1">
        <f t="shared" si="62"/>
        <v>45138</v>
      </c>
      <c r="B2029">
        <f t="shared" si="65"/>
        <v>31</v>
      </c>
      <c r="C2029">
        <f t="shared" si="63"/>
        <v>7</v>
      </c>
      <c r="D2029">
        <f t="shared" si="64"/>
        <v>3</v>
      </c>
      <c r="E2029" t="s">
        <v>39</v>
      </c>
      <c r="F2029">
        <v>0</v>
      </c>
      <c r="G2029">
        <f>INDEX(weekly!$E$2:$E$188,MATCH('Marketing Campaigns 22.11.22'!L2029,weekly!$H$2:$H$188,0))</f>
        <v>848.16228528605598</v>
      </c>
      <c r="H2029">
        <f>INDEX(weekly!$D$2:$D$188,MATCH('Marketing Campaigns 22.11.22'!L2029,weekly!$H$2:$H$188,0))</f>
        <v>2472.8148008528974</v>
      </c>
      <c r="I2029">
        <f>INDEX(weekly!$F$2:$F$188,MATCH('Marketing Campaigns 22.11.22'!L2029,weekly!$H$2:$H$188,0))</f>
        <v>907.60198810366512</v>
      </c>
      <c r="J2029">
        <v>0</v>
      </c>
      <c r="K2029">
        <v>0</v>
      </c>
      <c r="L2029" t="str">
        <f t="shared" si="66"/>
        <v>31-7-2023</v>
      </c>
      <c r="M2029">
        <f t="shared" si="67"/>
        <v>2023</v>
      </c>
    </row>
    <row r="2030" spans="1:13" x14ac:dyDescent="0.2">
      <c r="A2030" s="1">
        <f t="shared" si="62"/>
        <v>45138</v>
      </c>
      <c r="B2030">
        <f t="shared" si="65"/>
        <v>31</v>
      </c>
      <c r="C2030">
        <f t="shared" si="63"/>
        <v>7</v>
      </c>
      <c r="D2030">
        <f t="shared" si="64"/>
        <v>3</v>
      </c>
      <c r="E2030" t="s">
        <v>40</v>
      </c>
      <c r="F2030">
        <v>0</v>
      </c>
      <c r="G2030">
        <f>INDEX(weekly!$E$2:$E$188,MATCH('Marketing Campaigns 22.11.22'!L2030,weekly!$H$2:$H$188,0))</f>
        <v>848.16228528605598</v>
      </c>
      <c r="H2030">
        <f>INDEX(weekly!$D$2:$D$188,MATCH('Marketing Campaigns 22.11.22'!L2030,weekly!$H$2:$H$188,0))</f>
        <v>2472.8148008528974</v>
      </c>
      <c r="I2030">
        <f>INDEX(weekly!$F$2:$F$188,MATCH('Marketing Campaigns 22.11.22'!L2030,weekly!$H$2:$H$188,0))</f>
        <v>907.60198810366512</v>
      </c>
      <c r="J2030">
        <v>0</v>
      </c>
      <c r="K2030">
        <v>0</v>
      </c>
      <c r="L2030" t="str">
        <f t="shared" si="66"/>
        <v>31-7-2023</v>
      </c>
      <c r="M2030">
        <f t="shared" si="67"/>
        <v>2023</v>
      </c>
    </row>
    <row r="2031" spans="1:13" x14ac:dyDescent="0.2">
      <c r="A2031" s="1">
        <f t="shared" si="62"/>
        <v>45138</v>
      </c>
      <c r="B2031">
        <f t="shared" si="65"/>
        <v>31</v>
      </c>
      <c r="C2031">
        <f t="shared" si="63"/>
        <v>7</v>
      </c>
      <c r="D2031">
        <f t="shared" si="64"/>
        <v>3</v>
      </c>
      <c r="E2031" t="s">
        <v>41</v>
      </c>
      <c r="F2031">
        <v>0</v>
      </c>
      <c r="G2031">
        <f>INDEX(weekly!$E$2:$E$188,MATCH('Marketing Campaigns 22.11.22'!L2031,weekly!$H$2:$H$188,0))</f>
        <v>848.16228528605598</v>
      </c>
      <c r="H2031">
        <f>INDEX(weekly!$D$2:$D$188,MATCH('Marketing Campaigns 22.11.22'!L2031,weekly!$H$2:$H$188,0))</f>
        <v>2472.8148008528974</v>
      </c>
      <c r="I2031">
        <f>INDEX(weekly!$F$2:$F$188,MATCH('Marketing Campaigns 22.11.22'!L2031,weekly!$H$2:$H$188,0))</f>
        <v>907.60198810366512</v>
      </c>
      <c r="J2031">
        <v>0</v>
      </c>
      <c r="K2031">
        <v>0</v>
      </c>
      <c r="L2031" t="str">
        <f t="shared" si="66"/>
        <v>31-7-2023</v>
      </c>
      <c r="M2031">
        <f t="shared" si="67"/>
        <v>2023</v>
      </c>
    </row>
    <row r="2032" spans="1:13" x14ac:dyDescent="0.2">
      <c r="A2032" s="1">
        <f t="shared" si="62"/>
        <v>45138</v>
      </c>
      <c r="B2032">
        <f t="shared" si="65"/>
        <v>31</v>
      </c>
      <c r="C2032">
        <f t="shared" si="63"/>
        <v>7</v>
      </c>
      <c r="D2032">
        <f t="shared" si="64"/>
        <v>3</v>
      </c>
      <c r="E2032" t="s">
        <v>42</v>
      </c>
      <c r="F2032">
        <v>0</v>
      </c>
      <c r="G2032">
        <f>INDEX(weekly!$E$2:$E$188,MATCH('Marketing Campaigns 22.11.22'!L2032,weekly!$H$2:$H$188,0))</f>
        <v>848.16228528605598</v>
      </c>
      <c r="H2032">
        <f>INDEX(weekly!$D$2:$D$188,MATCH('Marketing Campaigns 22.11.22'!L2032,weekly!$H$2:$H$188,0))</f>
        <v>2472.8148008528974</v>
      </c>
      <c r="I2032">
        <f>INDEX(weekly!$F$2:$F$188,MATCH('Marketing Campaigns 22.11.22'!L2032,weekly!$H$2:$H$188,0))</f>
        <v>907.60198810366512</v>
      </c>
      <c r="J2032">
        <v>0</v>
      </c>
      <c r="K2032">
        <v>0</v>
      </c>
      <c r="L2032" t="str">
        <f t="shared" si="66"/>
        <v>31-7-2023</v>
      </c>
      <c r="M2032">
        <f t="shared" si="67"/>
        <v>2023</v>
      </c>
    </row>
    <row r="2033" spans="1:13" x14ac:dyDescent="0.2">
      <c r="A2033" s="1">
        <f t="shared" ref="A2033:A2096" si="68">DATE(2023, 1, -2) - WEEKDAY(DATE(2023, 1, 3)) + B2033 * 7</f>
        <v>45138</v>
      </c>
      <c r="B2033">
        <f t="shared" si="65"/>
        <v>31</v>
      </c>
      <c r="C2033">
        <f t="shared" ref="C2033:C2096" si="69">MONTH(A2033)</f>
        <v>7</v>
      </c>
      <c r="D2033">
        <f t="shared" ref="D2033:D2096" si="70">CEILING(C2033 / 3,1)</f>
        <v>3</v>
      </c>
      <c r="E2033" t="s">
        <v>43</v>
      </c>
      <c r="F2033">
        <v>0</v>
      </c>
      <c r="G2033">
        <f>INDEX(weekly!$E$2:$E$188,MATCH('Marketing Campaigns 22.11.22'!L2033,weekly!$H$2:$H$188,0))</f>
        <v>848.16228528605598</v>
      </c>
      <c r="H2033">
        <f>INDEX(weekly!$D$2:$D$188,MATCH('Marketing Campaigns 22.11.22'!L2033,weekly!$H$2:$H$188,0))</f>
        <v>2472.8148008528974</v>
      </c>
      <c r="I2033">
        <f>INDEX(weekly!$F$2:$F$188,MATCH('Marketing Campaigns 22.11.22'!L2033,weekly!$H$2:$H$188,0))</f>
        <v>907.60198810366512</v>
      </c>
      <c r="J2033">
        <v>0</v>
      </c>
      <c r="K2033">
        <v>0</v>
      </c>
      <c r="L2033" t="str">
        <f t="shared" si="66"/>
        <v>31-7-2023</v>
      </c>
      <c r="M2033">
        <f t="shared" si="67"/>
        <v>2023</v>
      </c>
    </row>
    <row r="2034" spans="1:13" x14ac:dyDescent="0.2">
      <c r="A2034" s="1">
        <f t="shared" si="68"/>
        <v>45138</v>
      </c>
      <c r="B2034">
        <f t="shared" si="65"/>
        <v>31</v>
      </c>
      <c r="C2034">
        <f t="shared" si="69"/>
        <v>7</v>
      </c>
      <c r="D2034">
        <f t="shared" si="70"/>
        <v>3</v>
      </c>
      <c r="E2034" t="s">
        <v>44</v>
      </c>
      <c r="F2034">
        <v>0</v>
      </c>
      <c r="G2034">
        <f>INDEX(weekly!$E$2:$E$188,MATCH('Marketing Campaigns 22.11.22'!L2034,weekly!$H$2:$H$188,0))</f>
        <v>848.16228528605598</v>
      </c>
      <c r="H2034">
        <f>INDEX(weekly!$D$2:$D$188,MATCH('Marketing Campaigns 22.11.22'!L2034,weekly!$H$2:$H$188,0))</f>
        <v>2472.8148008528974</v>
      </c>
      <c r="I2034">
        <f>INDEX(weekly!$F$2:$F$188,MATCH('Marketing Campaigns 22.11.22'!L2034,weekly!$H$2:$H$188,0))</f>
        <v>907.60198810366512</v>
      </c>
      <c r="J2034">
        <v>0</v>
      </c>
      <c r="K2034">
        <v>0</v>
      </c>
      <c r="L2034" t="str">
        <f t="shared" si="66"/>
        <v>31-7-2023</v>
      </c>
      <c r="M2034">
        <f t="shared" si="67"/>
        <v>2023</v>
      </c>
    </row>
    <row r="2035" spans="1:13" x14ac:dyDescent="0.2">
      <c r="A2035" s="1">
        <f t="shared" si="68"/>
        <v>45138</v>
      </c>
      <c r="B2035">
        <f t="shared" si="65"/>
        <v>31</v>
      </c>
      <c r="C2035">
        <f t="shared" si="69"/>
        <v>7</v>
      </c>
      <c r="D2035">
        <f t="shared" si="70"/>
        <v>3</v>
      </c>
      <c r="E2035" t="s">
        <v>45</v>
      </c>
      <c r="F2035">
        <v>0</v>
      </c>
      <c r="G2035">
        <f>INDEX(weekly!$E$2:$E$188,MATCH('Marketing Campaigns 22.11.22'!L2035,weekly!$H$2:$H$188,0))</f>
        <v>848.16228528605598</v>
      </c>
      <c r="H2035">
        <f>INDEX(weekly!$D$2:$D$188,MATCH('Marketing Campaigns 22.11.22'!L2035,weekly!$H$2:$H$188,0))</f>
        <v>2472.8148008528974</v>
      </c>
      <c r="I2035">
        <f>INDEX(weekly!$F$2:$F$188,MATCH('Marketing Campaigns 22.11.22'!L2035,weekly!$H$2:$H$188,0))</f>
        <v>907.60198810366512</v>
      </c>
      <c r="J2035">
        <v>0</v>
      </c>
      <c r="K2035">
        <v>0</v>
      </c>
      <c r="L2035" t="str">
        <f t="shared" si="66"/>
        <v>31-7-2023</v>
      </c>
      <c r="M2035">
        <f t="shared" si="67"/>
        <v>2023</v>
      </c>
    </row>
    <row r="2036" spans="1:13" x14ac:dyDescent="0.2">
      <c r="A2036" s="1">
        <f t="shared" si="68"/>
        <v>45138</v>
      </c>
      <c r="B2036">
        <f t="shared" si="65"/>
        <v>31</v>
      </c>
      <c r="C2036">
        <f t="shared" si="69"/>
        <v>7</v>
      </c>
      <c r="D2036">
        <f t="shared" si="70"/>
        <v>3</v>
      </c>
      <c r="E2036" t="s">
        <v>46</v>
      </c>
      <c r="F2036">
        <v>0</v>
      </c>
      <c r="G2036">
        <f>INDEX(weekly!$E$2:$E$188,MATCH('Marketing Campaigns 22.11.22'!L2036,weekly!$H$2:$H$188,0))</f>
        <v>848.16228528605598</v>
      </c>
      <c r="H2036">
        <f>INDEX(weekly!$D$2:$D$188,MATCH('Marketing Campaigns 22.11.22'!L2036,weekly!$H$2:$H$188,0))</f>
        <v>2472.8148008528974</v>
      </c>
      <c r="I2036">
        <f>INDEX(weekly!$F$2:$F$188,MATCH('Marketing Campaigns 22.11.22'!L2036,weekly!$H$2:$H$188,0))</f>
        <v>907.60198810366512</v>
      </c>
      <c r="J2036">
        <v>0</v>
      </c>
      <c r="K2036">
        <v>0</v>
      </c>
      <c r="L2036" t="str">
        <f t="shared" si="66"/>
        <v>31-7-2023</v>
      </c>
      <c r="M2036">
        <f t="shared" si="67"/>
        <v>2023</v>
      </c>
    </row>
    <row r="2037" spans="1:13" x14ac:dyDescent="0.2">
      <c r="A2037" s="1">
        <f t="shared" si="68"/>
        <v>45138</v>
      </c>
      <c r="B2037">
        <f t="shared" si="65"/>
        <v>31</v>
      </c>
      <c r="C2037">
        <f t="shared" si="69"/>
        <v>7</v>
      </c>
      <c r="D2037">
        <f t="shared" si="70"/>
        <v>3</v>
      </c>
      <c r="E2037" t="s">
        <v>47</v>
      </c>
      <c r="F2037">
        <v>0</v>
      </c>
      <c r="G2037">
        <f>INDEX(weekly!$E$2:$E$188,MATCH('Marketing Campaigns 22.11.22'!L2037,weekly!$H$2:$H$188,0))</f>
        <v>848.16228528605598</v>
      </c>
      <c r="H2037">
        <f>INDEX(weekly!$D$2:$D$188,MATCH('Marketing Campaigns 22.11.22'!L2037,weekly!$H$2:$H$188,0))</f>
        <v>2472.8148008528974</v>
      </c>
      <c r="I2037">
        <f>INDEX(weekly!$F$2:$F$188,MATCH('Marketing Campaigns 22.11.22'!L2037,weekly!$H$2:$H$188,0))</f>
        <v>907.60198810366512</v>
      </c>
      <c r="J2037">
        <v>0</v>
      </c>
      <c r="K2037">
        <v>0</v>
      </c>
      <c r="L2037" t="str">
        <f t="shared" si="66"/>
        <v>31-7-2023</v>
      </c>
      <c r="M2037">
        <f t="shared" si="67"/>
        <v>2023</v>
      </c>
    </row>
    <row r="2038" spans="1:13" x14ac:dyDescent="0.2">
      <c r="A2038" s="1">
        <f t="shared" si="68"/>
        <v>45138</v>
      </c>
      <c r="B2038">
        <f t="shared" si="65"/>
        <v>31</v>
      </c>
      <c r="C2038">
        <f t="shared" si="69"/>
        <v>7</v>
      </c>
      <c r="D2038">
        <f t="shared" si="70"/>
        <v>3</v>
      </c>
      <c r="E2038" t="s">
        <v>48</v>
      </c>
      <c r="F2038">
        <v>0</v>
      </c>
      <c r="G2038">
        <f>INDEX(weekly!$E$2:$E$188,MATCH('Marketing Campaigns 22.11.22'!L2038,weekly!$H$2:$H$188,0))</f>
        <v>848.16228528605598</v>
      </c>
      <c r="H2038">
        <f>INDEX(weekly!$D$2:$D$188,MATCH('Marketing Campaigns 22.11.22'!L2038,weekly!$H$2:$H$188,0))</f>
        <v>2472.8148008528974</v>
      </c>
      <c r="I2038">
        <f>INDEX(weekly!$F$2:$F$188,MATCH('Marketing Campaigns 22.11.22'!L2038,weekly!$H$2:$H$188,0))</f>
        <v>907.60198810366512</v>
      </c>
      <c r="J2038">
        <v>0</v>
      </c>
      <c r="K2038">
        <v>0</v>
      </c>
      <c r="L2038" t="str">
        <f t="shared" si="66"/>
        <v>31-7-2023</v>
      </c>
      <c r="M2038">
        <f t="shared" si="67"/>
        <v>2023</v>
      </c>
    </row>
    <row r="2039" spans="1:13" x14ac:dyDescent="0.2">
      <c r="A2039" s="1">
        <f t="shared" si="68"/>
        <v>45138</v>
      </c>
      <c r="B2039">
        <f t="shared" si="65"/>
        <v>31</v>
      </c>
      <c r="C2039">
        <f t="shared" si="69"/>
        <v>7</v>
      </c>
      <c r="D2039">
        <f t="shared" si="70"/>
        <v>3</v>
      </c>
      <c r="E2039" t="s">
        <v>49</v>
      </c>
      <c r="F2039">
        <v>0</v>
      </c>
      <c r="G2039">
        <f>INDEX(weekly!$E$2:$E$188,MATCH('Marketing Campaigns 22.11.22'!L2039,weekly!$H$2:$H$188,0))</f>
        <v>848.16228528605598</v>
      </c>
      <c r="H2039">
        <f>INDEX(weekly!$D$2:$D$188,MATCH('Marketing Campaigns 22.11.22'!L2039,weekly!$H$2:$H$188,0))</f>
        <v>2472.8148008528974</v>
      </c>
      <c r="I2039">
        <f>INDEX(weekly!$F$2:$F$188,MATCH('Marketing Campaigns 22.11.22'!L2039,weekly!$H$2:$H$188,0))</f>
        <v>907.60198810366512</v>
      </c>
      <c r="J2039">
        <v>0</v>
      </c>
      <c r="K2039">
        <v>0</v>
      </c>
      <c r="L2039" t="str">
        <f t="shared" si="66"/>
        <v>31-7-2023</v>
      </c>
      <c r="M2039">
        <f t="shared" si="67"/>
        <v>2023</v>
      </c>
    </row>
    <row r="2040" spans="1:13" x14ac:dyDescent="0.2">
      <c r="A2040" s="1">
        <f t="shared" si="68"/>
        <v>45138</v>
      </c>
      <c r="B2040">
        <f t="shared" si="65"/>
        <v>31</v>
      </c>
      <c r="C2040">
        <f t="shared" si="69"/>
        <v>7</v>
      </c>
      <c r="D2040">
        <f t="shared" si="70"/>
        <v>3</v>
      </c>
      <c r="E2040" t="s">
        <v>50</v>
      </c>
      <c r="F2040">
        <v>0</v>
      </c>
      <c r="G2040">
        <f>INDEX(weekly!$E$2:$E$188,MATCH('Marketing Campaigns 22.11.22'!L2040,weekly!$H$2:$H$188,0))</f>
        <v>848.16228528605598</v>
      </c>
      <c r="H2040">
        <f>INDEX(weekly!$D$2:$D$188,MATCH('Marketing Campaigns 22.11.22'!L2040,weekly!$H$2:$H$188,0))</f>
        <v>2472.8148008528974</v>
      </c>
      <c r="I2040">
        <f>INDEX(weekly!$F$2:$F$188,MATCH('Marketing Campaigns 22.11.22'!L2040,weekly!$H$2:$H$188,0))</f>
        <v>907.60198810366512</v>
      </c>
      <c r="J2040">
        <v>0</v>
      </c>
      <c r="K2040">
        <v>0</v>
      </c>
      <c r="L2040" t="str">
        <f t="shared" si="66"/>
        <v>31-7-2023</v>
      </c>
      <c r="M2040">
        <f t="shared" si="67"/>
        <v>2023</v>
      </c>
    </row>
    <row r="2041" spans="1:13" x14ac:dyDescent="0.2">
      <c r="A2041" s="1">
        <f t="shared" si="68"/>
        <v>45138</v>
      </c>
      <c r="B2041">
        <f t="shared" si="65"/>
        <v>31</v>
      </c>
      <c r="C2041">
        <f t="shared" si="69"/>
        <v>7</v>
      </c>
      <c r="D2041">
        <f t="shared" si="70"/>
        <v>3</v>
      </c>
      <c r="E2041" t="s">
        <v>51</v>
      </c>
      <c r="F2041">
        <v>0</v>
      </c>
      <c r="G2041">
        <f>INDEX(weekly!$E$2:$E$188,MATCH('Marketing Campaigns 22.11.22'!L2041,weekly!$H$2:$H$188,0))</f>
        <v>848.16228528605598</v>
      </c>
      <c r="H2041">
        <f>INDEX(weekly!$D$2:$D$188,MATCH('Marketing Campaigns 22.11.22'!L2041,weekly!$H$2:$H$188,0))</f>
        <v>2472.8148008528974</v>
      </c>
      <c r="I2041">
        <f>INDEX(weekly!$F$2:$F$188,MATCH('Marketing Campaigns 22.11.22'!L2041,weekly!$H$2:$H$188,0))</f>
        <v>907.60198810366512</v>
      </c>
      <c r="J2041">
        <v>0</v>
      </c>
      <c r="K2041">
        <v>0</v>
      </c>
      <c r="L2041" t="str">
        <f t="shared" si="66"/>
        <v>31-7-2023</v>
      </c>
      <c r="M2041">
        <f t="shared" si="67"/>
        <v>2023</v>
      </c>
    </row>
    <row r="2042" spans="1:13" x14ac:dyDescent="0.2">
      <c r="A2042" s="1">
        <f t="shared" si="68"/>
        <v>45138</v>
      </c>
      <c r="B2042">
        <f t="shared" si="65"/>
        <v>31</v>
      </c>
      <c r="C2042">
        <f t="shared" si="69"/>
        <v>7</v>
      </c>
      <c r="D2042">
        <f t="shared" si="70"/>
        <v>3</v>
      </c>
      <c r="E2042" t="s">
        <v>52</v>
      </c>
      <c r="F2042">
        <v>0</v>
      </c>
      <c r="G2042">
        <f>INDEX(weekly!$E$2:$E$188,MATCH('Marketing Campaigns 22.11.22'!L2042,weekly!$H$2:$H$188,0))</f>
        <v>848.16228528605598</v>
      </c>
      <c r="H2042">
        <f>INDEX(weekly!$D$2:$D$188,MATCH('Marketing Campaigns 22.11.22'!L2042,weekly!$H$2:$H$188,0))</f>
        <v>2472.8148008528974</v>
      </c>
      <c r="I2042">
        <f>INDEX(weekly!$F$2:$F$188,MATCH('Marketing Campaigns 22.11.22'!L2042,weekly!$H$2:$H$188,0))</f>
        <v>907.60198810366512</v>
      </c>
      <c r="J2042">
        <v>0</v>
      </c>
      <c r="K2042">
        <v>0</v>
      </c>
      <c r="L2042" t="str">
        <f t="shared" si="66"/>
        <v>31-7-2023</v>
      </c>
      <c r="M2042">
        <f t="shared" si="67"/>
        <v>2023</v>
      </c>
    </row>
    <row r="2043" spans="1:13" x14ac:dyDescent="0.2">
      <c r="A2043" s="1">
        <f t="shared" si="68"/>
        <v>45145</v>
      </c>
      <c r="B2043">
        <f>IF(E2043="None",B2042+1,B2042)</f>
        <v>32</v>
      </c>
      <c r="C2043">
        <f t="shared" si="69"/>
        <v>8</v>
      </c>
      <c r="D2043">
        <f t="shared" si="70"/>
        <v>3</v>
      </c>
      <c r="E2043" t="s">
        <v>24</v>
      </c>
      <c r="F2043">
        <v>0</v>
      </c>
      <c r="G2043">
        <f>INDEX(weekly!$E$2:$E$188,MATCH('Marketing Campaigns 22.11.22'!L2043,weekly!$H$2:$H$188,0))</f>
        <v>5487.170990830763</v>
      </c>
      <c r="H2043">
        <f>INDEX(weekly!$D$2:$D$188,MATCH('Marketing Campaigns 22.11.22'!L2043,weekly!$H$2:$H$188,0))</f>
        <v>17385.26435094764</v>
      </c>
      <c r="I2043">
        <f>INDEX(weekly!$F$2:$F$188,MATCH('Marketing Campaigns 22.11.22'!L2043,weekly!$H$2:$H$188,0))</f>
        <v>5999.7993719066908</v>
      </c>
      <c r="J2043">
        <v>0</v>
      </c>
      <c r="K2043">
        <v>0</v>
      </c>
      <c r="L2043" t="str">
        <f t="shared" si="66"/>
        <v>32-8-2023</v>
      </c>
      <c r="M2043">
        <f t="shared" si="67"/>
        <v>2023</v>
      </c>
    </row>
    <row r="2044" spans="1:13" x14ac:dyDescent="0.2">
      <c r="A2044" s="1">
        <f t="shared" si="68"/>
        <v>45145</v>
      </c>
      <c r="B2044">
        <f t="shared" si="65"/>
        <v>32</v>
      </c>
      <c r="C2044">
        <f t="shared" si="69"/>
        <v>8</v>
      </c>
      <c r="D2044">
        <f t="shared" si="70"/>
        <v>3</v>
      </c>
      <c r="E2044" t="s">
        <v>39</v>
      </c>
      <c r="F2044">
        <v>0</v>
      </c>
      <c r="G2044">
        <f>INDEX(weekly!$E$2:$E$188,MATCH('Marketing Campaigns 22.11.22'!L2044,weekly!$H$2:$H$188,0))</f>
        <v>5487.170990830763</v>
      </c>
      <c r="H2044">
        <f>INDEX(weekly!$D$2:$D$188,MATCH('Marketing Campaigns 22.11.22'!L2044,weekly!$H$2:$H$188,0))</f>
        <v>17385.26435094764</v>
      </c>
      <c r="I2044">
        <f>INDEX(weekly!$F$2:$F$188,MATCH('Marketing Campaigns 22.11.22'!L2044,weekly!$H$2:$H$188,0))</f>
        <v>5999.7993719066908</v>
      </c>
      <c r="J2044">
        <v>0</v>
      </c>
      <c r="K2044">
        <v>0</v>
      </c>
      <c r="L2044" t="str">
        <f t="shared" si="66"/>
        <v>32-8-2023</v>
      </c>
      <c r="M2044">
        <f t="shared" si="67"/>
        <v>2023</v>
      </c>
    </row>
    <row r="2045" spans="1:13" x14ac:dyDescent="0.2">
      <c r="A2045" s="1">
        <f t="shared" si="68"/>
        <v>45145</v>
      </c>
      <c r="B2045">
        <f t="shared" si="65"/>
        <v>32</v>
      </c>
      <c r="C2045">
        <f t="shared" si="69"/>
        <v>8</v>
      </c>
      <c r="D2045">
        <f t="shared" si="70"/>
        <v>3</v>
      </c>
      <c r="E2045" t="s">
        <v>40</v>
      </c>
      <c r="F2045">
        <v>0</v>
      </c>
      <c r="G2045">
        <f>INDEX(weekly!$E$2:$E$188,MATCH('Marketing Campaigns 22.11.22'!L2045,weekly!$H$2:$H$188,0))</f>
        <v>5487.170990830763</v>
      </c>
      <c r="H2045">
        <f>INDEX(weekly!$D$2:$D$188,MATCH('Marketing Campaigns 22.11.22'!L2045,weekly!$H$2:$H$188,0))</f>
        <v>17385.26435094764</v>
      </c>
      <c r="I2045">
        <f>INDEX(weekly!$F$2:$F$188,MATCH('Marketing Campaigns 22.11.22'!L2045,weekly!$H$2:$H$188,0))</f>
        <v>5999.7993719066908</v>
      </c>
      <c r="J2045">
        <v>0</v>
      </c>
      <c r="K2045">
        <v>0</v>
      </c>
      <c r="L2045" t="str">
        <f t="shared" si="66"/>
        <v>32-8-2023</v>
      </c>
      <c r="M2045">
        <f t="shared" si="67"/>
        <v>2023</v>
      </c>
    </row>
    <row r="2046" spans="1:13" x14ac:dyDescent="0.2">
      <c r="A2046" s="1">
        <f t="shared" si="68"/>
        <v>45145</v>
      </c>
      <c r="B2046">
        <f t="shared" si="65"/>
        <v>32</v>
      </c>
      <c r="C2046">
        <f t="shared" si="69"/>
        <v>8</v>
      </c>
      <c r="D2046">
        <f t="shared" si="70"/>
        <v>3</v>
      </c>
      <c r="E2046" t="s">
        <v>41</v>
      </c>
      <c r="F2046">
        <v>0</v>
      </c>
      <c r="G2046">
        <f>INDEX(weekly!$E$2:$E$188,MATCH('Marketing Campaigns 22.11.22'!L2046,weekly!$H$2:$H$188,0))</f>
        <v>5487.170990830763</v>
      </c>
      <c r="H2046">
        <f>INDEX(weekly!$D$2:$D$188,MATCH('Marketing Campaigns 22.11.22'!L2046,weekly!$H$2:$H$188,0))</f>
        <v>17385.26435094764</v>
      </c>
      <c r="I2046">
        <f>INDEX(weekly!$F$2:$F$188,MATCH('Marketing Campaigns 22.11.22'!L2046,weekly!$H$2:$H$188,0))</f>
        <v>5999.7993719066908</v>
      </c>
      <c r="J2046">
        <v>0</v>
      </c>
      <c r="K2046">
        <v>0</v>
      </c>
      <c r="L2046" t="str">
        <f t="shared" si="66"/>
        <v>32-8-2023</v>
      </c>
      <c r="M2046">
        <f t="shared" si="67"/>
        <v>2023</v>
      </c>
    </row>
    <row r="2047" spans="1:13" x14ac:dyDescent="0.2">
      <c r="A2047" s="1">
        <f t="shared" si="68"/>
        <v>45145</v>
      </c>
      <c r="B2047">
        <f t="shared" si="65"/>
        <v>32</v>
      </c>
      <c r="C2047">
        <f t="shared" si="69"/>
        <v>8</v>
      </c>
      <c r="D2047">
        <f t="shared" si="70"/>
        <v>3</v>
      </c>
      <c r="E2047" t="s">
        <v>42</v>
      </c>
      <c r="F2047">
        <v>0</v>
      </c>
      <c r="G2047">
        <f>INDEX(weekly!$E$2:$E$188,MATCH('Marketing Campaigns 22.11.22'!L2047,weekly!$H$2:$H$188,0))</f>
        <v>5487.170990830763</v>
      </c>
      <c r="H2047">
        <f>INDEX(weekly!$D$2:$D$188,MATCH('Marketing Campaigns 22.11.22'!L2047,weekly!$H$2:$H$188,0))</f>
        <v>17385.26435094764</v>
      </c>
      <c r="I2047">
        <f>INDEX(weekly!$F$2:$F$188,MATCH('Marketing Campaigns 22.11.22'!L2047,weekly!$H$2:$H$188,0))</f>
        <v>5999.7993719066908</v>
      </c>
      <c r="J2047">
        <v>0</v>
      </c>
      <c r="K2047">
        <v>0</v>
      </c>
      <c r="L2047" t="str">
        <f t="shared" si="66"/>
        <v>32-8-2023</v>
      </c>
      <c r="M2047">
        <f t="shared" si="67"/>
        <v>2023</v>
      </c>
    </row>
    <row r="2048" spans="1:13" x14ac:dyDescent="0.2">
      <c r="A2048" s="1">
        <f t="shared" si="68"/>
        <v>45145</v>
      </c>
      <c r="B2048">
        <f t="shared" ref="B2048:B2111" si="71">IF(E2048="None",B2047+1,B2047)</f>
        <v>32</v>
      </c>
      <c r="C2048">
        <f t="shared" si="69"/>
        <v>8</v>
      </c>
      <c r="D2048">
        <f t="shared" si="70"/>
        <v>3</v>
      </c>
      <c r="E2048" t="s">
        <v>43</v>
      </c>
      <c r="F2048">
        <v>0</v>
      </c>
      <c r="G2048">
        <f>INDEX(weekly!$E$2:$E$188,MATCH('Marketing Campaigns 22.11.22'!L2048,weekly!$H$2:$H$188,0))</f>
        <v>5487.170990830763</v>
      </c>
      <c r="H2048">
        <f>INDEX(weekly!$D$2:$D$188,MATCH('Marketing Campaigns 22.11.22'!L2048,weekly!$H$2:$H$188,0))</f>
        <v>17385.26435094764</v>
      </c>
      <c r="I2048">
        <f>INDEX(weekly!$F$2:$F$188,MATCH('Marketing Campaigns 22.11.22'!L2048,weekly!$H$2:$H$188,0))</f>
        <v>5999.7993719066908</v>
      </c>
      <c r="J2048">
        <v>0</v>
      </c>
      <c r="K2048">
        <v>0</v>
      </c>
      <c r="L2048" t="str">
        <f t="shared" si="66"/>
        <v>32-8-2023</v>
      </c>
      <c r="M2048">
        <f t="shared" si="67"/>
        <v>2023</v>
      </c>
    </row>
    <row r="2049" spans="1:13" x14ac:dyDescent="0.2">
      <c r="A2049" s="1">
        <f t="shared" si="68"/>
        <v>45145</v>
      </c>
      <c r="B2049">
        <f t="shared" si="71"/>
        <v>32</v>
      </c>
      <c r="C2049">
        <f t="shared" si="69"/>
        <v>8</v>
      </c>
      <c r="D2049">
        <f t="shared" si="70"/>
        <v>3</v>
      </c>
      <c r="E2049" t="s">
        <v>44</v>
      </c>
      <c r="F2049">
        <v>0</v>
      </c>
      <c r="G2049">
        <f>INDEX(weekly!$E$2:$E$188,MATCH('Marketing Campaigns 22.11.22'!L2049,weekly!$H$2:$H$188,0))</f>
        <v>5487.170990830763</v>
      </c>
      <c r="H2049">
        <f>INDEX(weekly!$D$2:$D$188,MATCH('Marketing Campaigns 22.11.22'!L2049,weekly!$H$2:$H$188,0))</f>
        <v>17385.26435094764</v>
      </c>
      <c r="I2049">
        <f>INDEX(weekly!$F$2:$F$188,MATCH('Marketing Campaigns 22.11.22'!L2049,weekly!$H$2:$H$188,0))</f>
        <v>5999.7993719066908</v>
      </c>
      <c r="J2049">
        <v>0</v>
      </c>
      <c r="K2049">
        <v>0</v>
      </c>
      <c r="L2049" t="str">
        <f t="shared" si="66"/>
        <v>32-8-2023</v>
      </c>
      <c r="M2049">
        <f t="shared" si="67"/>
        <v>2023</v>
      </c>
    </row>
    <row r="2050" spans="1:13" x14ac:dyDescent="0.2">
      <c r="A2050" s="1">
        <f t="shared" si="68"/>
        <v>45145</v>
      </c>
      <c r="B2050">
        <f t="shared" si="71"/>
        <v>32</v>
      </c>
      <c r="C2050">
        <f t="shared" si="69"/>
        <v>8</v>
      </c>
      <c r="D2050">
        <f t="shared" si="70"/>
        <v>3</v>
      </c>
      <c r="E2050" t="s">
        <v>45</v>
      </c>
      <c r="F2050">
        <v>0</v>
      </c>
      <c r="G2050">
        <f>INDEX(weekly!$E$2:$E$188,MATCH('Marketing Campaigns 22.11.22'!L2050,weekly!$H$2:$H$188,0))</f>
        <v>5487.170990830763</v>
      </c>
      <c r="H2050">
        <f>INDEX(weekly!$D$2:$D$188,MATCH('Marketing Campaigns 22.11.22'!L2050,weekly!$H$2:$H$188,0))</f>
        <v>17385.26435094764</v>
      </c>
      <c r="I2050">
        <f>INDEX(weekly!$F$2:$F$188,MATCH('Marketing Campaigns 22.11.22'!L2050,weekly!$H$2:$H$188,0))</f>
        <v>5999.7993719066908</v>
      </c>
      <c r="J2050">
        <v>0</v>
      </c>
      <c r="K2050">
        <v>0</v>
      </c>
      <c r="L2050" t="str">
        <f t="shared" si="66"/>
        <v>32-8-2023</v>
      </c>
      <c r="M2050">
        <f t="shared" si="67"/>
        <v>2023</v>
      </c>
    </row>
    <row r="2051" spans="1:13" x14ac:dyDescent="0.2">
      <c r="A2051" s="1">
        <f t="shared" si="68"/>
        <v>45145</v>
      </c>
      <c r="B2051">
        <f t="shared" si="71"/>
        <v>32</v>
      </c>
      <c r="C2051">
        <f t="shared" si="69"/>
        <v>8</v>
      </c>
      <c r="D2051">
        <f t="shared" si="70"/>
        <v>3</v>
      </c>
      <c r="E2051" t="s">
        <v>46</v>
      </c>
      <c r="F2051">
        <v>0</v>
      </c>
      <c r="G2051">
        <f>INDEX(weekly!$E$2:$E$188,MATCH('Marketing Campaigns 22.11.22'!L2051,weekly!$H$2:$H$188,0))</f>
        <v>5487.170990830763</v>
      </c>
      <c r="H2051">
        <f>INDEX(weekly!$D$2:$D$188,MATCH('Marketing Campaigns 22.11.22'!L2051,weekly!$H$2:$H$188,0))</f>
        <v>17385.26435094764</v>
      </c>
      <c r="I2051">
        <f>INDEX(weekly!$F$2:$F$188,MATCH('Marketing Campaigns 22.11.22'!L2051,weekly!$H$2:$H$188,0))</f>
        <v>5999.7993719066908</v>
      </c>
      <c r="J2051">
        <v>0</v>
      </c>
      <c r="K2051">
        <v>0</v>
      </c>
      <c r="L2051" t="str">
        <f t="shared" si="66"/>
        <v>32-8-2023</v>
      </c>
      <c r="M2051">
        <f t="shared" si="67"/>
        <v>2023</v>
      </c>
    </row>
    <row r="2052" spans="1:13" x14ac:dyDescent="0.2">
      <c r="A2052" s="1">
        <f t="shared" si="68"/>
        <v>45145</v>
      </c>
      <c r="B2052">
        <f t="shared" si="71"/>
        <v>32</v>
      </c>
      <c r="C2052">
        <f t="shared" si="69"/>
        <v>8</v>
      </c>
      <c r="D2052">
        <f t="shared" si="70"/>
        <v>3</v>
      </c>
      <c r="E2052" t="s">
        <v>47</v>
      </c>
      <c r="F2052">
        <v>0</v>
      </c>
      <c r="G2052">
        <f>INDEX(weekly!$E$2:$E$188,MATCH('Marketing Campaigns 22.11.22'!L2052,weekly!$H$2:$H$188,0))</f>
        <v>5487.170990830763</v>
      </c>
      <c r="H2052">
        <f>INDEX(weekly!$D$2:$D$188,MATCH('Marketing Campaigns 22.11.22'!L2052,weekly!$H$2:$H$188,0))</f>
        <v>17385.26435094764</v>
      </c>
      <c r="I2052">
        <f>INDEX(weekly!$F$2:$F$188,MATCH('Marketing Campaigns 22.11.22'!L2052,weekly!$H$2:$H$188,0))</f>
        <v>5999.7993719066908</v>
      </c>
      <c r="J2052">
        <v>0</v>
      </c>
      <c r="K2052">
        <v>0</v>
      </c>
      <c r="L2052" t="str">
        <f t="shared" ref="L2052:L2115" si="72">B2052&amp;"-"&amp;C2052&amp;"-"&amp;M2052</f>
        <v>32-8-2023</v>
      </c>
      <c r="M2052">
        <f t="shared" ref="M2052:M2115" si="73">YEAR(A2052)</f>
        <v>2023</v>
      </c>
    </row>
    <row r="2053" spans="1:13" x14ac:dyDescent="0.2">
      <c r="A2053" s="1">
        <f t="shared" si="68"/>
        <v>45145</v>
      </c>
      <c r="B2053">
        <f t="shared" si="71"/>
        <v>32</v>
      </c>
      <c r="C2053">
        <f t="shared" si="69"/>
        <v>8</v>
      </c>
      <c r="D2053">
        <f t="shared" si="70"/>
        <v>3</v>
      </c>
      <c r="E2053" t="s">
        <v>48</v>
      </c>
      <c r="F2053">
        <v>0</v>
      </c>
      <c r="G2053">
        <f>INDEX(weekly!$E$2:$E$188,MATCH('Marketing Campaigns 22.11.22'!L2053,weekly!$H$2:$H$188,0))</f>
        <v>5487.170990830763</v>
      </c>
      <c r="H2053">
        <f>INDEX(weekly!$D$2:$D$188,MATCH('Marketing Campaigns 22.11.22'!L2053,weekly!$H$2:$H$188,0))</f>
        <v>17385.26435094764</v>
      </c>
      <c r="I2053">
        <f>INDEX(weekly!$F$2:$F$188,MATCH('Marketing Campaigns 22.11.22'!L2053,weekly!$H$2:$H$188,0))</f>
        <v>5999.7993719066908</v>
      </c>
      <c r="J2053">
        <v>0</v>
      </c>
      <c r="K2053">
        <v>0</v>
      </c>
      <c r="L2053" t="str">
        <f t="shared" si="72"/>
        <v>32-8-2023</v>
      </c>
      <c r="M2053">
        <f t="shared" si="73"/>
        <v>2023</v>
      </c>
    </row>
    <row r="2054" spans="1:13" x14ac:dyDescent="0.2">
      <c r="A2054" s="1">
        <f t="shared" si="68"/>
        <v>45145</v>
      </c>
      <c r="B2054">
        <f t="shared" si="71"/>
        <v>32</v>
      </c>
      <c r="C2054">
        <f t="shared" si="69"/>
        <v>8</v>
      </c>
      <c r="D2054">
        <f t="shared" si="70"/>
        <v>3</v>
      </c>
      <c r="E2054" t="s">
        <v>49</v>
      </c>
      <c r="F2054">
        <v>0</v>
      </c>
      <c r="G2054">
        <f>INDEX(weekly!$E$2:$E$188,MATCH('Marketing Campaigns 22.11.22'!L2054,weekly!$H$2:$H$188,0))</f>
        <v>5487.170990830763</v>
      </c>
      <c r="H2054">
        <f>INDEX(weekly!$D$2:$D$188,MATCH('Marketing Campaigns 22.11.22'!L2054,weekly!$H$2:$H$188,0))</f>
        <v>17385.26435094764</v>
      </c>
      <c r="I2054">
        <f>INDEX(weekly!$F$2:$F$188,MATCH('Marketing Campaigns 22.11.22'!L2054,weekly!$H$2:$H$188,0))</f>
        <v>5999.7993719066908</v>
      </c>
      <c r="J2054">
        <v>0</v>
      </c>
      <c r="K2054">
        <v>0</v>
      </c>
      <c r="L2054" t="str">
        <f t="shared" si="72"/>
        <v>32-8-2023</v>
      </c>
      <c r="M2054">
        <f t="shared" si="73"/>
        <v>2023</v>
      </c>
    </row>
    <row r="2055" spans="1:13" x14ac:dyDescent="0.2">
      <c r="A2055" s="1">
        <f t="shared" si="68"/>
        <v>45145</v>
      </c>
      <c r="B2055">
        <f t="shared" si="71"/>
        <v>32</v>
      </c>
      <c r="C2055">
        <f t="shared" si="69"/>
        <v>8</v>
      </c>
      <c r="D2055">
        <f t="shared" si="70"/>
        <v>3</v>
      </c>
      <c r="E2055" t="s">
        <v>50</v>
      </c>
      <c r="F2055">
        <v>0</v>
      </c>
      <c r="G2055">
        <f>INDEX(weekly!$E$2:$E$188,MATCH('Marketing Campaigns 22.11.22'!L2055,weekly!$H$2:$H$188,0))</f>
        <v>5487.170990830763</v>
      </c>
      <c r="H2055">
        <f>INDEX(weekly!$D$2:$D$188,MATCH('Marketing Campaigns 22.11.22'!L2055,weekly!$H$2:$H$188,0))</f>
        <v>17385.26435094764</v>
      </c>
      <c r="I2055">
        <f>INDEX(weekly!$F$2:$F$188,MATCH('Marketing Campaigns 22.11.22'!L2055,weekly!$H$2:$H$188,0))</f>
        <v>5999.7993719066908</v>
      </c>
      <c r="J2055">
        <v>0</v>
      </c>
      <c r="K2055">
        <v>0</v>
      </c>
      <c r="L2055" t="str">
        <f t="shared" si="72"/>
        <v>32-8-2023</v>
      </c>
      <c r="M2055">
        <f t="shared" si="73"/>
        <v>2023</v>
      </c>
    </row>
    <row r="2056" spans="1:13" x14ac:dyDescent="0.2">
      <c r="A2056" s="1">
        <f t="shared" si="68"/>
        <v>45145</v>
      </c>
      <c r="B2056">
        <f t="shared" si="71"/>
        <v>32</v>
      </c>
      <c r="C2056">
        <f t="shared" si="69"/>
        <v>8</v>
      </c>
      <c r="D2056">
        <f t="shared" si="70"/>
        <v>3</v>
      </c>
      <c r="E2056" t="s">
        <v>51</v>
      </c>
      <c r="F2056">
        <v>0</v>
      </c>
      <c r="G2056">
        <f>INDEX(weekly!$E$2:$E$188,MATCH('Marketing Campaigns 22.11.22'!L2056,weekly!$H$2:$H$188,0))</f>
        <v>5487.170990830763</v>
      </c>
      <c r="H2056">
        <f>INDEX(weekly!$D$2:$D$188,MATCH('Marketing Campaigns 22.11.22'!L2056,weekly!$H$2:$H$188,0))</f>
        <v>17385.26435094764</v>
      </c>
      <c r="I2056">
        <f>INDEX(weekly!$F$2:$F$188,MATCH('Marketing Campaigns 22.11.22'!L2056,weekly!$H$2:$H$188,0))</f>
        <v>5999.7993719066908</v>
      </c>
      <c r="J2056">
        <v>0</v>
      </c>
      <c r="K2056">
        <v>0</v>
      </c>
      <c r="L2056" t="str">
        <f t="shared" si="72"/>
        <v>32-8-2023</v>
      </c>
      <c r="M2056">
        <f t="shared" si="73"/>
        <v>2023</v>
      </c>
    </row>
    <row r="2057" spans="1:13" x14ac:dyDescent="0.2">
      <c r="A2057" s="1">
        <f t="shared" si="68"/>
        <v>45145</v>
      </c>
      <c r="B2057">
        <f t="shared" si="71"/>
        <v>32</v>
      </c>
      <c r="C2057">
        <f t="shared" si="69"/>
        <v>8</v>
      </c>
      <c r="D2057">
        <f t="shared" si="70"/>
        <v>3</v>
      </c>
      <c r="E2057" t="s">
        <v>52</v>
      </c>
      <c r="F2057">
        <v>0</v>
      </c>
      <c r="G2057">
        <f>INDEX(weekly!$E$2:$E$188,MATCH('Marketing Campaigns 22.11.22'!L2057,weekly!$H$2:$H$188,0))</f>
        <v>5487.170990830763</v>
      </c>
      <c r="H2057">
        <f>INDEX(weekly!$D$2:$D$188,MATCH('Marketing Campaigns 22.11.22'!L2057,weekly!$H$2:$H$188,0))</f>
        <v>17385.26435094764</v>
      </c>
      <c r="I2057">
        <f>INDEX(weekly!$F$2:$F$188,MATCH('Marketing Campaigns 22.11.22'!L2057,weekly!$H$2:$H$188,0))</f>
        <v>5999.7993719066908</v>
      </c>
      <c r="J2057">
        <v>0</v>
      </c>
      <c r="K2057">
        <v>0</v>
      </c>
      <c r="L2057" t="str">
        <f t="shared" si="72"/>
        <v>32-8-2023</v>
      </c>
      <c r="M2057">
        <f t="shared" si="73"/>
        <v>2023</v>
      </c>
    </row>
    <row r="2058" spans="1:13" x14ac:dyDescent="0.2">
      <c r="A2058" s="1">
        <f t="shared" si="68"/>
        <v>45152</v>
      </c>
      <c r="B2058">
        <f>IF(E2058="None",B2057+1,B2057)</f>
        <v>33</v>
      </c>
      <c r="C2058">
        <f t="shared" si="69"/>
        <v>8</v>
      </c>
      <c r="D2058">
        <f t="shared" si="70"/>
        <v>3</v>
      </c>
      <c r="E2058" t="s">
        <v>24</v>
      </c>
      <c r="F2058">
        <v>0</v>
      </c>
      <c r="G2058">
        <f>INDEX(weekly!$E$2:$E$188,MATCH('Marketing Campaigns 22.11.22'!L2058,weekly!$H$2:$H$188,0))</f>
        <v>5487.170990830763</v>
      </c>
      <c r="H2058">
        <f>INDEX(weekly!$D$2:$D$188,MATCH('Marketing Campaigns 22.11.22'!L2058,weekly!$H$2:$H$188,0))</f>
        <v>17385.26435094764</v>
      </c>
      <c r="I2058">
        <f>INDEX(weekly!$F$2:$F$188,MATCH('Marketing Campaigns 22.11.22'!L2058,weekly!$H$2:$H$188,0))</f>
        <v>5999.7993719066908</v>
      </c>
      <c r="J2058">
        <v>0</v>
      </c>
      <c r="K2058">
        <v>0</v>
      </c>
      <c r="L2058" t="str">
        <f t="shared" si="72"/>
        <v>33-8-2023</v>
      </c>
      <c r="M2058">
        <f t="shared" si="73"/>
        <v>2023</v>
      </c>
    </row>
    <row r="2059" spans="1:13" x14ac:dyDescent="0.2">
      <c r="A2059" s="1">
        <f t="shared" si="68"/>
        <v>45152</v>
      </c>
      <c r="B2059">
        <f t="shared" si="71"/>
        <v>33</v>
      </c>
      <c r="C2059">
        <f t="shared" si="69"/>
        <v>8</v>
      </c>
      <c r="D2059">
        <f t="shared" si="70"/>
        <v>3</v>
      </c>
      <c r="E2059" t="s">
        <v>39</v>
      </c>
      <c r="F2059">
        <v>0</v>
      </c>
      <c r="G2059">
        <f>INDEX(weekly!$E$2:$E$188,MATCH('Marketing Campaigns 22.11.22'!L2059,weekly!$H$2:$H$188,0))</f>
        <v>5487.170990830763</v>
      </c>
      <c r="H2059">
        <f>INDEX(weekly!$D$2:$D$188,MATCH('Marketing Campaigns 22.11.22'!L2059,weekly!$H$2:$H$188,0))</f>
        <v>17385.26435094764</v>
      </c>
      <c r="I2059">
        <f>INDEX(weekly!$F$2:$F$188,MATCH('Marketing Campaigns 22.11.22'!L2059,weekly!$H$2:$H$188,0))</f>
        <v>5999.7993719066908</v>
      </c>
      <c r="J2059">
        <v>0</v>
      </c>
      <c r="K2059">
        <v>0</v>
      </c>
      <c r="L2059" t="str">
        <f t="shared" si="72"/>
        <v>33-8-2023</v>
      </c>
      <c r="M2059">
        <f t="shared" si="73"/>
        <v>2023</v>
      </c>
    </row>
    <row r="2060" spans="1:13" x14ac:dyDescent="0.2">
      <c r="A2060" s="1">
        <f t="shared" si="68"/>
        <v>45152</v>
      </c>
      <c r="B2060">
        <f t="shared" si="71"/>
        <v>33</v>
      </c>
      <c r="C2060">
        <f t="shared" si="69"/>
        <v>8</v>
      </c>
      <c r="D2060">
        <f t="shared" si="70"/>
        <v>3</v>
      </c>
      <c r="E2060" t="s">
        <v>40</v>
      </c>
      <c r="F2060">
        <v>0</v>
      </c>
      <c r="G2060">
        <f>INDEX(weekly!$E$2:$E$188,MATCH('Marketing Campaigns 22.11.22'!L2060,weekly!$H$2:$H$188,0))</f>
        <v>5487.170990830763</v>
      </c>
      <c r="H2060">
        <f>INDEX(weekly!$D$2:$D$188,MATCH('Marketing Campaigns 22.11.22'!L2060,weekly!$H$2:$H$188,0))</f>
        <v>17385.26435094764</v>
      </c>
      <c r="I2060">
        <f>INDEX(weekly!$F$2:$F$188,MATCH('Marketing Campaigns 22.11.22'!L2060,weekly!$H$2:$H$188,0))</f>
        <v>5999.7993719066908</v>
      </c>
      <c r="J2060">
        <v>0</v>
      </c>
      <c r="K2060">
        <v>0</v>
      </c>
      <c r="L2060" t="str">
        <f t="shared" si="72"/>
        <v>33-8-2023</v>
      </c>
      <c r="M2060">
        <f t="shared" si="73"/>
        <v>2023</v>
      </c>
    </row>
    <row r="2061" spans="1:13" x14ac:dyDescent="0.2">
      <c r="A2061" s="1">
        <f t="shared" si="68"/>
        <v>45152</v>
      </c>
      <c r="B2061">
        <f t="shared" si="71"/>
        <v>33</v>
      </c>
      <c r="C2061">
        <f t="shared" si="69"/>
        <v>8</v>
      </c>
      <c r="D2061">
        <f t="shared" si="70"/>
        <v>3</v>
      </c>
      <c r="E2061" t="s">
        <v>41</v>
      </c>
      <c r="F2061">
        <v>0</v>
      </c>
      <c r="G2061">
        <f>INDEX(weekly!$E$2:$E$188,MATCH('Marketing Campaigns 22.11.22'!L2061,weekly!$H$2:$H$188,0))</f>
        <v>5487.170990830763</v>
      </c>
      <c r="H2061">
        <f>INDEX(weekly!$D$2:$D$188,MATCH('Marketing Campaigns 22.11.22'!L2061,weekly!$H$2:$H$188,0))</f>
        <v>17385.26435094764</v>
      </c>
      <c r="I2061">
        <f>INDEX(weekly!$F$2:$F$188,MATCH('Marketing Campaigns 22.11.22'!L2061,weekly!$H$2:$H$188,0))</f>
        <v>5999.7993719066908</v>
      </c>
      <c r="J2061">
        <v>0</v>
      </c>
      <c r="K2061">
        <v>0</v>
      </c>
      <c r="L2061" t="str">
        <f t="shared" si="72"/>
        <v>33-8-2023</v>
      </c>
      <c r="M2061">
        <f t="shared" si="73"/>
        <v>2023</v>
      </c>
    </row>
    <row r="2062" spans="1:13" x14ac:dyDescent="0.2">
      <c r="A2062" s="1">
        <f t="shared" si="68"/>
        <v>45152</v>
      </c>
      <c r="B2062">
        <f t="shared" si="71"/>
        <v>33</v>
      </c>
      <c r="C2062">
        <f t="shared" si="69"/>
        <v>8</v>
      </c>
      <c r="D2062">
        <f t="shared" si="70"/>
        <v>3</v>
      </c>
      <c r="E2062" t="s">
        <v>42</v>
      </c>
      <c r="F2062">
        <v>0</v>
      </c>
      <c r="G2062">
        <f>INDEX(weekly!$E$2:$E$188,MATCH('Marketing Campaigns 22.11.22'!L2062,weekly!$H$2:$H$188,0))</f>
        <v>5487.170990830763</v>
      </c>
      <c r="H2062">
        <f>INDEX(weekly!$D$2:$D$188,MATCH('Marketing Campaigns 22.11.22'!L2062,weekly!$H$2:$H$188,0))</f>
        <v>17385.26435094764</v>
      </c>
      <c r="I2062">
        <f>INDEX(weekly!$F$2:$F$188,MATCH('Marketing Campaigns 22.11.22'!L2062,weekly!$H$2:$H$188,0))</f>
        <v>5999.7993719066908</v>
      </c>
      <c r="J2062">
        <v>0</v>
      </c>
      <c r="K2062">
        <v>0</v>
      </c>
      <c r="L2062" t="str">
        <f t="shared" si="72"/>
        <v>33-8-2023</v>
      </c>
      <c r="M2062">
        <f t="shared" si="73"/>
        <v>2023</v>
      </c>
    </row>
    <row r="2063" spans="1:13" x14ac:dyDescent="0.2">
      <c r="A2063" s="1">
        <f t="shared" si="68"/>
        <v>45152</v>
      </c>
      <c r="B2063">
        <f t="shared" si="71"/>
        <v>33</v>
      </c>
      <c r="C2063">
        <f t="shared" si="69"/>
        <v>8</v>
      </c>
      <c r="D2063">
        <f t="shared" si="70"/>
        <v>3</v>
      </c>
      <c r="E2063" t="s">
        <v>43</v>
      </c>
      <c r="F2063">
        <v>0</v>
      </c>
      <c r="G2063">
        <f>INDEX(weekly!$E$2:$E$188,MATCH('Marketing Campaigns 22.11.22'!L2063,weekly!$H$2:$H$188,0))</f>
        <v>5487.170990830763</v>
      </c>
      <c r="H2063">
        <f>INDEX(weekly!$D$2:$D$188,MATCH('Marketing Campaigns 22.11.22'!L2063,weekly!$H$2:$H$188,0))</f>
        <v>17385.26435094764</v>
      </c>
      <c r="I2063">
        <f>INDEX(weekly!$F$2:$F$188,MATCH('Marketing Campaigns 22.11.22'!L2063,weekly!$H$2:$H$188,0))</f>
        <v>5999.7993719066908</v>
      </c>
      <c r="J2063">
        <v>0</v>
      </c>
      <c r="K2063">
        <v>0</v>
      </c>
      <c r="L2063" t="str">
        <f t="shared" si="72"/>
        <v>33-8-2023</v>
      </c>
      <c r="M2063">
        <f t="shared" si="73"/>
        <v>2023</v>
      </c>
    </row>
    <row r="2064" spans="1:13" x14ac:dyDescent="0.2">
      <c r="A2064" s="1">
        <f t="shared" si="68"/>
        <v>45152</v>
      </c>
      <c r="B2064">
        <f t="shared" si="71"/>
        <v>33</v>
      </c>
      <c r="C2064">
        <f t="shared" si="69"/>
        <v>8</v>
      </c>
      <c r="D2064">
        <f t="shared" si="70"/>
        <v>3</v>
      </c>
      <c r="E2064" t="s">
        <v>44</v>
      </c>
      <c r="F2064">
        <v>0</v>
      </c>
      <c r="G2064">
        <f>INDEX(weekly!$E$2:$E$188,MATCH('Marketing Campaigns 22.11.22'!L2064,weekly!$H$2:$H$188,0))</f>
        <v>5487.170990830763</v>
      </c>
      <c r="H2064">
        <f>INDEX(weekly!$D$2:$D$188,MATCH('Marketing Campaigns 22.11.22'!L2064,weekly!$H$2:$H$188,0))</f>
        <v>17385.26435094764</v>
      </c>
      <c r="I2064">
        <f>INDEX(weekly!$F$2:$F$188,MATCH('Marketing Campaigns 22.11.22'!L2064,weekly!$H$2:$H$188,0))</f>
        <v>5999.7993719066908</v>
      </c>
      <c r="J2064">
        <v>0</v>
      </c>
      <c r="K2064">
        <v>0</v>
      </c>
      <c r="L2064" t="str">
        <f t="shared" si="72"/>
        <v>33-8-2023</v>
      </c>
      <c r="M2064">
        <f t="shared" si="73"/>
        <v>2023</v>
      </c>
    </row>
    <row r="2065" spans="1:13" x14ac:dyDescent="0.2">
      <c r="A2065" s="1">
        <f t="shared" si="68"/>
        <v>45152</v>
      </c>
      <c r="B2065">
        <f t="shared" si="71"/>
        <v>33</v>
      </c>
      <c r="C2065">
        <f t="shared" si="69"/>
        <v>8</v>
      </c>
      <c r="D2065">
        <f t="shared" si="70"/>
        <v>3</v>
      </c>
      <c r="E2065" t="s">
        <v>45</v>
      </c>
      <c r="F2065">
        <v>0</v>
      </c>
      <c r="G2065">
        <f>INDEX(weekly!$E$2:$E$188,MATCH('Marketing Campaigns 22.11.22'!L2065,weekly!$H$2:$H$188,0))</f>
        <v>5487.170990830763</v>
      </c>
      <c r="H2065">
        <f>INDEX(weekly!$D$2:$D$188,MATCH('Marketing Campaigns 22.11.22'!L2065,weekly!$H$2:$H$188,0))</f>
        <v>17385.26435094764</v>
      </c>
      <c r="I2065">
        <f>INDEX(weekly!$F$2:$F$188,MATCH('Marketing Campaigns 22.11.22'!L2065,weekly!$H$2:$H$188,0))</f>
        <v>5999.7993719066908</v>
      </c>
      <c r="J2065">
        <v>0</v>
      </c>
      <c r="K2065">
        <v>0</v>
      </c>
      <c r="L2065" t="str">
        <f t="shared" si="72"/>
        <v>33-8-2023</v>
      </c>
      <c r="M2065">
        <f t="shared" si="73"/>
        <v>2023</v>
      </c>
    </row>
    <row r="2066" spans="1:13" x14ac:dyDescent="0.2">
      <c r="A2066" s="1">
        <f t="shared" si="68"/>
        <v>45152</v>
      </c>
      <c r="B2066">
        <f t="shared" si="71"/>
        <v>33</v>
      </c>
      <c r="C2066">
        <f t="shared" si="69"/>
        <v>8</v>
      </c>
      <c r="D2066">
        <f t="shared" si="70"/>
        <v>3</v>
      </c>
      <c r="E2066" t="s">
        <v>46</v>
      </c>
      <c r="F2066">
        <v>0</v>
      </c>
      <c r="G2066">
        <f>INDEX(weekly!$E$2:$E$188,MATCH('Marketing Campaigns 22.11.22'!L2066,weekly!$H$2:$H$188,0))</f>
        <v>5487.170990830763</v>
      </c>
      <c r="H2066">
        <f>INDEX(weekly!$D$2:$D$188,MATCH('Marketing Campaigns 22.11.22'!L2066,weekly!$H$2:$H$188,0))</f>
        <v>17385.26435094764</v>
      </c>
      <c r="I2066">
        <f>INDEX(weekly!$F$2:$F$188,MATCH('Marketing Campaigns 22.11.22'!L2066,weekly!$H$2:$H$188,0))</f>
        <v>5999.7993719066908</v>
      </c>
      <c r="J2066">
        <v>0</v>
      </c>
      <c r="K2066">
        <v>0</v>
      </c>
      <c r="L2066" t="str">
        <f t="shared" si="72"/>
        <v>33-8-2023</v>
      </c>
      <c r="M2066">
        <f t="shared" si="73"/>
        <v>2023</v>
      </c>
    </row>
    <row r="2067" spans="1:13" x14ac:dyDescent="0.2">
      <c r="A2067" s="1">
        <f t="shared" si="68"/>
        <v>45152</v>
      </c>
      <c r="B2067">
        <f t="shared" si="71"/>
        <v>33</v>
      </c>
      <c r="C2067">
        <f t="shared" si="69"/>
        <v>8</v>
      </c>
      <c r="D2067">
        <f t="shared" si="70"/>
        <v>3</v>
      </c>
      <c r="E2067" t="s">
        <v>47</v>
      </c>
      <c r="F2067">
        <v>0</v>
      </c>
      <c r="G2067">
        <f>INDEX(weekly!$E$2:$E$188,MATCH('Marketing Campaigns 22.11.22'!L2067,weekly!$H$2:$H$188,0))</f>
        <v>5487.170990830763</v>
      </c>
      <c r="H2067">
        <f>INDEX(weekly!$D$2:$D$188,MATCH('Marketing Campaigns 22.11.22'!L2067,weekly!$H$2:$H$188,0))</f>
        <v>17385.26435094764</v>
      </c>
      <c r="I2067">
        <f>INDEX(weekly!$F$2:$F$188,MATCH('Marketing Campaigns 22.11.22'!L2067,weekly!$H$2:$H$188,0))</f>
        <v>5999.7993719066908</v>
      </c>
      <c r="J2067">
        <v>0</v>
      </c>
      <c r="K2067">
        <v>0</v>
      </c>
      <c r="L2067" t="str">
        <f t="shared" si="72"/>
        <v>33-8-2023</v>
      </c>
      <c r="M2067">
        <f t="shared" si="73"/>
        <v>2023</v>
      </c>
    </row>
    <row r="2068" spans="1:13" x14ac:dyDescent="0.2">
      <c r="A2068" s="1">
        <f t="shared" si="68"/>
        <v>45152</v>
      </c>
      <c r="B2068">
        <f t="shared" si="71"/>
        <v>33</v>
      </c>
      <c r="C2068">
        <f t="shared" si="69"/>
        <v>8</v>
      </c>
      <c r="D2068">
        <f t="shared" si="70"/>
        <v>3</v>
      </c>
      <c r="E2068" t="s">
        <v>48</v>
      </c>
      <c r="F2068">
        <v>0</v>
      </c>
      <c r="G2068">
        <f>INDEX(weekly!$E$2:$E$188,MATCH('Marketing Campaigns 22.11.22'!L2068,weekly!$H$2:$H$188,0))</f>
        <v>5487.170990830763</v>
      </c>
      <c r="H2068">
        <f>INDEX(weekly!$D$2:$D$188,MATCH('Marketing Campaigns 22.11.22'!L2068,weekly!$H$2:$H$188,0))</f>
        <v>17385.26435094764</v>
      </c>
      <c r="I2068">
        <f>INDEX(weekly!$F$2:$F$188,MATCH('Marketing Campaigns 22.11.22'!L2068,weekly!$H$2:$H$188,0))</f>
        <v>5999.7993719066908</v>
      </c>
      <c r="J2068">
        <v>0</v>
      </c>
      <c r="K2068">
        <v>0</v>
      </c>
      <c r="L2068" t="str">
        <f t="shared" si="72"/>
        <v>33-8-2023</v>
      </c>
      <c r="M2068">
        <f t="shared" si="73"/>
        <v>2023</v>
      </c>
    </row>
    <row r="2069" spans="1:13" x14ac:dyDescent="0.2">
      <c r="A2069" s="1">
        <f t="shared" si="68"/>
        <v>45152</v>
      </c>
      <c r="B2069">
        <f t="shared" si="71"/>
        <v>33</v>
      </c>
      <c r="C2069">
        <f t="shared" si="69"/>
        <v>8</v>
      </c>
      <c r="D2069">
        <f t="shared" si="70"/>
        <v>3</v>
      </c>
      <c r="E2069" t="s">
        <v>49</v>
      </c>
      <c r="F2069">
        <v>0</v>
      </c>
      <c r="G2069">
        <f>INDEX(weekly!$E$2:$E$188,MATCH('Marketing Campaigns 22.11.22'!L2069,weekly!$H$2:$H$188,0))</f>
        <v>5487.170990830763</v>
      </c>
      <c r="H2069">
        <f>INDEX(weekly!$D$2:$D$188,MATCH('Marketing Campaigns 22.11.22'!L2069,weekly!$H$2:$H$188,0))</f>
        <v>17385.26435094764</v>
      </c>
      <c r="I2069">
        <f>INDEX(weekly!$F$2:$F$188,MATCH('Marketing Campaigns 22.11.22'!L2069,weekly!$H$2:$H$188,0))</f>
        <v>5999.7993719066908</v>
      </c>
      <c r="J2069">
        <v>0</v>
      </c>
      <c r="K2069">
        <v>0</v>
      </c>
      <c r="L2069" t="str">
        <f t="shared" si="72"/>
        <v>33-8-2023</v>
      </c>
      <c r="M2069">
        <f t="shared" si="73"/>
        <v>2023</v>
      </c>
    </row>
    <row r="2070" spans="1:13" x14ac:dyDescent="0.2">
      <c r="A2070" s="1">
        <f t="shared" si="68"/>
        <v>45152</v>
      </c>
      <c r="B2070">
        <f t="shared" si="71"/>
        <v>33</v>
      </c>
      <c r="C2070">
        <f t="shared" si="69"/>
        <v>8</v>
      </c>
      <c r="D2070">
        <f t="shared" si="70"/>
        <v>3</v>
      </c>
      <c r="E2070" t="s">
        <v>50</v>
      </c>
      <c r="F2070">
        <v>0</v>
      </c>
      <c r="G2070">
        <f>INDEX(weekly!$E$2:$E$188,MATCH('Marketing Campaigns 22.11.22'!L2070,weekly!$H$2:$H$188,0))</f>
        <v>5487.170990830763</v>
      </c>
      <c r="H2070">
        <f>INDEX(weekly!$D$2:$D$188,MATCH('Marketing Campaigns 22.11.22'!L2070,weekly!$H$2:$H$188,0))</f>
        <v>17385.26435094764</v>
      </c>
      <c r="I2070">
        <f>INDEX(weekly!$F$2:$F$188,MATCH('Marketing Campaigns 22.11.22'!L2070,weekly!$H$2:$H$188,0))</f>
        <v>5999.7993719066908</v>
      </c>
      <c r="J2070">
        <v>0</v>
      </c>
      <c r="K2070">
        <v>0</v>
      </c>
      <c r="L2070" t="str">
        <f t="shared" si="72"/>
        <v>33-8-2023</v>
      </c>
      <c r="M2070">
        <f t="shared" si="73"/>
        <v>2023</v>
      </c>
    </row>
    <row r="2071" spans="1:13" x14ac:dyDescent="0.2">
      <c r="A2071" s="1">
        <f t="shared" si="68"/>
        <v>45152</v>
      </c>
      <c r="B2071">
        <f t="shared" si="71"/>
        <v>33</v>
      </c>
      <c r="C2071">
        <f t="shared" si="69"/>
        <v>8</v>
      </c>
      <c r="D2071">
        <f t="shared" si="70"/>
        <v>3</v>
      </c>
      <c r="E2071" t="s">
        <v>51</v>
      </c>
      <c r="F2071">
        <v>0</v>
      </c>
      <c r="G2071">
        <f>INDEX(weekly!$E$2:$E$188,MATCH('Marketing Campaigns 22.11.22'!L2071,weekly!$H$2:$H$188,0))</f>
        <v>5487.170990830763</v>
      </c>
      <c r="H2071">
        <f>INDEX(weekly!$D$2:$D$188,MATCH('Marketing Campaigns 22.11.22'!L2071,weekly!$H$2:$H$188,0))</f>
        <v>17385.26435094764</v>
      </c>
      <c r="I2071">
        <f>INDEX(weekly!$F$2:$F$188,MATCH('Marketing Campaigns 22.11.22'!L2071,weekly!$H$2:$H$188,0))</f>
        <v>5999.7993719066908</v>
      </c>
      <c r="J2071">
        <v>0</v>
      </c>
      <c r="K2071">
        <v>0</v>
      </c>
      <c r="L2071" t="str">
        <f t="shared" si="72"/>
        <v>33-8-2023</v>
      </c>
      <c r="M2071">
        <f t="shared" si="73"/>
        <v>2023</v>
      </c>
    </row>
    <row r="2072" spans="1:13" x14ac:dyDescent="0.2">
      <c r="A2072" s="1">
        <f t="shared" si="68"/>
        <v>45152</v>
      </c>
      <c r="B2072">
        <f t="shared" si="71"/>
        <v>33</v>
      </c>
      <c r="C2072">
        <f t="shared" si="69"/>
        <v>8</v>
      </c>
      <c r="D2072">
        <f t="shared" si="70"/>
        <v>3</v>
      </c>
      <c r="E2072" t="s">
        <v>52</v>
      </c>
      <c r="F2072">
        <v>0</v>
      </c>
      <c r="G2072">
        <f>INDEX(weekly!$E$2:$E$188,MATCH('Marketing Campaigns 22.11.22'!L2072,weekly!$H$2:$H$188,0))</f>
        <v>5487.170990830763</v>
      </c>
      <c r="H2072">
        <f>INDEX(weekly!$D$2:$D$188,MATCH('Marketing Campaigns 22.11.22'!L2072,weekly!$H$2:$H$188,0))</f>
        <v>17385.26435094764</v>
      </c>
      <c r="I2072">
        <f>INDEX(weekly!$F$2:$F$188,MATCH('Marketing Campaigns 22.11.22'!L2072,weekly!$H$2:$H$188,0))</f>
        <v>5999.7993719066908</v>
      </c>
      <c r="J2072">
        <v>0</v>
      </c>
      <c r="K2072">
        <v>0</v>
      </c>
      <c r="L2072" t="str">
        <f t="shared" si="72"/>
        <v>33-8-2023</v>
      </c>
      <c r="M2072">
        <f t="shared" si="73"/>
        <v>2023</v>
      </c>
    </row>
    <row r="2073" spans="1:13" x14ac:dyDescent="0.2">
      <c r="A2073" s="1">
        <f t="shared" si="68"/>
        <v>45159</v>
      </c>
      <c r="B2073">
        <f>IF(E2073="None",B2072+1,B2072)</f>
        <v>34</v>
      </c>
      <c r="C2073">
        <f t="shared" si="69"/>
        <v>8</v>
      </c>
      <c r="D2073">
        <f t="shared" si="70"/>
        <v>3</v>
      </c>
      <c r="E2073" t="s">
        <v>24</v>
      </c>
      <c r="F2073">
        <v>0</v>
      </c>
      <c r="G2073">
        <f>INDEX(weekly!$E$2:$E$188,MATCH('Marketing Campaigns 22.11.22'!L2073,weekly!$H$2:$H$188,0))</f>
        <v>5487.170990830763</v>
      </c>
      <c r="H2073">
        <f>INDEX(weekly!$D$2:$D$188,MATCH('Marketing Campaigns 22.11.22'!L2073,weekly!$H$2:$H$188,0))</f>
        <v>17385.26435094764</v>
      </c>
      <c r="I2073">
        <f>INDEX(weekly!$F$2:$F$188,MATCH('Marketing Campaigns 22.11.22'!L2073,weekly!$H$2:$H$188,0))</f>
        <v>5999.7993719066908</v>
      </c>
      <c r="J2073">
        <v>0</v>
      </c>
      <c r="K2073">
        <v>0</v>
      </c>
      <c r="L2073" t="str">
        <f t="shared" si="72"/>
        <v>34-8-2023</v>
      </c>
      <c r="M2073">
        <f t="shared" si="73"/>
        <v>2023</v>
      </c>
    </row>
    <row r="2074" spans="1:13" x14ac:dyDescent="0.2">
      <c r="A2074" s="1">
        <f t="shared" si="68"/>
        <v>45159</v>
      </c>
      <c r="B2074">
        <f t="shared" si="71"/>
        <v>34</v>
      </c>
      <c r="C2074">
        <f t="shared" si="69"/>
        <v>8</v>
      </c>
      <c r="D2074">
        <f t="shared" si="70"/>
        <v>3</v>
      </c>
      <c r="E2074" t="s">
        <v>39</v>
      </c>
      <c r="F2074">
        <v>0</v>
      </c>
      <c r="G2074">
        <f>INDEX(weekly!$E$2:$E$188,MATCH('Marketing Campaigns 22.11.22'!L2074,weekly!$H$2:$H$188,0))</f>
        <v>5487.170990830763</v>
      </c>
      <c r="H2074">
        <f>INDEX(weekly!$D$2:$D$188,MATCH('Marketing Campaigns 22.11.22'!L2074,weekly!$H$2:$H$188,0))</f>
        <v>17385.26435094764</v>
      </c>
      <c r="I2074">
        <f>INDEX(weekly!$F$2:$F$188,MATCH('Marketing Campaigns 22.11.22'!L2074,weekly!$H$2:$H$188,0))</f>
        <v>5999.7993719066908</v>
      </c>
      <c r="J2074">
        <v>0</v>
      </c>
      <c r="K2074">
        <v>0</v>
      </c>
      <c r="L2074" t="str">
        <f t="shared" si="72"/>
        <v>34-8-2023</v>
      </c>
      <c r="M2074">
        <f t="shared" si="73"/>
        <v>2023</v>
      </c>
    </row>
    <row r="2075" spans="1:13" x14ac:dyDescent="0.2">
      <c r="A2075" s="1">
        <f t="shared" si="68"/>
        <v>45159</v>
      </c>
      <c r="B2075">
        <f t="shared" si="71"/>
        <v>34</v>
      </c>
      <c r="C2075">
        <f t="shared" si="69"/>
        <v>8</v>
      </c>
      <c r="D2075">
        <f t="shared" si="70"/>
        <v>3</v>
      </c>
      <c r="E2075" t="s">
        <v>40</v>
      </c>
      <c r="F2075">
        <v>0</v>
      </c>
      <c r="G2075">
        <f>INDEX(weekly!$E$2:$E$188,MATCH('Marketing Campaigns 22.11.22'!L2075,weekly!$H$2:$H$188,0))</f>
        <v>5487.170990830763</v>
      </c>
      <c r="H2075">
        <f>INDEX(weekly!$D$2:$D$188,MATCH('Marketing Campaigns 22.11.22'!L2075,weekly!$H$2:$H$188,0))</f>
        <v>17385.26435094764</v>
      </c>
      <c r="I2075">
        <f>INDEX(weekly!$F$2:$F$188,MATCH('Marketing Campaigns 22.11.22'!L2075,weekly!$H$2:$H$188,0))</f>
        <v>5999.7993719066908</v>
      </c>
      <c r="J2075">
        <v>0</v>
      </c>
      <c r="K2075">
        <v>0</v>
      </c>
      <c r="L2075" t="str">
        <f t="shared" si="72"/>
        <v>34-8-2023</v>
      </c>
      <c r="M2075">
        <f t="shared" si="73"/>
        <v>2023</v>
      </c>
    </row>
    <row r="2076" spans="1:13" x14ac:dyDescent="0.2">
      <c r="A2076" s="1">
        <f t="shared" si="68"/>
        <v>45159</v>
      </c>
      <c r="B2076">
        <f t="shared" si="71"/>
        <v>34</v>
      </c>
      <c r="C2076">
        <f t="shared" si="69"/>
        <v>8</v>
      </c>
      <c r="D2076">
        <f t="shared" si="70"/>
        <v>3</v>
      </c>
      <c r="E2076" t="s">
        <v>41</v>
      </c>
      <c r="F2076">
        <v>0</v>
      </c>
      <c r="G2076">
        <f>INDEX(weekly!$E$2:$E$188,MATCH('Marketing Campaigns 22.11.22'!L2076,weekly!$H$2:$H$188,0))</f>
        <v>5487.170990830763</v>
      </c>
      <c r="H2076">
        <f>INDEX(weekly!$D$2:$D$188,MATCH('Marketing Campaigns 22.11.22'!L2076,weekly!$H$2:$H$188,0))</f>
        <v>17385.26435094764</v>
      </c>
      <c r="I2076">
        <f>INDEX(weekly!$F$2:$F$188,MATCH('Marketing Campaigns 22.11.22'!L2076,weekly!$H$2:$H$188,0))</f>
        <v>5999.7993719066908</v>
      </c>
      <c r="J2076">
        <v>0</v>
      </c>
      <c r="K2076">
        <v>0</v>
      </c>
      <c r="L2076" t="str">
        <f t="shared" si="72"/>
        <v>34-8-2023</v>
      </c>
      <c r="M2076">
        <f t="shared" si="73"/>
        <v>2023</v>
      </c>
    </row>
    <row r="2077" spans="1:13" x14ac:dyDescent="0.2">
      <c r="A2077" s="1">
        <f t="shared" si="68"/>
        <v>45159</v>
      </c>
      <c r="B2077">
        <f t="shared" si="71"/>
        <v>34</v>
      </c>
      <c r="C2077">
        <f t="shared" si="69"/>
        <v>8</v>
      </c>
      <c r="D2077">
        <f t="shared" si="70"/>
        <v>3</v>
      </c>
      <c r="E2077" t="s">
        <v>42</v>
      </c>
      <c r="F2077">
        <v>0</v>
      </c>
      <c r="G2077">
        <f>INDEX(weekly!$E$2:$E$188,MATCH('Marketing Campaigns 22.11.22'!L2077,weekly!$H$2:$H$188,0))</f>
        <v>5487.170990830763</v>
      </c>
      <c r="H2077">
        <f>INDEX(weekly!$D$2:$D$188,MATCH('Marketing Campaigns 22.11.22'!L2077,weekly!$H$2:$H$188,0))</f>
        <v>17385.26435094764</v>
      </c>
      <c r="I2077">
        <f>INDEX(weekly!$F$2:$F$188,MATCH('Marketing Campaigns 22.11.22'!L2077,weekly!$H$2:$H$188,0))</f>
        <v>5999.7993719066908</v>
      </c>
      <c r="J2077">
        <v>0</v>
      </c>
      <c r="K2077">
        <v>0</v>
      </c>
      <c r="L2077" t="str">
        <f t="shared" si="72"/>
        <v>34-8-2023</v>
      </c>
      <c r="M2077">
        <f t="shared" si="73"/>
        <v>2023</v>
      </c>
    </row>
    <row r="2078" spans="1:13" x14ac:dyDescent="0.2">
      <c r="A2078" s="1">
        <f t="shared" si="68"/>
        <v>45159</v>
      </c>
      <c r="B2078">
        <f t="shared" si="71"/>
        <v>34</v>
      </c>
      <c r="C2078">
        <f t="shared" si="69"/>
        <v>8</v>
      </c>
      <c r="D2078">
        <f t="shared" si="70"/>
        <v>3</v>
      </c>
      <c r="E2078" t="s">
        <v>43</v>
      </c>
      <c r="F2078">
        <v>0</v>
      </c>
      <c r="G2078">
        <f>INDEX(weekly!$E$2:$E$188,MATCH('Marketing Campaigns 22.11.22'!L2078,weekly!$H$2:$H$188,0))</f>
        <v>5487.170990830763</v>
      </c>
      <c r="H2078">
        <f>INDEX(weekly!$D$2:$D$188,MATCH('Marketing Campaigns 22.11.22'!L2078,weekly!$H$2:$H$188,0))</f>
        <v>17385.26435094764</v>
      </c>
      <c r="I2078">
        <f>INDEX(weekly!$F$2:$F$188,MATCH('Marketing Campaigns 22.11.22'!L2078,weekly!$H$2:$H$188,0))</f>
        <v>5999.7993719066908</v>
      </c>
      <c r="J2078">
        <v>0</v>
      </c>
      <c r="K2078">
        <v>0</v>
      </c>
      <c r="L2078" t="str">
        <f t="shared" si="72"/>
        <v>34-8-2023</v>
      </c>
      <c r="M2078">
        <f t="shared" si="73"/>
        <v>2023</v>
      </c>
    </row>
    <row r="2079" spans="1:13" x14ac:dyDescent="0.2">
      <c r="A2079" s="1">
        <f t="shared" si="68"/>
        <v>45159</v>
      </c>
      <c r="B2079">
        <f t="shared" si="71"/>
        <v>34</v>
      </c>
      <c r="C2079">
        <f t="shared" si="69"/>
        <v>8</v>
      </c>
      <c r="D2079">
        <f t="shared" si="70"/>
        <v>3</v>
      </c>
      <c r="E2079" t="s">
        <v>44</v>
      </c>
      <c r="F2079">
        <v>0</v>
      </c>
      <c r="G2079">
        <f>INDEX(weekly!$E$2:$E$188,MATCH('Marketing Campaigns 22.11.22'!L2079,weekly!$H$2:$H$188,0))</f>
        <v>5487.170990830763</v>
      </c>
      <c r="H2079">
        <f>INDEX(weekly!$D$2:$D$188,MATCH('Marketing Campaigns 22.11.22'!L2079,weekly!$H$2:$H$188,0))</f>
        <v>17385.26435094764</v>
      </c>
      <c r="I2079">
        <f>INDEX(weekly!$F$2:$F$188,MATCH('Marketing Campaigns 22.11.22'!L2079,weekly!$H$2:$H$188,0))</f>
        <v>5999.7993719066908</v>
      </c>
      <c r="J2079">
        <v>0</v>
      </c>
      <c r="K2079">
        <v>0</v>
      </c>
      <c r="L2079" t="str">
        <f t="shared" si="72"/>
        <v>34-8-2023</v>
      </c>
      <c r="M2079">
        <f t="shared" si="73"/>
        <v>2023</v>
      </c>
    </row>
    <row r="2080" spans="1:13" x14ac:dyDescent="0.2">
      <c r="A2080" s="1">
        <f t="shared" si="68"/>
        <v>45159</v>
      </c>
      <c r="B2080">
        <f t="shared" si="71"/>
        <v>34</v>
      </c>
      <c r="C2080">
        <f t="shared" si="69"/>
        <v>8</v>
      </c>
      <c r="D2080">
        <f t="shared" si="70"/>
        <v>3</v>
      </c>
      <c r="E2080" t="s">
        <v>45</v>
      </c>
      <c r="F2080">
        <v>0</v>
      </c>
      <c r="G2080">
        <f>INDEX(weekly!$E$2:$E$188,MATCH('Marketing Campaigns 22.11.22'!L2080,weekly!$H$2:$H$188,0))</f>
        <v>5487.170990830763</v>
      </c>
      <c r="H2080">
        <f>INDEX(weekly!$D$2:$D$188,MATCH('Marketing Campaigns 22.11.22'!L2080,weekly!$H$2:$H$188,0))</f>
        <v>17385.26435094764</v>
      </c>
      <c r="I2080">
        <f>INDEX(weekly!$F$2:$F$188,MATCH('Marketing Campaigns 22.11.22'!L2080,weekly!$H$2:$H$188,0))</f>
        <v>5999.7993719066908</v>
      </c>
      <c r="J2080">
        <v>0</v>
      </c>
      <c r="K2080">
        <v>0</v>
      </c>
      <c r="L2080" t="str">
        <f t="shared" si="72"/>
        <v>34-8-2023</v>
      </c>
      <c r="M2080">
        <f t="shared" si="73"/>
        <v>2023</v>
      </c>
    </row>
    <row r="2081" spans="1:13" x14ac:dyDescent="0.2">
      <c r="A2081" s="1">
        <f t="shared" si="68"/>
        <v>45159</v>
      </c>
      <c r="B2081">
        <f t="shared" si="71"/>
        <v>34</v>
      </c>
      <c r="C2081">
        <f t="shared" si="69"/>
        <v>8</v>
      </c>
      <c r="D2081">
        <f t="shared" si="70"/>
        <v>3</v>
      </c>
      <c r="E2081" t="s">
        <v>46</v>
      </c>
      <c r="F2081">
        <v>0</v>
      </c>
      <c r="G2081">
        <f>INDEX(weekly!$E$2:$E$188,MATCH('Marketing Campaigns 22.11.22'!L2081,weekly!$H$2:$H$188,0))</f>
        <v>5487.170990830763</v>
      </c>
      <c r="H2081">
        <f>INDEX(weekly!$D$2:$D$188,MATCH('Marketing Campaigns 22.11.22'!L2081,weekly!$H$2:$H$188,0))</f>
        <v>17385.26435094764</v>
      </c>
      <c r="I2081">
        <f>INDEX(weekly!$F$2:$F$188,MATCH('Marketing Campaigns 22.11.22'!L2081,weekly!$H$2:$H$188,0))</f>
        <v>5999.7993719066908</v>
      </c>
      <c r="J2081">
        <v>0</v>
      </c>
      <c r="K2081">
        <v>0</v>
      </c>
      <c r="L2081" t="str">
        <f t="shared" si="72"/>
        <v>34-8-2023</v>
      </c>
      <c r="M2081">
        <f t="shared" si="73"/>
        <v>2023</v>
      </c>
    </row>
    <row r="2082" spans="1:13" x14ac:dyDescent="0.2">
      <c r="A2082" s="1">
        <f t="shared" si="68"/>
        <v>45159</v>
      </c>
      <c r="B2082">
        <f t="shared" si="71"/>
        <v>34</v>
      </c>
      <c r="C2082">
        <f t="shared" si="69"/>
        <v>8</v>
      </c>
      <c r="D2082">
        <f t="shared" si="70"/>
        <v>3</v>
      </c>
      <c r="E2082" t="s">
        <v>47</v>
      </c>
      <c r="F2082">
        <v>0</v>
      </c>
      <c r="G2082">
        <f>INDEX(weekly!$E$2:$E$188,MATCH('Marketing Campaigns 22.11.22'!L2082,weekly!$H$2:$H$188,0))</f>
        <v>5487.170990830763</v>
      </c>
      <c r="H2082">
        <f>INDEX(weekly!$D$2:$D$188,MATCH('Marketing Campaigns 22.11.22'!L2082,weekly!$H$2:$H$188,0))</f>
        <v>17385.26435094764</v>
      </c>
      <c r="I2082">
        <f>INDEX(weekly!$F$2:$F$188,MATCH('Marketing Campaigns 22.11.22'!L2082,weekly!$H$2:$H$188,0))</f>
        <v>5999.7993719066908</v>
      </c>
      <c r="J2082">
        <v>0</v>
      </c>
      <c r="K2082">
        <v>0</v>
      </c>
      <c r="L2082" t="str">
        <f t="shared" si="72"/>
        <v>34-8-2023</v>
      </c>
      <c r="M2082">
        <f t="shared" si="73"/>
        <v>2023</v>
      </c>
    </row>
    <row r="2083" spans="1:13" x14ac:dyDescent="0.2">
      <c r="A2083" s="1">
        <f t="shared" si="68"/>
        <v>45159</v>
      </c>
      <c r="B2083">
        <f t="shared" si="71"/>
        <v>34</v>
      </c>
      <c r="C2083">
        <f t="shared" si="69"/>
        <v>8</v>
      </c>
      <c r="D2083">
        <f t="shared" si="70"/>
        <v>3</v>
      </c>
      <c r="E2083" t="s">
        <v>48</v>
      </c>
      <c r="F2083">
        <v>0</v>
      </c>
      <c r="G2083">
        <f>INDEX(weekly!$E$2:$E$188,MATCH('Marketing Campaigns 22.11.22'!L2083,weekly!$H$2:$H$188,0))</f>
        <v>5487.170990830763</v>
      </c>
      <c r="H2083">
        <f>INDEX(weekly!$D$2:$D$188,MATCH('Marketing Campaigns 22.11.22'!L2083,weekly!$H$2:$H$188,0))</f>
        <v>17385.26435094764</v>
      </c>
      <c r="I2083">
        <f>INDEX(weekly!$F$2:$F$188,MATCH('Marketing Campaigns 22.11.22'!L2083,weekly!$H$2:$H$188,0))</f>
        <v>5999.7993719066908</v>
      </c>
      <c r="J2083">
        <v>0</v>
      </c>
      <c r="K2083">
        <v>0</v>
      </c>
      <c r="L2083" t="str">
        <f t="shared" si="72"/>
        <v>34-8-2023</v>
      </c>
      <c r="M2083">
        <f t="shared" si="73"/>
        <v>2023</v>
      </c>
    </row>
    <row r="2084" spans="1:13" x14ac:dyDescent="0.2">
      <c r="A2084" s="1">
        <f t="shared" si="68"/>
        <v>45159</v>
      </c>
      <c r="B2084">
        <f t="shared" si="71"/>
        <v>34</v>
      </c>
      <c r="C2084">
        <f t="shared" si="69"/>
        <v>8</v>
      </c>
      <c r="D2084">
        <f t="shared" si="70"/>
        <v>3</v>
      </c>
      <c r="E2084" t="s">
        <v>49</v>
      </c>
      <c r="F2084">
        <v>0</v>
      </c>
      <c r="G2084">
        <f>INDEX(weekly!$E$2:$E$188,MATCH('Marketing Campaigns 22.11.22'!L2084,weekly!$H$2:$H$188,0))</f>
        <v>5487.170990830763</v>
      </c>
      <c r="H2084">
        <f>INDEX(weekly!$D$2:$D$188,MATCH('Marketing Campaigns 22.11.22'!L2084,weekly!$H$2:$H$188,0))</f>
        <v>17385.26435094764</v>
      </c>
      <c r="I2084">
        <f>INDEX(weekly!$F$2:$F$188,MATCH('Marketing Campaigns 22.11.22'!L2084,weekly!$H$2:$H$188,0))</f>
        <v>5999.7993719066908</v>
      </c>
      <c r="J2084">
        <v>0</v>
      </c>
      <c r="K2084">
        <v>0</v>
      </c>
      <c r="L2084" t="str">
        <f t="shared" si="72"/>
        <v>34-8-2023</v>
      </c>
      <c r="M2084">
        <f t="shared" si="73"/>
        <v>2023</v>
      </c>
    </row>
    <row r="2085" spans="1:13" x14ac:dyDescent="0.2">
      <c r="A2085" s="1">
        <f t="shared" si="68"/>
        <v>45159</v>
      </c>
      <c r="B2085">
        <f t="shared" si="71"/>
        <v>34</v>
      </c>
      <c r="C2085">
        <f t="shared" si="69"/>
        <v>8</v>
      </c>
      <c r="D2085">
        <f t="shared" si="70"/>
        <v>3</v>
      </c>
      <c r="E2085" t="s">
        <v>50</v>
      </c>
      <c r="F2085">
        <v>0</v>
      </c>
      <c r="G2085">
        <f>INDEX(weekly!$E$2:$E$188,MATCH('Marketing Campaigns 22.11.22'!L2085,weekly!$H$2:$H$188,0))</f>
        <v>5487.170990830763</v>
      </c>
      <c r="H2085">
        <f>INDEX(weekly!$D$2:$D$188,MATCH('Marketing Campaigns 22.11.22'!L2085,weekly!$H$2:$H$188,0))</f>
        <v>17385.26435094764</v>
      </c>
      <c r="I2085">
        <f>INDEX(weekly!$F$2:$F$188,MATCH('Marketing Campaigns 22.11.22'!L2085,weekly!$H$2:$H$188,0))</f>
        <v>5999.7993719066908</v>
      </c>
      <c r="J2085">
        <v>0</v>
      </c>
      <c r="K2085">
        <v>0</v>
      </c>
      <c r="L2085" t="str">
        <f t="shared" si="72"/>
        <v>34-8-2023</v>
      </c>
      <c r="M2085">
        <f t="shared" si="73"/>
        <v>2023</v>
      </c>
    </row>
    <row r="2086" spans="1:13" x14ac:dyDescent="0.2">
      <c r="A2086" s="1">
        <f t="shared" si="68"/>
        <v>45159</v>
      </c>
      <c r="B2086">
        <f t="shared" si="71"/>
        <v>34</v>
      </c>
      <c r="C2086">
        <f t="shared" si="69"/>
        <v>8</v>
      </c>
      <c r="D2086">
        <f t="shared" si="70"/>
        <v>3</v>
      </c>
      <c r="E2086" t="s">
        <v>51</v>
      </c>
      <c r="F2086">
        <v>0</v>
      </c>
      <c r="G2086">
        <f>INDEX(weekly!$E$2:$E$188,MATCH('Marketing Campaigns 22.11.22'!L2086,weekly!$H$2:$H$188,0))</f>
        <v>5487.170990830763</v>
      </c>
      <c r="H2086">
        <f>INDEX(weekly!$D$2:$D$188,MATCH('Marketing Campaigns 22.11.22'!L2086,weekly!$H$2:$H$188,0))</f>
        <v>17385.26435094764</v>
      </c>
      <c r="I2086">
        <f>INDEX(weekly!$F$2:$F$188,MATCH('Marketing Campaigns 22.11.22'!L2086,weekly!$H$2:$H$188,0))</f>
        <v>5999.7993719066908</v>
      </c>
      <c r="J2086">
        <v>0</v>
      </c>
      <c r="K2086">
        <v>0</v>
      </c>
      <c r="L2086" t="str">
        <f t="shared" si="72"/>
        <v>34-8-2023</v>
      </c>
      <c r="M2086">
        <f t="shared" si="73"/>
        <v>2023</v>
      </c>
    </row>
    <row r="2087" spans="1:13" x14ac:dyDescent="0.2">
      <c r="A2087" s="1">
        <f t="shared" si="68"/>
        <v>45159</v>
      </c>
      <c r="B2087">
        <f t="shared" si="71"/>
        <v>34</v>
      </c>
      <c r="C2087">
        <f t="shared" si="69"/>
        <v>8</v>
      </c>
      <c r="D2087">
        <f t="shared" si="70"/>
        <v>3</v>
      </c>
      <c r="E2087" t="s">
        <v>52</v>
      </c>
      <c r="F2087">
        <v>0</v>
      </c>
      <c r="G2087">
        <f>INDEX(weekly!$E$2:$E$188,MATCH('Marketing Campaigns 22.11.22'!L2087,weekly!$H$2:$H$188,0))</f>
        <v>5487.170990830763</v>
      </c>
      <c r="H2087">
        <f>INDEX(weekly!$D$2:$D$188,MATCH('Marketing Campaigns 22.11.22'!L2087,weekly!$H$2:$H$188,0))</f>
        <v>17385.26435094764</v>
      </c>
      <c r="I2087">
        <f>INDEX(weekly!$F$2:$F$188,MATCH('Marketing Campaigns 22.11.22'!L2087,weekly!$H$2:$H$188,0))</f>
        <v>5999.7993719066908</v>
      </c>
      <c r="J2087">
        <v>0</v>
      </c>
      <c r="K2087">
        <v>0</v>
      </c>
      <c r="L2087" t="str">
        <f t="shared" si="72"/>
        <v>34-8-2023</v>
      </c>
      <c r="M2087">
        <f t="shared" si="73"/>
        <v>2023</v>
      </c>
    </row>
    <row r="2088" spans="1:13" x14ac:dyDescent="0.2">
      <c r="A2088" s="1">
        <f t="shared" si="68"/>
        <v>45166</v>
      </c>
      <c r="B2088">
        <f>IF(E2088="None",B2087+1,B2087)</f>
        <v>35</v>
      </c>
      <c r="C2088">
        <f t="shared" si="69"/>
        <v>8</v>
      </c>
      <c r="D2088">
        <f t="shared" si="70"/>
        <v>3</v>
      </c>
      <c r="E2088" t="s">
        <v>24</v>
      </c>
      <c r="F2088">
        <v>0</v>
      </c>
      <c r="G2088">
        <f>INDEX(weekly!$E$2:$E$188,MATCH('Marketing Campaigns 22.11.22'!L2088,weekly!$H$2:$H$188,0))</f>
        <v>3135.5262804747217</v>
      </c>
      <c r="H2088">
        <f>INDEX(weekly!$D$2:$D$188,MATCH('Marketing Campaigns 22.11.22'!L2088,weekly!$H$2:$H$188,0))</f>
        <v>9934.4367719700786</v>
      </c>
      <c r="I2088">
        <f>INDEX(weekly!$F$2:$F$188,MATCH('Marketing Campaigns 22.11.22'!L2088,weekly!$H$2:$H$188,0))</f>
        <v>3428.4567839466804</v>
      </c>
      <c r="J2088">
        <v>0</v>
      </c>
      <c r="K2088">
        <v>0</v>
      </c>
      <c r="L2088" t="str">
        <f t="shared" si="72"/>
        <v>35-8-2023</v>
      </c>
      <c r="M2088">
        <f t="shared" si="73"/>
        <v>2023</v>
      </c>
    </row>
    <row r="2089" spans="1:13" x14ac:dyDescent="0.2">
      <c r="A2089" s="1">
        <f t="shared" si="68"/>
        <v>45166</v>
      </c>
      <c r="B2089">
        <f t="shared" si="71"/>
        <v>35</v>
      </c>
      <c r="C2089">
        <f t="shared" si="69"/>
        <v>8</v>
      </c>
      <c r="D2089">
        <f t="shared" si="70"/>
        <v>3</v>
      </c>
      <c r="E2089" t="s">
        <v>39</v>
      </c>
      <c r="F2089">
        <v>0</v>
      </c>
      <c r="G2089">
        <f>INDEX(weekly!$E$2:$E$188,MATCH('Marketing Campaigns 22.11.22'!L2089,weekly!$H$2:$H$188,0))</f>
        <v>3135.5262804747217</v>
      </c>
      <c r="H2089">
        <f>INDEX(weekly!$D$2:$D$188,MATCH('Marketing Campaigns 22.11.22'!L2089,weekly!$H$2:$H$188,0))</f>
        <v>9934.4367719700786</v>
      </c>
      <c r="I2089">
        <f>INDEX(weekly!$F$2:$F$188,MATCH('Marketing Campaigns 22.11.22'!L2089,weekly!$H$2:$H$188,0))</f>
        <v>3428.4567839466804</v>
      </c>
      <c r="J2089">
        <v>0</v>
      </c>
      <c r="K2089">
        <v>0</v>
      </c>
      <c r="L2089" t="str">
        <f t="shared" si="72"/>
        <v>35-8-2023</v>
      </c>
      <c r="M2089">
        <f t="shared" si="73"/>
        <v>2023</v>
      </c>
    </row>
    <row r="2090" spans="1:13" x14ac:dyDescent="0.2">
      <c r="A2090" s="1">
        <f t="shared" si="68"/>
        <v>45166</v>
      </c>
      <c r="B2090">
        <f t="shared" si="71"/>
        <v>35</v>
      </c>
      <c r="C2090">
        <f t="shared" si="69"/>
        <v>8</v>
      </c>
      <c r="D2090">
        <f t="shared" si="70"/>
        <v>3</v>
      </c>
      <c r="E2090" t="s">
        <v>40</v>
      </c>
      <c r="F2090">
        <v>0</v>
      </c>
      <c r="G2090">
        <f>INDEX(weekly!$E$2:$E$188,MATCH('Marketing Campaigns 22.11.22'!L2090,weekly!$H$2:$H$188,0))</f>
        <v>3135.5262804747217</v>
      </c>
      <c r="H2090">
        <f>INDEX(weekly!$D$2:$D$188,MATCH('Marketing Campaigns 22.11.22'!L2090,weekly!$H$2:$H$188,0))</f>
        <v>9934.4367719700786</v>
      </c>
      <c r="I2090">
        <f>INDEX(weekly!$F$2:$F$188,MATCH('Marketing Campaigns 22.11.22'!L2090,weekly!$H$2:$H$188,0))</f>
        <v>3428.4567839466804</v>
      </c>
      <c r="J2090">
        <v>0</v>
      </c>
      <c r="K2090">
        <v>0</v>
      </c>
      <c r="L2090" t="str">
        <f t="shared" si="72"/>
        <v>35-8-2023</v>
      </c>
      <c r="M2090">
        <f t="shared" si="73"/>
        <v>2023</v>
      </c>
    </row>
    <row r="2091" spans="1:13" x14ac:dyDescent="0.2">
      <c r="A2091" s="1">
        <f t="shared" si="68"/>
        <v>45166</v>
      </c>
      <c r="B2091">
        <f t="shared" si="71"/>
        <v>35</v>
      </c>
      <c r="C2091">
        <f t="shared" si="69"/>
        <v>8</v>
      </c>
      <c r="D2091">
        <f t="shared" si="70"/>
        <v>3</v>
      </c>
      <c r="E2091" t="s">
        <v>41</v>
      </c>
      <c r="F2091">
        <v>0</v>
      </c>
      <c r="G2091">
        <f>INDEX(weekly!$E$2:$E$188,MATCH('Marketing Campaigns 22.11.22'!L2091,weekly!$H$2:$H$188,0))</f>
        <v>3135.5262804747217</v>
      </c>
      <c r="H2091">
        <f>INDEX(weekly!$D$2:$D$188,MATCH('Marketing Campaigns 22.11.22'!L2091,weekly!$H$2:$H$188,0))</f>
        <v>9934.4367719700786</v>
      </c>
      <c r="I2091">
        <f>INDEX(weekly!$F$2:$F$188,MATCH('Marketing Campaigns 22.11.22'!L2091,weekly!$H$2:$H$188,0))</f>
        <v>3428.4567839466804</v>
      </c>
      <c r="J2091">
        <v>0</v>
      </c>
      <c r="K2091">
        <v>0</v>
      </c>
      <c r="L2091" t="str">
        <f t="shared" si="72"/>
        <v>35-8-2023</v>
      </c>
      <c r="M2091">
        <f t="shared" si="73"/>
        <v>2023</v>
      </c>
    </row>
    <row r="2092" spans="1:13" x14ac:dyDescent="0.2">
      <c r="A2092" s="1">
        <f t="shared" si="68"/>
        <v>45166</v>
      </c>
      <c r="B2092">
        <f t="shared" si="71"/>
        <v>35</v>
      </c>
      <c r="C2092">
        <f t="shared" si="69"/>
        <v>8</v>
      </c>
      <c r="D2092">
        <f t="shared" si="70"/>
        <v>3</v>
      </c>
      <c r="E2092" t="s">
        <v>42</v>
      </c>
      <c r="F2092">
        <v>0</v>
      </c>
      <c r="G2092">
        <f>INDEX(weekly!$E$2:$E$188,MATCH('Marketing Campaigns 22.11.22'!L2092,weekly!$H$2:$H$188,0))</f>
        <v>3135.5262804747217</v>
      </c>
      <c r="H2092">
        <f>INDEX(weekly!$D$2:$D$188,MATCH('Marketing Campaigns 22.11.22'!L2092,weekly!$H$2:$H$188,0))</f>
        <v>9934.4367719700786</v>
      </c>
      <c r="I2092">
        <f>INDEX(weekly!$F$2:$F$188,MATCH('Marketing Campaigns 22.11.22'!L2092,weekly!$H$2:$H$188,0))</f>
        <v>3428.4567839466804</v>
      </c>
      <c r="J2092">
        <v>0</v>
      </c>
      <c r="K2092">
        <v>0</v>
      </c>
      <c r="L2092" t="str">
        <f t="shared" si="72"/>
        <v>35-8-2023</v>
      </c>
      <c r="M2092">
        <f t="shared" si="73"/>
        <v>2023</v>
      </c>
    </row>
    <row r="2093" spans="1:13" x14ac:dyDescent="0.2">
      <c r="A2093" s="1">
        <f t="shared" si="68"/>
        <v>45166</v>
      </c>
      <c r="B2093">
        <f t="shared" si="71"/>
        <v>35</v>
      </c>
      <c r="C2093">
        <f t="shared" si="69"/>
        <v>8</v>
      </c>
      <c r="D2093">
        <f t="shared" si="70"/>
        <v>3</v>
      </c>
      <c r="E2093" t="s">
        <v>43</v>
      </c>
      <c r="F2093">
        <v>0</v>
      </c>
      <c r="G2093">
        <f>INDEX(weekly!$E$2:$E$188,MATCH('Marketing Campaigns 22.11.22'!L2093,weekly!$H$2:$H$188,0))</f>
        <v>3135.5262804747217</v>
      </c>
      <c r="H2093">
        <f>INDEX(weekly!$D$2:$D$188,MATCH('Marketing Campaigns 22.11.22'!L2093,weekly!$H$2:$H$188,0))</f>
        <v>9934.4367719700786</v>
      </c>
      <c r="I2093">
        <f>INDEX(weekly!$F$2:$F$188,MATCH('Marketing Campaigns 22.11.22'!L2093,weekly!$H$2:$H$188,0))</f>
        <v>3428.4567839466804</v>
      </c>
      <c r="J2093">
        <v>0</v>
      </c>
      <c r="K2093">
        <v>0</v>
      </c>
      <c r="L2093" t="str">
        <f t="shared" si="72"/>
        <v>35-8-2023</v>
      </c>
      <c r="M2093">
        <f t="shared" si="73"/>
        <v>2023</v>
      </c>
    </row>
    <row r="2094" spans="1:13" x14ac:dyDescent="0.2">
      <c r="A2094" s="1">
        <f t="shared" si="68"/>
        <v>45166</v>
      </c>
      <c r="B2094">
        <f t="shared" si="71"/>
        <v>35</v>
      </c>
      <c r="C2094">
        <f t="shared" si="69"/>
        <v>8</v>
      </c>
      <c r="D2094">
        <f t="shared" si="70"/>
        <v>3</v>
      </c>
      <c r="E2094" t="s">
        <v>44</v>
      </c>
      <c r="F2094">
        <v>0</v>
      </c>
      <c r="G2094">
        <f>INDEX(weekly!$E$2:$E$188,MATCH('Marketing Campaigns 22.11.22'!L2094,weekly!$H$2:$H$188,0))</f>
        <v>3135.5262804747217</v>
      </c>
      <c r="H2094">
        <f>INDEX(weekly!$D$2:$D$188,MATCH('Marketing Campaigns 22.11.22'!L2094,weekly!$H$2:$H$188,0))</f>
        <v>9934.4367719700786</v>
      </c>
      <c r="I2094">
        <f>INDEX(weekly!$F$2:$F$188,MATCH('Marketing Campaigns 22.11.22'!L2094,weekly!$H$2:$H$188,0))</f>
        <v>3428.4567839466804</v>
      </c>
      <c r="J2094">
        <v>0</v>
      </c>
      <c r="K2094">
        <v>0</v>
      </c>
      <c r="L2094" t="str">
        <f t="shared" si="72"/>
        <v>35-8-2023</v>
      </c>
      <c r="M2094">
        <f t="shared" si="73"/>
        <v>2023</v>
      </c>
    </row>
    <row r="2095" spans="1:13" x14ac:dyDescent="0.2">
      <c r="A2095" s="1">
        <f t="shared" si="68"/>
        <v>45166</v>
      </c>
      <c r="B2095">
        <f t="shared" si="71"/>
        <v>35</v>
      </c>
      <c r="C2095">
        <f t="shared" si="69"/>
        <v>8</v>
      </c>
      <c r="D2095">
        <f t="shared" si="70"/>
        <v>3</v>
      </c>
      <c r="E2095" t="s">
        <v>45</v>
      </c>
      <c r="F2095">
        <v>0</v>
      </c>
      <c r="G2095">
        <f>INDEX(weekly!$E$2:$E$188,MATCH('Marketing Campaigns 22.11.22'!L2095,weekly!$H$2:$H$188,0))</f>
        <v>3135.5262804747217</v>
      </c>
      <c r="H2095">
        <f>INDEX(weekly!$D$2:$D$188,MATCH('Marketing Campaigns 22.11.22'!L2095,weekly!$H$2:$H$188,0))</f>
        <v>9934.4367719700786</v>
      </c>
      <c r="I2095">
        <f>INDEX(weekly!$F$2:$F$188,MATCH('Marketing Campaigns 22.11.22'!L2095,weekly!$H$2:$H$188,0))</f>
        <v>3428.4567839466804</v>
      </c>
      <c r="J2095">
        <v>0</v>
      </c>
      <c r="K2095">
        <v>0</v>
      </c>
      <c r="L2095" t="str">
        <f t="shared" si="72"/>
        <v>35-8-2023</v>
      </c>
      <c r="M2095">
        <f t="shared" si="73"/>
        <v>2023</v>
      </c>
    </row>
    <row r="2096" spans="1:13" x14ac:dyDescent="0.2">
      <c r="A2096" s="1">
        <f t="shared" si="68"/>
        <v>45166</v>
      </c>
      <c r="B2096">
        <f t="shared" si="71"/>
        <v>35</v>
      </c>
      <c r="C2096">
        <f t="shared" si="69"/>
        <v>8</v>
      </c>
      <c r="D2096">
        <f t="shared" si="70"/>
        <v>3</v>
      </c>
      <c r="E2096" t="s">
        <v>46</v>
      </c>
      <c r="F2096">
        <v>0</v>
      </c>
      <c r="G2096">
        <f>INDEX(weekly!$E$2:$E$188,MATCH('Marketing Campaigns 22.11.22'!L2096,weekly!$H$2:$H$188,0))</f>
        <v>3135.5262804747217</v>
      </c>
      <c r="H2096">
        <f>INDEX(weekly!$D$2:$D$188,MATCH('Marketing Campaigns 22.11.22'!L2096,weekly!$H$2:$H$188,0))</f>
        <v>9934.4367719700786</v>
      </c>
      <c r="I2096">
        <f>INDEX(weekly!$F$2:$F$188,MATCH('Marketing Campaigns 22.11.22'!L2096,weekly!$H$2:$H$188,0))</f>
        <v>3428.4567839466804</v>
      </c>
      <c r="J2096">
        <v>0</v>
      </c>
      <c r="K2096">
        <v>0</v>
      </c>
      <c r="L2096" t="str">
        <f t="shared" si="72"/>
        <v>35-8-2023</v>
      </c>
      <c r="M2096">
        <f t="shared" si="73"/>
        <v>2023</v>
      </c>
    </row>
    <row r="2097" spans="1:13" x14ac:dyDescent="0.2">
      <c r="A2097" s="1">
        <f t="shared" ref="A2097:A2160" si="74">DATE(2023, 1, -2) - WEEKDAY(DATE(2023, 1, 3)) + B2097 * 7</f>
        <v>45166</v>
      </c>
      <c r="B2097">
        <f t="shared" si="71"/>
        <v>35</v>
      </c>
      <c r="C2097">
        <f t="shared" ref="C2097:C2160" si="75">MONTH(A2097)</f>
        <v>8</v>
      </c>
      <c r="D2097">
        <f t="shared" ref="D2097:D2160" si="76">CEILING(C2097 / 3,1)</f>
        <v>3</v>
      </c>
      <c r="E2097" t="s">
        <v>47</v>
      </c>
      <c r="F2097">
        <v>0</v>
      </c>
      <c r="G2097">
        <f>INDEX(weekly!$E$2:$E$188,MATCH('Marketing Campaigns 22.11.22'!L2097,weekly!$H$2:$H$188,0))</f>
        <v>3135.5262804747217</v>
      </c>
      <c r="H2097">
        <f>INDEX(weekly!$D$2:$D$188,MATCH('Marketing Campaigns 22.11.22'!L2097,weekly!$H$2:$H$188,0))</f>
        <v>9934.4367719700786</v>
      </c>
      <c r="I2097">
        <f>INDEX(weekly!$F$2:$F$188,MATCH('Marketing Campaigns 22.11.22'!L2097,weekly!$H$2:$H$188,0))</f>
        <v>3428.4567839466804</v>
      </c>
      <c r="J2097">
        <v>0</v>
      </c>
      <c r="K2097">
        <v>0</v>
      </c>
      <c r="L2097" t="str">
        <f t="shared" si="72"/>
        <v>35-8-2023</v>
      </c>
      <c r="M2097">
        <f t="shared" si="73"/>
        <v>2023</v>
      </c>
    </row>
    <row r="2098" spans="1:13" x14ac:dyDescent="0.2">
      <c r="A2098" s="1">
        <f t="shared" si="74"/>
        <v>45166</v>
      </c>
      <c r="B2098">
        <f t="shared" si="71"/>
        <v>35</v>
      </c>
      <c r="C2098">
        <f t="shared" si="75"/>
        <v>8</v>
      </c>
      <c r="D2098">
        <f t="shared" si="76"/>
        <v>3</v>
      </c>
      <c r="E2098" t="s">
        <v>48</v>
      </c>
      <c r="F2098">
        <v>0</v>
      </c>
      <c r="G2098">
        <f>INDEX(weekly!$E$2:$E$188,MATCH('Marketing Campaigns 22.11.22'!L2098,weekly!$H$2:$H$188,0))</f>
        <v>3135.5262804747217</v>
      </c>
      <c r="H2098">
        <f>INDEX(weekly!$D$2:$D$188,MATCH('Marketing Campaigns 22.11.22'!L2098,weekly!$H$2:$H$188,0))</f>
        <v>9934.4367719700786</v>
      </c>
      <c r="I2098">
        <f>INDEX(weekly!$F$2:$F$188,MATCH('Marketing Campaigns 22.11.22'!L2098,weekly!$H$2:$H$188,0))</f>
        <v>3428.4567839466804</v>
      </c>
      <c r="J2098">
        <v>0</v>
      </c>
      <c r="K2098">
        <v>0</v>
      </c>
      <c r="L2098" t="str">
        <f t="shared" si="72"/>
        <v>35-8-2023</v>
      </c>
      <c r="M2098">
        <f t="shared" si="73"/>
        <v>2023</v>
      </c>
    </row>
    <row r="2099" spans="1:13" x14ac:dyDescent="0.2">
      <c r="A2099" s="1">
        <f t="shared" si="74"/>
        <v>45166</v>
      </c>
      <c r="B2099">
        <f t="shared" si="71"/>
        <v>35</v>
      </c>
      <c r="C2099">
        <f t="shared" si="75"/>
        <v>8</v>
      </c>
      <c r="D2099">
        <f t="shared" si="76"/>
        <v>3</v>
      </c>
      <c r="E2099" t="s">
        <v>49</v>
      </c>
      <c r="F2099">
        <v>0</v>
      </c>
      <c r="G2099">
        <f>INDEX(weekly!$E$2:$E$188,MATCH('Marketing Campaigns 22.11.22'!L2099,weekly!$H$2:$H$188,0))</f>
        <v>3135.5262804747217</v>
      </c>
      <c r="H2099">
        <f>INDEX(weekly!$D$2:$D$188,MATCH('Marketing Campaigns 22.11.22'!L2099,weekly!$H$2:$H$188,0))</f>
        <v>9934.4367719700786</v>
      </c>
      <c r="I2099">
        <f>INDEX(weekly!$F$2:$F$188,MATCH('Marketing Campaigns 22.11.22'!L2099,weekly!$H$2:$H$188,0))</f>
        <v>3428.4567839466804</v>
      </c>
      <c r="J2099">
        <v>0</v>
      </c>
      <c r="K2099">
        <v>0</v>
      </c>
      <c r="L2099" t="str">
        <f t="shared" si="72"/>
        <v>35-8-2023</v>
      </c>
      <c r="M2099">
        <f t="shared" si="73"/>
        <v>2023</v>
      </c>
    </row>
    <row r="2100" spans="1:13" x14ac:dyDescent="0.2">
      <c r="A2100" s="1">
        <f t="shared" si="74"/>
        <v>45166</v>
      </c>
      <c r="B2100">
        <f t="shared" si="71"/>
        <v>35</v>
      </c>
      <c r="C2100">
        <f t="shared" si="75"/>
        <v>8</v>
      </c>
      <c r="D2100">
        <f t="shared" si="76"/>
        <v>3</v>
      </c>
      <c r="E2100" t="s">
        <v>50</v>
      </c>
      <c r="F2100">
        <v>0</v>
      </c>
      <c r="G2100">
        <f>INDEX(weekly!$E$2:$E$188,MATCH('Marketing Campaigns 22.11.22'!L2100,weekly!$H$2:$H$188,0))</f>
        <v>3135.5262804747217</v>
      </c>
      <c r="H2100">
        <f>INDEX(weekly!$D$2:$D$188,MATCH('Marketing Campaigns 22.11.22'!L2100,weekly!$H$2:$H$188,0))</f>
        <v>9934.4367719700786</v>
      </c>
      <c r="I2100">
        <f>INDEX(weekly!$F$2:$F$188,MATCH('Marketing Campaigns 22.11.22'!L2100,weekly!$H$2:$H$188,0))</f>
        <v>3428.4567839466804</v>
      </c>
      <c r="J2100">
        <v>0</v>
      </c>
      <c r="K2100">
        <v>0</v>
      </c>
      <c r="L2100" t="str">
        <f t="shared" si="72"/>
        <v>35-8-2023</v>
      </c>
      <c r="M2100">
        <f t="shared" si="73"/>
        <v>2023</v>
      </c>
    </row>
    <row r="2101" spans="1:13" x14ac:dyDescent="0.2">
      <c r="A2101" s="1">
        <f t="shared" si="74"/>
        <v>45166</v>
      </c>
      <c r="B2101">
        <f t="shared" si="71"/>
        <v>35</v>
      </c>
      <c r="C2101">
        <f t="shared" si="75"/>
        <v>8</v>
      </c>
      <c r="D2101">
        <f t="shared" si="76"/>
        <v>3</v>
      </c>
      <c r="E2101" t="s">
        <v>51</v>
      </c>
      <c r="F2101">
        <v>0</v>
      </c>
      <c r="G2101">
        <f>INDEX(weekly!$E$2:$E$188,MATCH('Marketing Campaigns 22.11.22'!L2101,weekly!$H$2:$H$188,0))</f>
        <v>3135.5262804747217</v>
      </c>
      <c r="H2101">
        <f>INDEX(weekly!$D$2:$D$188,MATCH('Marketing Campaigns 22.11.22'!L2101,weekly!$H$2:$H$188,0))</f>
        <v>9934.4367719700786</v>
      </c>
      <c r="I2101">
        <f>INDEX(weekly!$F$2:$F$188,MATCH('Marketing Campaigns 22.11.22'!L2101,weekly!$H$2:$H$188,0))</f>
        <v>3428.4567839466804</v>
      </c>
      <c r="J2101">
        <v>0</v>
      </c>
      <c r="K2101">
        <v>0</v>
      </c>
      <c r="L2101" t="str">
        <f t="shared" si="72"/>
        <v>35-8-2023</v>
      </c>
      <c r="M2101">
        <f t="shared" si="73"/>
        <v>2023</v>
      </c>
    </row>
    <row r="2102" spans="1:13" x14ac:dyDescent="0.2">
      <c r="A2102" s="1">
        <f t="shared" si="74"/>
        <v>45166</v>
      </c>
      <c r="B2102">
        <f t="shared" si="71"/>
        <v>35</v>
      </c>
      <c r="C2102">
        <f t="shared" si="75"/>
        <v>8</v>
      </c>
      <c r="D2102">
        <f t="shared" si="76"/>
        <v>3</v>
      </c>
      <c r="E2102" t="s">
        <v>52</v>
      </c>
      <c r="F2102">
        <v>0</v>
      </c>
      <c r="G2102">
        <f>INDEX(weekly!$E$2:$E$188,MATCH('Marketing Campaigns 22.11.22'!L2102,weekly!$H$2:$H$188,0))</f>
        <v>3135.5262804747217</v>
      </c>
      <c r="H2102">
        <f>INDEX(weekly!$D$2:$D$188,MATCH('Marketing Campaigns 22.11.22'!L2102,weekly!$H$2:$H$188,0))</f>
        <v>9934.4367719700786</v>
      </c>
      <c r="I2102">
        <f>INDEX(weekly!$F$2:$F$188,MATCH('Marketing Campaigns 22.11.22'!L2102,weekly!$H$2:$H$188,0))</f>
        <v>3428.4567839466804</v>
      </c>
      <c r="J2102">
        <v>0</v>
      </c>
      <c r="K2102">
        <v>0</v>
      </c>
      <c r="L2102" t="str">
        <f t="shared" si="72"/>
        <v>35-8-2023</v>
      </c>
      <c r="M2102">
        <f t="shared" si="73"/>
        <v>2023</v>
      </c>
    </row>
    <row r="2103" spans="1:13" x14ac:dyDescent="0.2">
      <c r="A2103" s="1">
        <f t="shared" si="74"/>
        <v>45173</v>
      </c>
      <c r="B2103">
        <f>IF(E2103="None",B2102+1,B2102)</f>
        <v>36</v>
      </c>
      <c r="C2103">
        <f t="shared" si="75"/>
        <v>9</v>
      </c>
      <c r="D2103">
        <f t="shared" si="76"/>
        <v>3</v>
      </c>
      <c r="E2103" t="s">
        <v>24</v>
      </c>
      <c r="F2103">
        <v>0</v>
      </c>
      <c r="G2103">
        <f>INDEX(weekly!$E$2:$E$188,MATCH('Marketing Campaigns 22.11.22'!L2103,weekly!$H$2:$H$188,0))</f>
        <v>6646.9015619318616</v>
      </c>
      <c r="H2103">
        <f>INDEX(weekly!$D$2:$D$188,MATCH('Marketing Campaigns 22.11.22'!L2103,weekly!$H$2:$H$188,0))</f>
        <v>16630.267968954577</v>
      </c>
      <c r="I2103">
        <f>INDEX(weekly!$F$2:$F$188,MATCH('Marketing Campaigns 22.11.22'!L2103,weekly!$H$2:$H$188,0))</f>
        <v>6083.8910004496302</v>
      </c>
      <c r="J2103">
        <v>0</v>
      </c>
      <c r="K2103">
        <v>0</v>
      </c>
      <c r="L2103" t="str">
        <f t="shared" si="72"/>
        <v>36-9-2023</v>
      </c>
      <c r="M2103">
        <f t="shared" si="73"/>
        <v>2023</v>
      </c>
    </row>
    <row r="2104" spans="1:13" x14ac:dyDescent="0.2">
      <c r="A2104" s="1">
        <f t="shared" si="74"/>
        <v>45173</v>
      </c>
      <c r="B2104">
        <f t="shared" si="71"/>
        <v>36</v>
      </c>
      <c r="C2104">
        <f t="shared" si="75"/>
        <v>9</v>
      </c>
      <c r="D2104">
        <f t="shared" si="76"/>
        <v>3</v>
      </c>
      <c r="E2104" t="s">
        <v>39</v>
      </c>
      <c r="F2104">
        <v>0</v>
      </c>
      <c r="G2104">
        <f>INDEX(weekly!$E$2:$E$188,MATCH('Marketing Campaigns 22.11.22'!L2104,weekly!$H$2:$H$188,0))</f>
        <v>6646.9015619318616</v>
      </c>
      <c r="H2104">
        <f>INDEX(weekly!$D$2:$D$188,MATCH('Marketing Campaigns 22.11.22'!L2104,weekly!$H$2:$H$188,0))</f>
        <v>16630.267968954577</v>
      </c>
      <c r="I2104">
        <f>INDEX(weekly!$F$2:$F$188,MATCH('Marketing Campaigns 22.11.22'!L2104,weekly!$H$2:$H$188,0))</f>
        <v>6083.8910004496302</v>
      </c>
      <c r="J2104">
        <v>0</v>
      </c>
      <c r="K2104">
        <v>0</v>
      </c>
      <c r="L2104" t="str">
        <f t="shared" si="72"/>
        <v>36-9-2023</v>
      </c>
      <c r="M2104">
        <f t="shared" si="73"/>
        <v>2023</v>
      </c>
    </row>
    <row r="2105" spans="1:13" x14ac:dyDescent="0.2">
      <c r="A2105" s="1">
        <f t="shared" si="74"/>
        <v>45173</v>
      </c>
      <c r="B2105">
        <f t="shared" si="71"/>
        <v>36</v>
      </c>
      <c r="C2105">
        <f t="shared" si="75"/>
        <v>9</v>
      </c>
      <c r="D2105">
        <f t="shared" si="76"/>
        <v>3</v>
      </c>
      <c r="E2105" t="s">
        <v>40</v>
      </c>
      <c r="F2105">
        <v>0</v>
      </c>
      <c r="G2105">
        <f>INDEX(weekly!$E$2:$E$188,MATCH('Marketing Campaigns 22.11.22'!L2105,weekly!$H$2:$H$188,0))</f>
        <v>6646.9015619318616</v>
      </c>
      <c r="H2105">
        <f>INDEX(weekly!$D$2:$D$188,MATCH('Marketing Campaigns 22.11.22'!L2105,weekly!$H$2:$H$188,0))</f>
        <v>16630.267968954577</v>
      </c>
      <c r="I2105">
        <f>INDEX(weekly!$F$2:$F$188,MATCH('Marketing Campaigns 22.11.22'!L2105,weekly!$H$2:$H$188,0))</f>
        <v>6083.8910004496302</v>
      </c>
      <c r="J2105">
        <v>0</v>
      </c>
      <c r="K2105">
        <v>0</v>
      </c>
      <c r="L2105" t="str">
        <f t="shared" si="72"/>
        <v>36-9-2023</v>
      </c>
      <c r="M2105">
        <f t="shared" si="73"/>
        <v>2023</v>
      </c>
    </row>
    <row r="2106" spans="1:13" x14ac:dyDescent="0.2">
      <c r="A2106" s="1">
        <f t="shared" si="74"/>
        <v>45173</v>
      </c>
      <c r="B2106">
        <f t="shared" si="71"/>
        <v>36</v>
      </c>
      <c r="C2106">
        <f t="shared" si="75"/>
        <v>9</v>
      </c>
      <c r="D2106">
        <f t="shared" si="76"/>
        <v>3</v>
      </c>
      <c r="E2106" t="s">
        <v>41</v>
      </c>
      <c r="F2106">
        <v>0</v>
      </c>
      <c r="G2106">
        <f>INDEX(weekly!$E$2:$E$188,MATCH('Marketing Campaigns 22.11.22'!L2106,weekly!$H$2:$H$188,0))</f>
        <v>6646.9015619318616</v>
      </c>
      <c r="H2106">
        <f>INDEX(weekly!$D$2:$D$188,MATCH('Marketing Campaigns 22.11.22'!L2106,weekly!$H$2:$H$188,0))</f>
        <v>16630.267968954577</v>
      </c>
      <c r="I2106">
        <f>INDEX(weekly!$F$2:$F$188,MATCH('Marketing Campaigns 22.11.22'!L2106,weekly!$H$2:$H$188,0))</f>
        <v>6083.8910004496302</v>
      </c>
      <c r="J2106">
        <v>0</v>
      </c>
      <c r="K2106">
        <v>0</v>
      </c>
      <c r="L2106" t="str">
        <f t="shared" si="72"/>
        <v>36-9-2023</v>
      </c>
      <c r="M2106">
        <f t="shared" si="73"/>
        <v>2023</v>
      </c>
    </row>
    <row r="2107" spans="1:13" x14ac:dyDescent="0.2">
      <c r="A2107" s="1">
        <f t="shared" si="74"/>
        <v>45173</v>
      </c>
      <c r="B2107">
        <f t="shared" si="71"/>
        <v>36</v>
      </c>
      <c r="C2107">
        <f t="shared" si="75"/>
        <v>9</v>
      </c>
      <c r="D2107">
        <f t="shared" si="76"/>
        <v>3</v>
      </c>
      <c r="E2107" t="s">
        <v>42</v>
      </c>
      <c r="F2107">
        <v>0</v>
      </c>
      <c r="G2107">
        <f>INDEX(weekly!$E$2:$E$188,MATCH('Marketing Campaigns 22.11.22'!L2107,weekly!$H$2:$H$188,0))</f>
        <v>6646.9015619318616</v>
      </c>
      <c r="H2107">
        <f>INDEX(weekly!$D$2:$D$188,MATCH('Marketing Campaigns 22.11.22'!L2107,weekly!$H$2:$H$188,0))</f>
        <v>16630.267968954577</v>
      </c>
      <c r="I2107">
        <f>INDEX(weekly!$F$2:$F$188,MATCH('Marketing Campaigns 22.11.22'!L2107,weekly!$H$2:$H$188,0))</f>
        <v>6083.8910004496302</v>
      </c>
      <c r="J2107">
        <v>0</v>
      </c>
      <c r="K2107">
        <v>0</v>
      </c>
      <c r="L2107" t="str">
        <f t="shared" si="72"/>
        <v>36-9-2023</v>
      </c>
      <c r="M2107">
        <f t="shared" si="73"/>
        <v>2023</v>
      </c>
    </row>
    <row r="2108" spans="1:13" x14ac:dyDescent="0.2">
      <c r="A2108" s="1">
        <f t="shared" si="74"/>
        <v>45173</v>
      </c>
      <c r="B2108">
        <f t="shared" si="71"/>
        <v>36</v>
      </c>
      <c r="C2108">
        <f t="shared" si="75"/>
        <v>9</v>
      </c>
      <c r="D2108">
        <f t="shared" si="76"/>
        <v>3</v>
      </c>
      <c r="E2108" t="s">
        <v>43</v>
      </c>
      <c r="F2108">
        <v>0</v>
      </c>
      <c r="G2108">
        <f>INDEX(weekly!$E$2:$E$188,MATCH('Marketing Campaigns 22.11.22'!L2108,weekly!$H$2:$H$188,0))</f>
        <v>6646.9015619318616</v>
      </c>
      <c r="H2108">
        <f>INDEX(weekly!$D$2:$D$188,MATCH('Marketing Campaigns 22.11.22'!L2108,weekly!$H$2:$H$188,0))</f>
        <v>16630.267968954577</v>
      </c>
      <c r="I2108">
        <f>INDEX(weekly!$F$2:$F$188,MATCH('Marketing Campaigns 22.11.22'!L2108,weekly!$H$2:$H$188,0))</f>
        <v>6083.8910004496302</v>
      </c>
      <c r="J2108">
        <v>0</v>
      </c>
      <c r="K2108">
        <v>0</v>
      </c>
      <c r="L2108" t="str">
        <f t="shared" si="72"/>
        <v>36-9-2023</v>
      </c>
      <c r="M2108">
        <f t="shared" si="73"/>
        <v>2023</v>
      </c>
    </row>
    <row r="2109" spans="1:13" x14ac:dyDescent="0.2">
      <c r="A2109" s="1">
        <f t="shared" si="74"/>
        <v>45173</v>
      </c>
      <c r="B2109">
        <f t="shared" si="71"/>
        <v>36</v>
      </c>
      <c r="C2109">
        <f t="shared" si="75"/>
        <v>9</v>
      </c>
      <c r="D2109">
        <f t="shared" si="76"/>
        <v>3</v>
      </c>
      <c r="E2109" t="s">
        <v>44</v>
      </c>
      <c r="F2109">
        <v>0</v>
      </c>
      <c r="G2109">
        <f>INDEX(weekly!$E$2:$E$188,MATCH('Marketing Campaigns 22.11.22'!L2109,weekly!$H$2:$H$188,0))</f>
        <v>6646.9015619318616</v>
      </c>
      <c r="H2109">
        <f>INDEX(weekly!$D$2:$D$188,MATCH('Marketing Campaigns 22.11.22'!L2109,weekly!$H$2:$H$188,0))</f>
        <v>16630.267968954577</v>
      </c>
      <c r="I2109">
        <f>INDEX(weekly!$F$2:$F$188,MATCH('Marketing Campaigns 22.11.22'!L2109,weekly!$H$2:$H$188,0))</f>
        <v>6083.8910004496302</v>
      </c>
      <c r="J2109">
        <v>0</v>
      </c>
      <c r="K2109">
        <v>0</v>
      </c>
      <c r="L2109" t="str">
        <f t="shared" si="72"/>
        <v>36-9-2023</v>
      </c>
      <c r="M2109">
        <f t="shared" si="73"/>
        <v>2023</v>
      </c>
    </row>
    <row r="2110" spans="1:13" x14ac:dyDescent="0.2">
      <c r="A2110" s="1">
        <f t="shared" si="74"/>
        <v>45173</v>
      </c>
      <c r="B2110">
        <f t="shared" si="71"/>
        <v>36</v>
      </c>
      <c r="C2110">
        <f t="shared" si="75"/>
        <v>9</v>
      </c>
      <c r="D2110">
        <f t="shared" si="76"/>
        <v>3</v>
      </c>
      <c r="E2110" t="s">
        <v>45</v>
      </c>
      <c r="F2110">
        <v>0</v>
      </c>
      <c r="G2110">
        <f>INDEX(weekly!$E$2:$E$188,MATCH('Marketing Campaigns 22.11.22'!L2110,weekly!$H$2:$H$188,0))</f>
        <v>6646.9015619318616</v>
      </c>
      <c r="H2110">
        <f>INDEX(weekly!$D$2:$D$188,MATCH('Marketing Campaigns 22.11.22'!L2110,weekly!$H$2:$H$188,0))</f>
        <v>16630.267968954577</v>
      </c>
      <c r="I2110">
        <f>INDEX(weekly!$F$2:$F$188,MATCH('Marketing Campaigns 22.11.22'!L2110,weekly!$H$2:$H$188,0))</f>
        <v>6083.8910004496302</v>
      </c>
      <c r="J2110">
        <v>0</v>
      </c>
      <c r="K2110">
        <v>0</v>
      </c>
      <c r="L2110" t="str">
        <f t="shared" si="72"/>
        <v>36-9-2023</v>
      </c>
      <c r="M2110">
        <f t="shared" si="73"/>
        <v>2023</v>
      </c>
    </row>
    <row r="2111" spans="1:13" x14ac:dyDescent="0.2">
      <c r="A2111" s="1">
        <f t="shared" si="74"/>
        <v>45173</v>
      </c>
      <c r="B2111">
        <f t="shared" si="71"/>
        <v>36</v>
      </c>
      <c r="C2111">
        <f t="shared" si="75"/>
        <v>9</v>
      </c>
      <c r="D2111">
        <f t="shared" si="76"/>
        <v>3</v>
      </c>
      <c r="E2111" t="s">
        <v>46</v>
      </c>
      <c r="F2111">
        <v>0</v>
      </c>
      <c r="G2111">
        <f>INDEX(weekly!$E$2:$E$188,MATCH('Marketing Campaigns 22.11.22'!L2111,weekly!$H$2:$H$188,0))</f>
        <v>6646.9015619318616</v>
      </c>
      <c r="H2111">
        <f>INDEX(weekly!$D$2:$D$188,MATCH('Marketing Campaigns 22.11.22'!L2111,weekly!$H$2:$H$188,0))</f>
        <v>16630.267968954577</v>
      </c>
      <c r="I2111">
        <f>INDEX(weekly!$F$2:$F$188,MATCH('Marketing Campaigns 22.11.22'!L2111,weekly!$H$2:$H$188,0))</f>
        <v>6083.8910004496302</v>
      </c>
      <c r="J2111">
        <v>0</v>
      </c>
      <c r="K2111">
        <v>0</v>
      </c>
      <c r="L2111" t="str">
        <f t="shared" si="72"/>
        <v>36-9-2023</v>
      </c>
      <c r="M2111">
        <f t="shared" si="73"/>
        <v>2023</v>
      </c>
    </row>
    <row r="2112" spans="1:13" x14ac:dyDescent="0.2">
      <c r="A2112" s="1">
        <f t="shared" si="74"/>
        <v>45173</v>
      </c>
      <c r="B2112">
        <f t="shared" ref="B2112:B2175" si="77">IF(E2112="None",B2111+1,B2111)</f>
        <v>36</v>
      </c>
      <c r="C2112">
        <f t="shared" si="75"/>
        <v>9</v>
      </c>
      <c r="D2112">
        <f t="shared" si="76"/>
        <v>3</v>
      </c>
      <c r="E2112" t="s">
        <v>47</v>
      </c>
      <c r="F2112">
        <v>0</v>
      </c>
      <c r="G2112">
        <f>INDEX(weekly!$E$2:$E$188,MATCH('Marketing Campaigns 22.11.22'!L2112,weekly!$H$2:$H$188,0))</f>
        <v>6646.9015619318616</v>
      </c>
      <c r="H2112">
        <f>INDEX(weekly!$D$2:$D$188,MATCH('Marketing Campaigns 22.11.22'!L2112,weekly!$H$2:$H$188,0))</f>
        <v>16630.267968954577</v>
      </c>
      <c r="I2112">
        <f>INDEX(weekly!$F$2:$F$188,MATCH('Marketing Campaigns 22.11.22'!L2112,weekly!$H$2:$H$188,0))</f>
        <v>6083.8910004496302</v>
      </c>
      <c r="J2112">
        <v>0</v>
      </c>
      <c r="K2112">
        <v>0</v>
      </c>
      <c r="L2112" t="str">
        <f t="shared" si="72"/>
        <v>36-9-2023</v>
      </c>
      <c r="M2112">
        <f t="shared" si="73"/>
        <v>2023</v>
      </c>
    </row>
    <row r="2113" spans="1:13" x14ac:dyDescent="0.2">
      <c r="A2113" s="1">
        <f t="shared" si="74"/>
        <v>45173</v>
      </c>
      <c r="B2113">
        <f t="shared" si="77"/>
        <v>36</v>
      </c>
      <c r="C2113">
        <f t="shared" si="75"/>
        <v>9</v>
      </c>
      <c r="D2113">
        <f t="shared" si="76"/>
        <v>3</v>
      </c>
      <c r="E2113" t="s">
        <v>48</v>
      </c>
      <c r="F2113">
        <v>0</v>
      </c>
      <c r="G2113">
        <f>INDEX(weekly!$E$2:$E$188,MATCH('Marketing Campaigns 22.11.22'!L2113,weekly!$H$2:$H$188,0))</f>
        <v>6646.9015619318616</v>
      </c>
      <c r="H2113">
        <f>INDEX(weekly!$D$2:$D$188,MATCH('Marketing Campaigns 22.11.22'!L2113,weekly!$H$2:$H$188,0))</f>
        <v>16630.267968954577</v>
      </c>
      <c r="I2113">
        <f>INDEX(weekly!$F$2:$F$188,MATCH('Marketing Campaigns 22.11.22'!L2113,weekly!$H$2:$H$188,0))</f>
        <v>6083.8910004496302</v>
      </c>
      <c r="J2113">
        <v>0</v>
      </c>
      <c r="K2113">
        <v>0</v>
      </c>
      <c r="L2113" t="str">
        <f t="shared" si="72"/>
        <v>36-9-2023</v>
      </c>
      <c r="M2113">
        <f t="shared" si="73"/>
        <v>2023</v>
      </c>
    </row>
    <row r="2114" spans="1:13" x14ac:dyDescent="0.2">
      <c r="A2114" s="1">
        <f t="shared" si="74"/>
        <v>45173</v>
      </c>
      <c r="B2114">
        <f t="shared" si="77"/>
        <v>36</v>
      </c>
      <c r="C2114">
        <f t="shared" si="75"/>
        <v>9</v>
      </c>
      <c r="D2114">
        <f t="shared" si="76"/>
        <v>3</v>
      </c>
      <c r="E2114" t="s">
        <v>49</v>
      </c>
      <c r="F2114">
        <v>0</v>
      </c>
      <c r="G2114">
        <f>INDEX(weekly!$E$2:$E$188,MATCH('Marketing Campaigns 22.11.22'!L2114,weekly!$H$2:$H$188,0))</f>
        <v>6646.9015619318616</v>
      </c>
      <c r="H2114">
        <f>INDEX(weekly!$D$2:$D$188,MATCH('Marketing Campaigns 22.11.22'!L2114,weekly!$H$2:$H$188,0))</f>
        <v>16630.267968954577</v>
      </c>
      <c r="I2114">
        <f>INDEX(weekly!$F$2:$F$188,MATCH('Marketing Campaigns 22.11.22'!L2114,weekly!$H$2:$H$188,0))</f>
        <v>6083.8910004496302</v>
      </c>
      <c r="J2114">
        <v>0</v>
      </c>
      <c r="K2114">
        <v>0</v>
      </c>
      <c r="L2114" t="str">
        <f t="shared" si="72"/>
        <v>36-9-2023</v>
      </c>
      <c r="M2114">
        <f t="shared" si="73"/>
        <v>2023</v>
      </c>
    </row>
    <row r="2115" spans="1:13" x14ac:dyDescent="0.2">
      <c r="A2115" s="1">
        <f t="shared" si="74"/>
        <v>45173</v>
      </c>
      <c r="B2115">
        <f t="shared" si="77"/>
        <v>36</v>
      </c>
      <c r="C2115">
        <f t="shared" si="75"/>
        <v>9</v>
      </c>
      <c r="D2115">
        <f t="shared" si="76"/>
        <v>3</v>
      </c>
      <c r="E2115" t="s">
        <v>50</v>
      </c>
      <c r="F2115">
        <v>0</v>
      </c>
      <c r="G2115">
        <f>INDEX(weekly!$E$2:$E$188,MATCH('Marketing Campaigns 22.11.22'!L2115,weekly!$H$2:$H$188,0))</f>
        <v>6646.9015619318616</v>
      </c>
      <c r="H2115">
        <f>INDEX(weekly!$D$2:$D$188,MATCH('Marketing Campaigns 22.11.22'!L2115,weekly!$H$2:$H$188,0))</f>
        <v>16630.267968954577</v>
      </c>
      <c r="I2115">
        <f>INDEX(weekly!$F$2:$F$188,MATCH('Marketing Campaigns 22.11.22'!L2115,weekly!$H$2:$H$188,0))</f>
        <v>6083.8910004496302</v>
      </c>
      <c r="J2115">
        <v>0</v>
      </c>
      <c r="K2115">
        <v>0</v>
      </c>
      <c r="L2115" t="str">
        <f t="shared" si="72"/>
        <v>36-9-2023</v>
      </c>
      <c r="M2115">
        <f t="shared" si="73"/>
        <v>2023</v>
      </c>
    </row>
    <row r="2116" spans="1:13" x14ac:dyDescent="0.2">
      <c r="A2116" s="1">
        <f t="shared" si="74"/>
        <v>45173</v>
      </c>
      <c r="B2116">
        <f t="shared" si="77"/>
        <v>36</v>
      </c>
      <c r="C2116">
        <f t="shared" si="75"/>
        <v>9</v>
      </c>
      <c r="D2116">
        <f t="shared" si="76"/>
        <v>3</v>
      </c>
      <c r="E2116" t="s">
        <v>51</v>
      </c>
      <c r="F2116">
        <v>0</v>
      </c>
      <c r="G2116">
        <f>INDEX(weekly!$E$2:$E$188,MATCH('Marketing Campaigns 22.11.22'!L2116,weekly!$H$2:$H$188,0))</f>
        <v>6646.9015619318616</v>
      </c>
      <c r="H2116">
        <f>INDEX(weekly!$D$2:$D$188,MATCH('Marketing Campaigns 22.11.22'!L2116,weekly!$H$2:$H$188,0))</f>
        <v>16630.267968954577</v>
      </c>
      <c r="I2116">
        <f>INDEX(weekly!$F$2:$F$188,MATCH('Marketing Campaigns 22.11.22'!L2116,weekly!$H$2:$H$188,0))</f>
        <v>6083.8910004496302</v>
      </c>
      <c r="J2116">
        <v>0</v>
      </c>
      <c r="K2116">
        <v>0</v>
      </c>
      <c r="L2116" t="str">
        <f t="shared" ref="L2116:L2179" si="78">B2116&amp;"-"&amp;C2116&amp;"-"&amp;M2116</f>
        <v>36-9-2023</v>
      </c>
      <c r="M2116">
        <f t="shared" ref="M2116:M2179" si="79">YEAR(A2116)</f>
        <v>2023</v>
      </c>
    </row>
    <row r="2117" spans="1:13" x14ac:dyDescent="0.2">
      <c r="A2117" s="1">
        <f t="shared" si="74"/>
        <v>45173</v>
      </c>
      <c r="B2117">
        <f t="shared" si="77"/>
        <v>36</v>
      </c>
      <c r="C2117">
        <f t="shared" si="75"/>
        <v>9</v>
      </c>
      <c r="D2117">
        <f t="shared" si="76"/>
        <v>3</v>
      </c>
      <c r="E2117" t="s">
        <v>52</v>
      </c>
      <c r="F2117">
        <v>0</v>
      </c>
      <c r="G2117">
        <f>INDEX(weekly!$E$2:$E$188,MATCH('Marketing Campaigns 22.11.22'!L2117,weekly!$H$2:$H$188,0))</f>
        <v>6646.9015619318616</v>
      </c>
      <c r="H2117">
        <f>INDEX(weekly!$D$2:$D$188,MATCH('Marketing Campaigns 22.11.22'!L2117,weekly!$H$2:$H$188,0))</f>
        <v>16630.267968954577</v>
      </c>
      <c r="I2117">
        <f>INDEX(weekly!$F$2:$F$188,MATCH('Marketing Campaigns 22.11.22'!L2117,weekly!$H$2:$H$188,0))</f>
        <v>6083.8910004496302</v>
      </c>
      <c r="J2117">
        <v>0</v>
      </c>
      <c r="K2117">
        <v>0</v>
      </c>
      <c r="L2117" t="str">
        <f t="shared" si="78"/>
        <v>36-9-2023</v>
      </c>
      <c r="M2117">
        <f t="shared" si="79"/>
        <v>2023</v>
      </c>
    </row>
    <row r="2118" spans="1:13" x14ac:dyDescent="0.2">
      <c r="A2118" s="1">
        <f t="shared" si="74"/>
        <v>45180</v>
      </c>
      <c r="B2118">
        <f>IF(E2118="None",B2117+1,B2117)</f>
        <v>37</v>
      </c>
      <c r="C2118">
        <f t="shared" si="75"/>
        <v>9</v>
      </c>
      <c r="D2118">
        <f t="shared" si="76"/>
        <v>3</v>
      </c>
      <c r="E2118" t="s">
        <v>24</v>
      </c>
      <c r="F2118">
        <v>0</v>
      </c>
      <c r="G2118">
        <f>INDEX(weekly!$E$2:$E$188,MATCH('Marketing Campaigns 22.11.22'!L2118,weekly!$H$2:$H$188,0))</f>
        <v>6646.9015619318616</v>
      </c>
      <c r="H2118">
        <f>INDEX(weekly!$D$2:$D$188,MATCH('Marketing Campaigns 22.11.22'!L2118,weekly!$H$2:$H$188,0))</f>
        <v>16630.267968954577</v>
      </c>
      <c r="I2118">
        <f>INDEX(weekly!$F$2:$F$188,MATCH('Marketing Campaigns 22.11.22'!L2118,weekly!$H$2:$H$188,0))</f>
        <v>6083.8910004496302</v>
      </c>
      <c r="J2118">
        <v>0</v>
      </c>
      <c r="K2118">
        <v>0</v>
      </c>
      <c r="L2118" t="str">
        <f t="shared" si="78"/>
        <v>37-9-2023</v>
      </c>
      <c r="M2118">
        <f t="shared" si="79"/>
        <v>2023</v>
      </c>
    </row>
    <row r="2119" spans="1:13" x14ac:dyDescent="0.2">
      <c r="A2119" s="1">
        <f t="shared" si="74"/>
        <v>45180</v>
      </c>
      <c r="B2119">
        <f t="shared" si="77"/>
        <v>37</v>
      </c>
      <c r="C2119">
        <f t="shared" si="75"/>
        <v>9</v>
      </c>
      <c r="D2119">
        <f t="shared" si="76"/>
        <v>3</v>
      </c>
      <c r="E2119" t="s">
        <v>39</v>
      </c>
      <c r="F2119">
        <v>0</v>
      </c>
      <c r="G2119">
        <f>INDEX(weekly!$E$2:$E$188,MATCH('Marketing Campaigns 22.11.22'!L2119,weekly!$H$2:$H$188,0))</f>
        <v>6646.9015619318616</v>
      </c>
      <c r="H2119">
        <f>INDEX(weekly!$D$2:$D$188,MATCH('Marketing Campaigns 22.11.22'!L2119,weekly!$H$2:$H$188,0))</f>
        <v>16630.267968954577</v>
      </c>
      <c r="I2119">
        <f>INDEX(weekly!$F$2:$F$188,MATCH('Marketing Campaigns 22.11.22'!L2119,weekly!$H$2:$H$188,0))</f>
        <v>6083.8910004496302</v>
      </c>
      <c r="J2119">
        <v>0</v>
      </c>
      <c r="K2119">
        <v>0</v>
      </c>
      <c r="L2119" t="str">
        <f t="shared" si="78"/>
        <v>37-9-2023</v>
      </c>
      <c r="M2119">
        <f t="shared" si="79"/>
        <v>2023</v>
      </c>
    </row>
    <row r="2120" spans="1:13" x14ac:dyDescent="0.2">
      <c r="A2120" s="1">
        <f t="shared" si="74"/>
        <v>45180</v>
      </c>
      <c r="B2120">
        <f t="shared" si="77"/>
        <v>37</v>
      </c>
      <c r="C2120">
        <f t="shared" si="75"/>
        <v>9</v>
      </c>
      <c r="D2120">
        <f t="shared" si="76"/>
        <v>3</v>
      </c>
      <c r="E2120" t="s">
        <v>40</v>
      </c>
      <c r="F2120">
        <v>0</v>
      </c>
      <c r="G2120">
        <f>INDEX(weekly!$E$2:$E$188,MATCH('Marketing Campaigns 22.11.22'!L2120,weekly!$H$2:$H$188,0))</f>
        <v>6646.9015619318616</v>
      </c>
      <c r="H2120">
        <f>INDEX(weekly!$D$2:$D$188,MATCH('Marketing Campaigns 22.11.22'!L2120,weekly!$H$2:$H$188,0))</f>
        <v>16630.267968954577</v>
      </c>
      <c r="I2120">
        <f>INDEX(weekly!$F$2:$F$188,MATCH('Marketing Campaigns 22.11.22'!L2120,weekly!$H$2:$H$188,0))</f>
        <v>6083.8910004496302</v>
      </c>
      <c r="J2120">
        <v>0</v>
      </c>
      <c r="K2120">
        <v>0</v>
      </c>
      <c r="L2120" t="str">
        <f t="shared" si="78"/>
        <v>37-9-2023</v>
      </c>
      <c r="M2120">
        <f t="shared" si="79"/>
        <v>2023</v>
      </c>
    </row>
    <row r="2121" spans="1:13" x14ac:dyDescent="0.2">
      <c r="A2121" s="1">
        <f t="shared" si="74"/>
        <v>45180</v>
      </c>
      <c r="B2121">
        <f t="shared" si="77"/>
        <v>37</v>
      </c>
      <c r="C2121">
        <f t="shared" si="75"/>
        <v>9</v>
      </c>
      <c r="D2121">
        <f t="shared" si="76"/>
        <v>3</v>
      </c>
      <c r="E2121" t="s">
        <v>41</v>
      </c>
      <c r="F2121">
        <v>0</v>
      </c>
      <c r="G2121">
        <f>INDEX(weekly!$E$2:$E$188,MATCH('Marketing Campaigns 22.11.22'!L2121,weekly!$H$2:$H$188,0))</f>
        <v>6646.9015619318616</v>
      </c>
      <c r="H2121">
        <f>INDEX(weekly!$D$2:$D$188,MATCH('Marketing Campaigns 22.11.22'!L2121,weekly!$H$2:$H$188,0))</f>
        <v>16630.267968954577</v>
      </c>
      <c r="I2121">
        <f>INDEX(weekly!$F$2:$F$188,MATCH('Marketing Campaigns 22.11.22'!L2121,weekly!$H$2:$H$188,0))</f>
        <v>6083.8910004496302</v>
      </c>
      <c r="J2121">
        <v>0</v>
      </c>
      <c r="K2121">
        <v>0</v>
      </c>
      <c r="L2121" t="str">
        <f t="shared" si="78"/>
        <v>37-9-2023</v>
      </c>
      <c r="M2121">
        <f t="shared" si="79"/>
        <v>2023</v>
      </c>
    </row>
    <row r="2122" spans="1:13" x14ac:dyDescent="0.2">
      <c r="A2122" s="1">
        <f t="shared" si="74"/>
        <v>45180</v>
      </c>
      <c r="B2122">
        <f t="shared" si="77"/>
        <v>37</v>
      </c>
      <c r="C2122">
        <f t="shared" si="75"/>
        <v>9</v>
      </c>
      <c r="D2122">
        <f t="shared" si="76"/>
        <v>3</v>
      </c>
      <c r="E2122" t="s">
        <v>42</v>
      </c>
      <c r="F2122">
        <v>0</v>
      </c>
      <c r="G2122">
        <f>INDEX(weekly!$E$2:$E$188,MATCH('Marketing Campaigns 22.11.22'!L2122,weekly!$H$2:$H$188,0))</f>
        <v>6646.9015619318616</v>
      </c>
      <c r="H2122">
        <f>INDEX(weekly!$D$2:$D$188,MATCH('Marketing Campaigns 22.11.22'!L2122,weekly!$H$2:$H$188,0))</f>
        <v>16630.267968954577</v>
      </c>
      <c r="I2122">
        <f>INDEX(weekly!$F$2:$F$188,MATCH('Marketing Campaigns 22.11.22'!L2122,weekly!$H$2:$H$188,0))</f>
        <v>6083.8910004496302</v>
      </c>
      <c r="J2122">
        <v>0</v>
      </c>
      <c r="K2122">
        <v>0</v>
      </c>
      <c r="L2122" t="str">
        <f t="shared" si="78"/>
        <v>37-9-2023</v>
      </c>
      <c r="M2122">
        <f t="shared" si="79"/>
        <v>2023</v>
      </c>
    </row>
    <row r="2123" spans="1:13" x14ac:dyDescent="0.2">
      <c r="A2123" s="1">
        <f t="shared" si="74"/>
        <v>45180</v>
      </c>
      <c r="B2123">
        <f t="shared" si="77"/>
        <v>37</v>
      </c>
      <c r="C2123">
        <f t="shared" si="75"/>
        <v>9</v>
      </c>
      <c r="D2123">
        <f t="shared" si="76"/>
        <v>3</v>
      </c>
      <c r="E2123" t="s">
        <v>43</v>
      </c>
      <c r="F2123">
        <v>0</v>
      </c>
      <c r="G2123">
        <f>INDEX(weekly!$E$2:$E$188,MATCH('Marketing Campaigns 22.11.22'!L2123,weekly!$H$2:$H$188,0))</f>
        <v>6646.9015619318616</v>
      </c>
      <c r="H2123">
        <f>INDEX(weekly!$D$2:$D$188,MATCH('Marketing Campaigns 22.11.22'!L2123,weekly!$H$2:$H$188,0))</f>
        <v>16630.267968954577</v>
      </c>
      <c r="I2123">
        <f>INDEX(weekly!$F$2:$F$188,MATCH('Marketing Campaigns 22.11.22'!L2123,weekly!$H$2:$H$188,0))</f>
        <v>6083.8910004496302</v>
      </c>
      <c r="J2123">
        <v>0</v>
      </c>
      <c r="K2123">
        <v>0</v>
      </c>
      <c r="L2123" t="str">
        <f t="shared" si="78"/>
        <v>37-9-2023</v>
      </c>
      <c r="M2123">
        <f t="shared" si="79"/>
        <v>2023</v>
      </c>
    </row>
    <row r="2124" spans="1:13" x14ac:dyDescent="0.2">
      <c r="A2124" s="1">
        <f t="shared" si="74"/>
        <v>45180</v>
      </c>
      <c r="B2124">
        <f t="shared" si="77"/>
        <v>37</v>
      </c>
      <c r="C2124">
        <f t="shared" si="75"/>
        <v>9</v>
      </c>
      <c r="D2124">
        <f t="shared" si="76"/>
        <v>3</v>
      </c>
      <c r="E2124" t="s">
        <v>44</v>
      </c>
      <c r="F2124">
        <v>0</v>
      </c>
      <c r="G2124">
        <f>INDEX(weekly!$E$2:$E$188,MATCH('Marketing Campaigns 22.11.22'!L2124,weekly!$H$2:$H$188,0))</f>
        <v>6646.9015619318616</v>
      </c>
      <c r="H2124">
        <f>INDEX(weekly!$D$2:$D$188,MATCH('Marketing Campaigns 22.11.22'!L2124,weekly!$H$2:$H$188,0))</f>
        <v>16630.267968954577</v>
      </c>
      <c r="I2124">
        <f>INDEX(weekly!$F$2:$F$188,MATCH('Marketing Campaigns 22.11.22'!L2124,weekly!$H$2:$H$188,0))</f>
        <v>6083.8910004496302</v>
      </c>
      <c r="J2124">
        <v>0</v>
      </c>
      <c r="K2124">
        <v>0</v>
      </c>
      <c r="L2124" t="str">
        <f t="shared" si="78"/>
        <v>37-9-2023</v>
      </c>
      <c r="M2124">
        <f t="shared" si="79"/>
        <v>2023</v>
      </c>
    </row>
    <row r="2125" spans="1:13" x14ac:dyDescent="0.2">
      <c r="A2125" s="1">
        <f t="shared" si="74"/>
        <v>45180</v>
      </c>
      <c r="B2125">
        <f t="shared" si="77"/>
        <v>37</v>
      </c>
      <c r="C2125">
        <f t="shared" si="75"/>
        <v>9</v>
      </c>
      <c r="D2125">
        <f t="shared" si="76"/>
        <v>3</v>
      </c>
      <c r="E2125" t="s">
        <v>45</v>
      </c>
      <c r="F2125">
        <v>0</v>
      </c>
      <c r="G2125">
        <f>INDEX(weekly!$E$2:$E$188,MATCH('Marketing Campaigns 22.11.22'!L2125,weekly!$H$2:$H$188,0))</f>
        <v>6646.9015619318616</v>
      </c>
      <c r="H2125">
        <f>INDEX(weekly!$D$2:$D$188,MATCH('Marketing Campaigns 22.11.22'!L2125,weekly!$H$2:$H$188,0))</f>
        <v>16630.267968954577</v>
      </c>
      <c r="I2125">
        <f>INDEX(weekly!$F$2:$F$188,MATCH('Marketing Campaigns 22.11.22'!L2125,weekly!$H$2:$H$188,0))</f>
        <v>6083.8910004496302</v>
      </c>
      <c r="J2125">
        <v>0</v>
      </c>
      <c r="K2125">
        <v>0</v>
      </c>
      <c r="L2125" t="str">
        <f t="shared" si="78"/>
        <v>37-9-2023</v>
      </c>
      <c r="M2125">
        <f t="shared" si="79"/>
        <v>2023</v>
      </c>
    </row>
    <row r="2126" spans="1:13" x14ac:dyDescent="0.2">
      <c r="A2126" s="1">
        <f t="shared" si="74"/>
        <v>45180</v>
      </c>
      <c r="B2126">
        <f t="shared" si="77"/>
        <v>37</v>
      </c>
      <c r="C2126">
        <f t="shared" si="75"/>
        <v>9</v>
      </c>
      <c r="D2126">
        <f t="shared" si="76"/>
        <v>3</v>
      </c>
      <c r="E2126" t="s">
        <v>46</v>
      </c>
      <c r="F2126">
        <v>0</v>
      </c>
      <c r="G2126">
        <f>INDEX(weekly!$E$2:$E$188,MATCH('Marketing Campaigns 22.11.22'!L2126,weekly!$H$2:$H$188,0))</f>
        <v>6646.9015619318616</v>
      </c>
      <c r="H2126">
        <f>INDEX(weekly!$D$2:$D$188,MATCH('Marketing Campaigns 22.11.22'!L2126,weekly!$H$2:$H$188,0))</f>
        <v>16630.267968954577</v>
      </c>
      <c r="I2126">
        <f>INDEX(weekly!$F$2:$F$188,MATCH('Marketing Campaigns 22.11.22'!L2126,weekly!$H$2:$H$188,0))</f>
        <v>6083.8910004496302</v>
      </c>
      <c r="J2126">
        <v>0</v>
      </c>
      <c r="K2126">
        <v>0</v>
      </c>
      <c r="L2126" t="str">
        <f t="shared" si="78"/>
        <v>37-9-2023</v>
      </c>
      <c r="M2126">
        <f t="shared" si="79"/>
        <v>2023</v>
      </c>
    </row>
    <row r="2127" spans="1:13" x14ac:dyDescent="0.2">
      <c r="A2127" s="1">
        <f t="shared" si="74"/>
        <v>45180</v>
      </c>
      <c r="B2127">
        <f t="shared" si="77"/>
        <v>37</v>
      </c>
      <c r="C2127">
        <f t="shared" si="75"/>
        <v>9</v>
      </c>
      <c r="D2127">
        <f t="shared" si="76"/>
        <v>3</v>
      </c>
      <c r="E2127" t="s">
        <v>47</v>
      </c>
      <c r="F2127">
        <v>0</v>
      </c>
      <c r="G2127">
        <f>INDEX(weekly!$E$2:$E$188,MATCH('Marketing Campaigns 22.11.22'!L2127,weekly!$H$2:$H$188,0))</f>
        <v>6646.9015619318616</v>
      </c>
      <c r="H2127">
        <f>INDEX(weekly!$D$2:$D$188,MATCH('Marketing Campaigns 22.11.22'!L2127,weekly!$H$2:$H$188,0))</f>
        <v>16630.267968954577</v>
      </c>
      <c r="I2127">
        <f>INDEX(weekly!$F$2:$F$188,MATCH('Marketing Campaigns 22.11.22'!L2127,weekly!$H$2:$H$188,0))</f>
        <v>6083.8910004496302</v>
      </c>
      <c r="J2127">
        <v>0</v>
      </c>
      <c r="K2127">
        <v>0</v>
      </c>
      <c r="L2127" t="str">
        <f t="shared" si="78"/>
        <v>37-9-2023</v>
      </c>
      <c r="M2127">
        <f t="shared" si="79"/>
        <v>2023</v>
      </c>
    </row>
    <row r="2128" spans="1:13" x14ac:dyDescent="0.2">
      <c r="A2128" s="1">
        <f t="shared" si="74"/>
        <v>45180</v>
      </c>
      <c r="B2128">
        <f t="shared" si="77"/>
        <v>37</v>
      </c>
      <c r="C2128">
        <f t="shared" si="75"/>
        <v>9</v>
      </c>
      <c r="D2128">
        <f t="shared" si="76"/>
        <v>3</v>
      </c>
      <c r="E2128" t="s">
        <v>48</v>
      </c>
      <c r="F2128">
        <v>0</v>
      </c>
      <c r="G2128">
        <f>INDEX(weekly!$E$2:$E$188,MATCH('Marketing Campaigns 22.11.22'!L2128,weekly!$H$2:$H$188,0))</f>
        <v>6646.9015619318616</v>
      </c>
      <c r="H2128">
        <f>INDEX(weekly!$D$2:$D$188,MATCH('Marketing Campaigns 22.11.22'!L2128,weekly!$H$2:$H$188,0))</f>
        <v>16630.267968954577</v>
      </c>
      <c r="I2128">
        <f>INDEX(weekly!$F$2:$F$188,MATCH('Marketing Campaigns 22.11.22'!L2128,weekly!$H$2:$H$188,0))</f>
        <v>6083.8910004496302</v>
      </c>
      <c r="J2128">
        <v>0</v>
      </c>
      <c r="K2128">
        <v>0</v>
      </c>
      <c r="L2128" t="str">
        <f t="shared" si="78"/>
        <v>37-9-2023</v>
      </c>
      <c r="M2128">
        <f t="shared" si="79"/>
        <v>2023</v>
      </c>
    </row>
    <row r="2129" spans="1:13" x14ac:dyDescent="0.2">
      <c r="A2129" s="1">
        <f t="shared" si="74"/>
        <v>45180</v>
      </c>
      <c r="B2129">
        <f t="shared" si="77"/>
        <v>37</v>
      </c>
      <c r="C2129">
        <f t="shared" si="75"/>
        <v>9</v>
      </c>
      <c r="D2129">
        <f t="shared" si="76"/>
        <v>3</v>
      </c>
      <c r="E2129" t="s">
        <v>49</v>
      </c>
      <c r="F2129">
        <v>0</v>
      </c>
      <c r="G2129">
        <f>INDEX(weekly!$E$2:$E$188,MATCH('Marketing Campaigns 22.11.22'!L2129,weekly!$H$2:$H$188,0))</f>
        <v>6646.9015619318616</v>
      </c>
      <c r="H2129">
        <f>INDEX(weekly!$D$2:$D$188,MATCH('Marketing Campaigns 22.11.22'!L2129,weekly!$H$2:$H$188,0))</f>
        <v>16630.267968954577</v>
      </c>
      <c r="I2129">
        <f>INDEX(weekly!$F$2:$F$188,MATCH('Marketing Campaigns 22.11.22'!L2129,weekly!$H$2:$H$188,0))</f>
        <v>6083.8910004496302</v>
      </c>
      <c r="J2129">
        <v>0</v>
      </c>
      <c r="K2129">
        <v>0</v>
      </c>
      <c r="L2129" t="str">
        <f t="shared" si="78"/>
        <v>37-9-2023</v>
      </c>
      <c r="M2129">
        <f t="shared" si="79"/>
        <v>2023</v>
      </c>
    </row>
    <row r="2130" spans="1:13" x14ac:dyDescent="0.2">
      <c r="A2130" s="1">
        <f t="shared" si="74"/>
        <v>45180</v>
      </c>
      <c r="B2130">
        <f t="shared" si="77"/>
        <v>37</v>
      </c>
      <c r="C2130">
        <f t="shared" si="75"/>
        <v>9</v>
      </c>
      <c r="D2130">
        <f t="shared" si="76"/>
        <v>3</v>
      </c>
      <c r="E2130" t="s">
        <v>50</v>
      </c>
      <c r="F2130">
        <v>0</v>
      </c>
      <c r="G2130">
        <f>INDEX(weekly!$E$2:$E$188,MATCH('Marketing Campaigns 22.11.22'!L2130,weekly!$H$2:$H$188,0))</f>
        <v>6646.9015619318616</v>
      </c>
      <c r="H2130">
        <f>INDEX(weekly!$D$2:$D$188,MATCH('Marketing Campaigns 22.11.22'!L2130,weekly!$H$2:$H$188,0))</f>
        <v>16630.267968954577</v>
      </c>
      <c r="I2130">
        <f>INDEX(weekly!$F$2:$F$188,MATCH('Marketing Campaigns 22.11.22'!L2130,weekly!$H$2:$H$188,0))</f>
        <v>6083.8910004496302</v>
      </c>
      <c r="J2130">
        <v>0</v>
      </c>
      <c r="K2130">
        <v>0</v>
      </c>
      <c r="L2130" t="str">
        <f t="shared" si="78"/>
        <v>37-9-2023</v>
      </c>
      <c r="M2130">
        <f t="shared" si="79"/>
        <v>2023</v>
      </c>
    </row>
    <row r="2131" spans="1:13" x14ac:dyDescent="0.2">
      <c r="A2131" s="1">
        <f t="shared" si="74"/>
        <v>45180</v>
      </c>
      <c r="B2131">
        <f t="shared" si="77"/>
        <v>37</v>
      </c>
      <c r="C2131">
        <f t="shared" si="75"/>
        <v>9</v>
      </c>
      <c r="D2131">
        <f t="shared" si="76"/>
        <v>3</v>
      </c>
      <c r="E2131" t="s">
        <v>51</v>
      </c>
      <c r="F2131">
        <v>0</v>
      </c>
      <c r="G2131">
        <f>INDEX(weekly!$E$2:$E$188,MATCH('Marketing Campaigns 22.11.22'!L2131,weekly!$H$2:$H$188,0))</f>
        <v>6646.9015619318616</v>
      </c>
      <c r="H2131">
        <f>INDEX(weekly!$D$2:$D$188,MATCH('Marketing Campaigns 22.11.22'!L2131,weekly!$H$2:$H$188,0))</f>
        <v>16630.267968954577</v>
      </c>
      <c r="I2131">
        <f>INDEX(weekly!$F$2:$F$188,MATCH('Marketing Campaigns 22.11.22'!L2131,weekly!$H$2:$H$188,0))</f>
        <v>6083.8910004496302</v>
      </c>
      <c r="J2131">
        <v>0</v>
      </c>
      <c r="K2131">
        <v>0</v>
      </c>
      <c r="L2131" t="str">
        <f t="shared" si="78"/>
        <v>37-9-2023</v>
      </c>
      <c r="M2131">
        <f t="shared" si="79"/>
        <v>2023</v>
      </c>
    </row>
    <row r="2132" spans="1:13" x14ac:dyDescent="0.2">
      <c r="A2132" s="1">
        <f t="shared" si="74"/>
        <v>45180</v>
      </c>
      <c r="B2132">
        <f t="shared" si="77"/>
        <v>37</v>
      </c>
      <c r="C2132">
        <f t="shared" si="75"/>
        <v>9</v>
      </c>
      <c r="D2132">
        <f t="shared" si="76"/>
        <v>3</v>
      </c>
      <c r="E2132" t="s">
        <v>52</v>
      </c>
      <c r="F2132">
        <v>0</v>
      </c>
      <c r="G2132">
        <f>INDEX(weekly!$E$2:$E$188,MATCH('Marketing Campaigns 22.11.22'!L2132,weekly!$H$2:$H$188,0))</f>
        <v>6646.9015619318616</v>
      </c>
      <c r="H2132">
        <f>INDEX(weekly!$D$2:$D$188,MATCH('Marketing Campaigns 22.11.22'!L2132,weekly!$H$2:$H$188,0))</f>
        <v>16630.267968954577</v>
      </c>
      <c r="I2132">
        <f>INDEX(weekly!$F$2:$F$188,MATCH('Marketing Campaigns 22.11.22'!L2132,weekly!$H$2:$H$188,0))</f>
        <v>6083.8910004496302</v>
      </c>
      <c r="J2132">
        <v>0</v>
      </c>
      <c r="K2132">
        <v>0</v>
      </c>
      <c r="L2132" t="str">
        <f t="shared" si="78"/>
        <v>37-9-2023</v>
      </c>
      <c r="M2132">
        <f t="shared" si="79"/>
        <v>2023</v>
      </c>
    </row>
    <row r="2133" spans="1:13" x14ac:dyDescent="0.2">
      <c r="A2133" s="1">
        <f t="shared" si="74"/>
        <v>45187</v>
      </c>
      <c r="B2133">
        <f>IF(E2133="None",B2132+1,B2132)</f>
        <v>38</v>
      </c>
      <c r="C2133">
        <f t="shared" si="75"/>
        <v>9</v>
      </c>
      <c r="D2133">
        <f t="shared" si="76"/>
        <v>3</v>
      </c>
      <c r="E2133" t="s">
        <v>24</v>
      </c>
      <c r="F2133">
        <v>0</v>
      </c>
      <c r="G2133">
        <f>INDEX(weekly!$E$2:$E$188,MATCH('Marketing Campaigns 22.11.22'!L2133,weekly!$H$2:$H$188,0))</f>
        <v>6646.9015619318616</v>
      </c>
      <c r="H2133">
        <f>INDEX(weekly!$D$2:$D$188,MATCH('Marketing Campaigns 22.11.22'!L2133,weekly!$H$2:$H$188,0))</f>
        <v>16630.267968954577</v>
      </c>
      <c r="I2133">
        <f>INDEX(weekly!$F$2:$F$188,MATCH('Marketing Campaigns 22.11.22'!L2133,weekly!$H$2:$H$188,0))</f>
        <v>6083.8910004496302</v>
      </c>
      <c r="J2133">
        <v>0</v>
      </c>
      <c r="K2133">
        <v>0</v>
      </c>
      <c r="L2133" t="str">
        <f t="shared" si="78"/>
        <v>38-9-2023</v>
      </c>
      <c r="M2133">
        <f t="shared" si="79"/>
        <v>2023</v>
      </c>
    </row>
    <row r="2134" spans="1:13" x14ac:dyDescent="0.2">
      <c r="A2134" s="1">
        <f t="shared" si="74"/>
        <v>45187</v>
      </c>
      <c r="B2134">
        <f t="shared" si="77"/>
        <v>38</v>
      </c>
      <c r="C2134">
        <f t="shared" si="75"/>
        <v>9</v>
      </c>
      <c r="D2134">
        <f t="shared" si="76"/>
        <v>3</v>
      </c>
      <c r="E2134" t="s">
        <v>39</v>
      </c>
      <c r="F2134">
        <v>0</v>
      </c>
      <c r="G2134">
        <f>INDEX(weekly!$E$2:$E$188,MATCH('Marketing Campaigns 22.11.22'!L2134,weekly!$H$2:$H$188,0))</f>
        <v>6646.9015619318616</v>
      </c>
      <c r="H2134">
        <f>INDEX(weekly!$D$2:$D$188,MATCH('Marketing Campaigns 22.11.22'!L2134,weekly!$H$2:$H$188,0))</f>
        <v>16630.267968954577</v>
      </c>
      <c r="I2134">
        <f>INDEX(weekly!$F$2:$F$188,MATCH('Marketing Campaigns 22.11.22'!L2134,weekly!$H$2:$H$188,0))</f>
        <v>6083.8910004496302</v>
      </c>
      <c r="J2134">
        <v>0</v>
      </c>
      <c r="K2134">
        <v>0</v>
      </c>
      <c r="L2134" t="str">
        <f t="shared" si="78"/>
        <v>38-9-2023</v>
      </c>
      <c r="M2134">
        <f t="shared" si="79"/>
        <v>2023</v>
      </c>
    </row>
    <row r="2135" spans="1:13" x14ac:dyDescent="0.2">
      <c r="A2135" s="1">
        <f t="shared" si="74"/>
        <v>45187</v>
      </c>
      <c r="B2135">
        <f t="shared" si="77"/>
        <v>38</v>
      </c>
      <c r="C2135">
        <f t="shared" si="75"/>
        <v>9</v>
      </c>
      <c r="D2135">
        <f t="shared" si="76"/>
        <v>3</v>
      </c>
      <c r="E2135" t="s">
        <v>40</v>
      </c>
      <c r="F2135">
        <v>0</v>
      </c>
      <c r="G2135">
        <f>INDEX(weekly!$E$2:$E$188,MATCH('Marketing Campaigns 22.11.22'!L2135,weekly!$H$2:$H$188,0))</f>
        <v>6646.9015619318616</v>
      </c>
      <c r="H2135">
        <f>INDEX(weekly!$D$2:$D$188,MATCH('Marketing Campaigns 22.11.22'!L2135,weekly!$H$2:$H$188,0))</f>
        <v>16630.267968954577</v>
      </c>
      <c r="I2135">
        <f>INDEX(weekly!$F$2:$F$188,MATCH('Marketing Campaigns 22.11.22'!L2135,weekly!$H$2:$H$188,0))</f>
        <v>6083.8910004496302</v>
      </c>
      <c r="J2135">
        <v>0</v>
      </c>
      <c r="K2135">
        <v>0</v>
      </c>
      <c r="L2135" t="str">
        <f t="shared" si="78"/>
        <v>38-9-2023</v>
      </c>
      <c r="M2135">
        <f t="shared" si="79"/>
        <v>2023</v>
      </c>
    </row>
    <row r="2136" spans="1:13" x14ac:dyDescent="0.2">
      <c r="A2136" s="1">
        <f t="shared" si="74"/>
        <v>45187</v>
      </c>
      <c r="B2136">
        <f t="shared" si="77"/>
        <v>38</v>
      </c>
      <c r="C2136">
        <f t="shared" si="75"/>
        <v>9</v>
      </c>
      <c r="D2136">
        <f t="shared" si="76"/>
        <v>3</v>
      </c>
      <c r="E2136" t="s">
        <v>41</v>
      </c>
      <c r="F2136">
        <v>0</v>
      </c>
      <c r="G2136">
        <f>INDEX(weekly!$E$2:$E$188,MATCH('Marketing Campaigns 22.11.22'!L2136,weekly!$H$2:$H$188,0))</f>
        <v>6646.9015619318616</v>
      </c>
      <c r="H2136">
        <f>INDEX(weekly!$D$2:$D$188,MATCH('Marketing Campaigns 22.11.22'!L2136,weekly!$H$2:$H$188,0))</f>
        <v>16630.267968954577</v>
      </c>
      <c r="I2136">
        <f>INDEX(weekly!$F$2:$F$188,MATCH('Marketing Campaigns 22.11.22'!L2136,weekly!$H$2:$H$188,0))</f>
        <v>6083.8910004496302</v>
      </c>
      <c r="J2136">
        <v>0</v>
      </c>
      <c r="K2136">
        <v>0</v>
      </c>
      <c r="L2136" t="str">
        <f t="shared" si="78"/>
        <v>38-9-2023</v>
      </c>
      <c r="M2136">
        <f t="shared" si="79"/>
        <v>2023</v>
      </c>
    </row>
    <row r="2137" spans="1:13" x14ac:dyDescent="0.2">
      <c r="A2137" s="1">
        <f t="shared" si="74"/>
        <v>45187</v>
      </c>
      <c r="B2137">
        <f t="shared" si="77"/>
        <v>38</v>
      </c>
      <c r="C2137">
        <f t="shared" si="75"/>
        <v>9</v>
      </c>
      <c r="D2137">
        <f t="shared" si="76"/>
        <v>3</v>
      </c>
      <c r="E2137" t="s">
        <v>42</v>
      </c>
      <c r="F2137">
        <v>0</v>
      </c>
      <c r="G2137">
        <f>INDEX(weekly!$E$2:$E$188,MATCH('Marketing Campaigns 22.11.22'!L2137,weekly!$H$2:$H$188,0))</f>
        <v>6646.9015619318616</v>
      </c>
      <c r="H2137">
        <f>INDEX(weekly!$D$2:$D$188,MATCH('Marketing Campaigns 22.11.22'!L2137,weekly!$H$2:$H$188,0))</f>
        <v>16630.267968954577</v>
      </c>
      <c r="I2137">
        <f>INDEX(weekly!$F$2:$F$188,MATCH('Marketing Campaigns 22.11.22'!L2137,weekly!$H$2:$H$188,0))</f>
        <v>6083.8910004496302</v>
      </c>
      <c r="J2137">
        <v>0</v>
      </c>
      <c r="K2137">
        <v>0</v>
      </c>
      <c r="L2137" t="str">
        <f t="shared" si="78"/>
        <v>38-9-2023</v>
      </c>
      <c r="M2137">
        <f t="shared" si="79"/>
        <v>2023</v>
      </c>
    </row>
    <row r="2138" spans="1:13" x14ac:dyDescent="0.2">
      <c r="A2138" s="1">
        <f t="shared" si="74"/>
        <v>45187</v>
      </c>
      <c r="B2138">
        <f t="shared" si="77"/>
        <v>38</v>
      </c>
      <c r="C2138">
        <f t="shared" si="75"/>
        <v>9</v>
      </c>
      <c r="D2138">
        <f t="shared" si="76"/>
        <v>3</v>
      </c>
      <c r="E2138" t="s">
        <v>43</v>
      </c>
      <c r="F2138">
        <v>0</v>
      </c>
      <c r="G2138">
        <f>INDEX(weekly!$E$2:$E$188,MATCH('Marketing Campaigns 22.11.22'!L2138,weekly!$H$2:$H$188,0))</f>
        <v>6646.9015619318616</v>
      </c>
      <c r="H2138">
        <f>INDEX(weekly!$D$2:$D$188,MATCH('Marketing Campaigns 22.11.22'!L2138,weekly!$H$2:$H$188,0))</f>
        <v>16630.267968954577</v>
      </c>
      <c r="I2138">
        <f>INDEX(weekly!$F$2:$F$188,MATCH('Marketing Campaigns 22.11.22'!L2138,weekly!$H$2:$H$188,0))</f>
        <v>6083.8910004496302</v>
      </c>
      <c r="J2138">
        <v>0</v>
      </c>
      <c r="K2138">
        <v>0</v>
      </c>
      <c r="L2138" t="str">
        <f t="shared" si="78"/>
        <v>38-9-2023</v>
      </c>
      <c r="M2138">
        <f t="shared" si="79"/>
        <v>2023</v>
      </c>
    </row>
    <row r="2139" spans="1:13" x14ac:dyDescent="0.2">
      <c r="A2139" s="1">
        <f t="shared" si="74"/>
        <v>45187</v>
      </c>
      <c r="B2139">
        <f t="shared" si="77"/>
        <v>38</v>
      </c>
      <c r="C2139">
        <f t="shared" si="75"/>
        <v>9</v>
      </c>
      <c r="D2139">
        <f t="shared" si="76"/>
        <v>3</v>
      </c>
      <c r="E2139" t="s">
        <v>44</v>
      </c>
      <c r="F2139">
        <v>0</v>
      </c>
      <c r="G2139">
        <f>INDEX(weekly!$E$2:$E$188,MATCH('Marketing Campaigns 22.11.22'!L2139,weekly!$H$2:$H$188,0))</f>
        <v>6646.9015619318616</v>
      </c>
      <c r="H2139">
        <f>INDEX(weekly!$D$2:$D$188,MATCH('Marketing Campaigns 22.11.22'!L2139,weekly!$H$2:$H$188,0))</f>
        <v>16630.267968954577</v>
      </c>
      <c r="I2139">
        <f>INDEX(weekly!$F$2:$F$188,MATCH('Marketing Campaigns 22.11.22'!L2139,weekly!$H$2:$H$188,0))</f>
        <v>6083.8910004496302</v>
      </c>
      <c r="J2139">
        <v>0</v>
      </c>
      <c r="K2139">
        <v>0</v>
      </c>
      <c r="L2139" t="str">
        <f t="shared" si="78"/>
        <v>38-9-2023</v>
      </c>
      <c r="M2139">
        <f t="shared" si="79"/>
        <v>2023</v>
      </c>
    </row>
    <row r="2140" spans="1:13" x14ac:dyDescent="0.2">
      <c r="A2140" s="1">
        <f t="shared" si="74"/>
        <v>45187</v>
      </c>
      <c r="B2140">
        <f t="shared" si="77"/>
        <v>38</v>
      </c>
      <c r="C2140">
        <f t="shared" si="75"/>
        <v>9</v>
      </c>
      <c r="D2140">
        <f t="shared" si="76"/>
        <v>3</v>
      </c>
      <c r="E2140" t="s">
        <v>45</v>
      </c>
      <c r="F2140">
        <v>0</v>
      </c>
      <c r="G2140">
        <f>INDEX(weekly!$E$2:$E$188,MATCH('Marketing Campaigns 22.11.22'!L2140,weekly!$H$2:$H$188,0))</f>
        <v>6646.9015619318616</v>
      </c>
      <c r="H2140">
        <f>INDEX(weekly!$D$2:$D$188,MATCH('Marketing Campaigns 22.11.22'!L2140,weekly!$H$2:$H$188,0))</f>
        <v>16630.267968954577</v>
      </c>
      <c r="I2140">
        <f>INDEX(weekly!$F$2:$F$188,MATCH('Marketing Campaigns 22.11.22'!L2140,weekly!$H$2:$H$188,0))</f>
        <v>6083.8910004496302</v>
      </c>
      <c r="J2140">
        <v>0</v>
      </c>
      <c r="K2140">
        <v>0</v>
      </c>
      <c r="L2140" t="str">
        <f t="shared" si="78"/>
        <v>38-9-2023</v>
      </c>
      <c r="M2140">
        <f t="shared" si="79"/>
        <v>2023</v>
      </c>
    </row>
    <row r="2141" spans="1:13" x14ac:dyDescent="0.2">
      <c r="A2141" s="1">
        <f t="shared" si="74"/>
        <v>45187</v>
      </c>
      <c r="B2141">
        <f t="shared" si="77"/>
        <v>38</v>
      </c>
      <c r="C2141">
        <f t="shared" si="75"/>
        <v>9</v>
      </c>
      <c r="D2141">
        <f t="shared" si="76"/>
        <v>3</v>
      </c>
      <c r="E2141" t="s">
        <v>46</v>
      </c>
      <c r="F2141">
        <v>0</v>
      </c>
      <c r="G2141">
        <f>INDEX(weekly!$E$2:$E$188,MATCH('Marketing Campaigns 22.11.22'!L2141,weekly!$H$2:$H$188,0))</f>
        <v>6646.9015619318616</v>
      </c>
      <c r="H2141">
        <f>INDEX(weekly!$D$2:$D$188,MATCH('Marketing Campaigns 22.11.22'!L2141,weekly!$H$2:$H$188,0))</f>
        <v>16630.267968954577</v>
      </c>
      <c r="I2141">
        <f>INDEX(weekly!$F$2:$F$188,MATCH('Marketing Campaigns 22.11.22'!L2141,weekly!$H$2:$H$188,0))</f>
        <v>6083.8910004496302</v>
      </c>
      <c r="J2141">
        <v>0</v>
      </c>
      <c r="K2141">
        <v>0</v>
      </c>
      <c r="L2141" t="str">
        <f t="shared" si="78"/>
        <v>38-9-2023</v>
      </c>
      <c r="M2141">
        <f t="shared" si="79"/>
        <v>2023</v>
      </c>
    </row>
    <row r="2142" spans="1:13" x14ac:dyDescent="0.2">
      <c r="A2142" s="1">
        <f t="shared" si="74"/>
        <v>45187</v>
      </c>
      <c r="B2142">
        <f t="shared" si="77"/>
        <v>38</v>
      </c>
      <c r="C2142">
        <f t="shared" si="75"/>
        <v>9</v>
      </c>
      <c r="D2142">
        <f t="shared" si="76"/>
        <v>3</v>
      </c>
      <c r="E2142" t="s">
        <v>47</v>
      </c>
      <c r="F2142">
        <v>0</v>
      </c>
      <c r="G2142">
        <f>INDEX(weekly!$E$2:$E$188,MATCH('Marketing Campaigns 22.11.22'!L2142,weekly!$H$2:$H$188,0))</f>
        <v>6646.9015619318616</v>
      </c>
      <c r="H2142">
        <f>INDEX(weekly!$D$2:$D$188,MATCH('Marketing Campaigns 22.11.22'!L2142,weekly!$H$2:$H$188,0))</f>
        <v>16630.267968954577</v>
      </c>
      <c r="I2142">
        <f>INDEX(weekly!$F$2:$F$188,MATCH('Marketing Campaigns 22.11.22'!L2142,weekly!$H$2:$H$188,0))</f>
        <v>6083.8910004496302</v>
      </c>
      <c r="J2142">
        <v>0</v>
      </c>
      <c r="K2142">
        <v>0</v>
      </c>
      <c r="L2142" t="str">
        <f t="shared" si="78"/>
        <v>38-9-2023</v>
      </c>
      <c r="M2142">
        <f t="shared" si="79"/>
        <v>2023</v>
      </c>
    </row>
    <row r="2143" spans="1:13" x14ac:dyDescent="0.2">
      <c r="A2143" s="1">
        <f t="shared" si="74"/>
        <v>45187</v>
      </c>
      <c r="B2143">
        <f t="shared" si="77"/>
        <v>38</v>
      </c>
      <c r="C2143">
        <f t="shared" si="75"/>
        <v>9</v>
      </c>
      <c r="D2143">
        <f t="shared" si="76"/>
        <v>3</v>
      </c>
      <c r="E2143" t="s">
        <v>48</v>
      </c>
      <c r="F2143">
        <v>0</v>
      </c>
      <c r="G2143">
        <f>INDEX(weekly!$E$2:$E$188,MATCH('Marketing Campaigns 22.11.22'!L2143,weekly!$H$2:$H$188,0))</f>
        <v>6646.9015619318616</v>
      </c>
      <c r="H2143">
        <f>INDEX(weekly!$D$2:$D$188,MATCH('Marketing Campaigns 22.11.22'!L2143,weekly!$H$2:$H$188,0))</f>
        <v>16630.267968954577</v>
      </c>
      <c r="I2143">
        <f>INDEX(weekly!$F$2:$F$188,MATCH('Marketing Campaigns 22.11.22'!L2143,weekly!$H$2:$H$188,0))</f>
        <v>6083.8910004496302</v>
      </c>
      <c r="J2143">
        <v>0</v>
      </c>
      <c r="K2143">
        <v>0</v>
      </c>
      <c r="L2143" t="str">
        <f t="shared" si="78"/>
        <v>38-9-2023</v>
      </c>
      <c r="M2143">
        <f t="shared" si="79"/>
        <v>2023</v>
      </c>
    </row>
    <row r="2144" spans="1:13" x14ac:dyDescent="0.2">
      <c r="A2144" s="1">
        <f t="shared" si="74"/>
        <v>45187</v>
      </c>
      <c r="B2144">
        <f t="shared" si="77"/>
        <v>38</v>
      </c>
      <c r="C2144">
        <f t="shared" si="75"/>
        <v>9</v>
      </c>
      <c r="D2144">
        <f t="shared" si="76"/>
        <v>3</v>
      </c>
      <c r="E2144" t="s">
        <v>49</v>
      </c>
      <c r="F2144">
        <v>0</v>
      </c>
      <c r="G2144">
        <f>INDEX(weekly!$E$2:$E$188,MATCH('Marketing Campaigns 22.11.22'!L2144,weekly!$H$2:$H$188,0))</f>
        <v>6646.9015619318616</v>
      </c>
      <c r="H2144">
        <f>INDEX(weekly!$D$2:$D$188,MATCH('Marketing Campaigns 22.11.22'!L2144,weekly!$H$2:$H$188,0))</f>
        <v>16630.267968954577</v>
      </c>
      <c r="I2144">
        <f>INDEX(weekly!$F$2:$F$188,MATCH('Marketing Campaigns 22.11.22'!L2144,weekly!$H$2:$H$188,0))</f>
        <v>6083.8910004496302</v>
      </c>
      <c r="J2144">
        <v>0</v>
      </c>
      <c r="K2144">
        <v>0</v>
      </c>
      <c r="L2144" t="str">
        <f t="shared" si="78"/>
        <v>38-9-2023</v>
      </c>
      <c r="M2144">
        <f t="shared" si="79"/>
        <v>2023</v>
      </c>
    </row>
    <row r="2145" spans="1:13" x14ac:dyDescent="0.2">
      <c r="A2145" s="1">
        <f t="shared" si="74"/>
        <v>45187</v>
      </c>
      <c r="B2145">
        <f t="shared" si="77"/>
        <v>38</v>
      </c>
      <c r="C2145">
        <f t="shared" si="75"/>
        <v>9</v>
      </c>
      <c r="D2145">
        <f t="shared" si="76"/>
        <v>3</v>
      </c>
      <c r="E2145" t="s">
        <v>50</v>
      </c>
      <c r="F2145">
        <v>0</v>
      </c>
      <c r="G2145">
        <f>INDEX(weekly!$E$2:$E$188,MATCH('Marketing Campaigns 22.11.22'!L2145,weekly!$H$2:$H$188,0))</f>
        <v>6646.9015619318616</v>
      </c>
      <c r="H2145">
        <f>INDEX(weekly!$D$2:$D$188,MATCH('Marketing Campaigns 22.11.22'!L2145,weekly!$H$2:$H$188,0))</f>
        <v>16630.267968954577</v>
      </c>
      <c r="I2145">
        <f>INDEX(weekly!$F$2:$F$188,MATCH('Marketing Campaigns 22.11.22'!L2145,weekly!$H$2:$H$188,0))</f>
        <v>6083.8910004496302</v>
      </c>
      <c r="J2145">
        <v>0</v>
      </c>
      <c r="K2145">
        <v>0</v>
      </c>
      <c r="L2145" t="str">
        <f t="shared" si="78"/>
        <v>38-9-2023</v>
      </c>
      <c r="M2145">
        <f t="shared" si="79"/>
        <v>2023</v>
      </c>
    </row>
    <row r="2146" spans="1:13" x14ac:dyDescent="0.2">
      <c r="A2146" s="1">
        <f t="shared" si="74"/>
        <v>45187</v>
      </c>
      <c r="B2146">
        <f t="shared" si="77"/>
        <v>38</v>
      </c>
      <c r="C2146">
        <f t="shared" si="75"/>
        <v>9</v>
      </c>
      <c r="D2146">
        <f t="shared" si="76"/>
        <v>3</v>
      </c>
      <c r="E2146" t="s">
        <v>51</v>
      </c>
      <c r="F2146">
        <v>0</v>
      </c>
      <c r="G2146">
        <f>INDEX(weekly!$E$2:$E$188,MATCH('Marketing Campaigns 22.11.22'!L2146,weekly!$H$2:$H$188,0))</f>
        <v>6646.9015619318616</v>
      </c>
      <c r="H2146">
        <f>INDEX(weekly!$D$2:$D$188,MATCH('Marketing Campaigns 22.11.22'!L2146,weekly!$H$2:$H$188,0))</f>
        <v>16630.267968954577</v>
      </c>
      <c r="I2146">
        <f>INDEX(weekly!$F$2:$F$188,MATCH('Marketing Campaigns 22.11.22'!L2146,weekly!$H$2:$H$188,0))</f>
        <v>6083.8910004496302</v>
      </c>
      <c r="J2146">
        <v>0</v>
      </c>
      <c r="K2146">
        <v>0</v>
      </c>
      <c r="L2146" t="str">
        <f t="shared" si="78"/>
        <v>38-9-2023</v>
      </c>
      <c r="M2146">
        <f t="shared" si="79"/>
        <v>2023</v>
      </c>
    </row>
    <row r="2147" spans="1:13" x14ac:dyDescent="0.2">
      <c r="A2147" s="1">
        <f t="shared" si="74"/>
        <v>45187</v>
      </c>
      <c r="B2147">
        <f t="shared" si="77"/>
        <v>38</v>
      </c>
      <c r="C2147">
        <f t="shared" si="75"/>
        <v>9</v>
      </c>
      <c r="D2147">
        <f t="shared" si="76"/>
        <v>3</v>
      </c>
      <c r="E2147" t="s">
        <v>52</v>
      </c>
      <c r="F2147">
        <v>0</v>
      </c>
      <c r="G2147">
        <f>INDEX(weekly!$E$2:$E$188,MATCH('Marketing Campaigns 22.11.22'!L2147,weekly!$H$2:$H$188,0))</f>
        <v>6646.9015619318616</v>
      </c>
      <c r="H2147">
        <f>INDEX(weekly!$D$2:$D$188,MATCH('Marketing Campaigns 22.11.22'!L2147,weekly!$H$2:$H$188,0))</f>
        <v>16630.267968954577</v>
      </c>
      <c r="I2147">
        <f>INDEX(weekly!$F$2:$F$188,MATCH('Marketing Campaigns 22.11.22'!L2147,weekly!$H$2:$H$188,0))</f>
        <v>6083.8910004496302</v>
      </c>
      <c r="J2147">
        <v>0</v>
      </c>
      <c r="K2147">
        <v>0</v>
      </c>
      <c r="L2147" t="str">
        <f t="shared" si="78"/>
        <v>38-9-2023</v>
      </c>
      <c r="M2147">
        <f t="shared" si="79"/>
        <v>2023</v>
      </c>
    </row>
    <row r="2148" spans="1:13" x14ac:dyDescent="0.2">
      <c r="A2148" s="1">
        <f t="shared" si="74"/>
        <v>45194</v>
      </c>
      <c r="B2148">
        <f>IF(E2148="None",B2147+1,B2147)</f>
        <v>39</v>
      </c>
      <c r="C2148">
        <f t="shared" si="75"/>
        <v>9</v>
      </c>
      <c r="D2148">
        <f t="shared" si="76"/>
        <v>3</v>
      </c>
      <c r="E2148" t="s">
        <v>24</v>
      </c>
      <c r="F2148">
        <v>0</v>
      </c>
      <c r="G2148">
        <f>INDEX(weekly!$E$2:$E$188,MATCH('Marketing Campaigns 22.11.22'!L2148,weekly!$H$2:$H$188,0))</f>
        <v>5697.3441959415959</v>
      </c>
      <c r="H2148">
        <f>INDEX(weekly!$D$2:$D$188,MATCH('Marketing Campaigns 22.11.22'!L2148,weekly!$H$2:$H$188,0))</f>
        <v>14254.515401961067</v>
      </c>
      <c r="I2148">
        <f>INDEX(weekly!$F$2:$F$188,MATCH('Marketing Campaigns 22.11.22'!L2148,weekly!$H$2:$H$188,0))</f>
        <v>5214.7637146711113</v>
      </c>
      <c r="J2148">
        <v>0</v>
      </c>
      <c r="K2148">
        <v>0</v>
      </c>
      <c r="L2148" t="str">
        <f t="shared" si="78"/>
        <v>39-9-2023</v>
      </c>
      <c r="M2148">
        <f t="shared" si="79"/>
        <v>2023</v>
      </c>
    </row>
    <row r="2149" spans="1:13" x14ac:dyDescent="0.2">
      <c r="A2149" s="1">
        <f t="shared" si="74"/>
        <v>45194</v>
      </c>
      <c r="B2149">
        <f t="shared" si="77"/>
        <v>39</v>
      </c>
      <c r="C2149">
        <f t="shared" si="75"/>
        <v>9</v>
      </c>
      <c r="D2149">
        <f t="shared" si="76"/>
        <v>3</v>
      </c>
      <c r="E2149" t="s">
        <v>39</v>
      </c>
      <c r="F2149">
        <v>0</v>
      </c>
      <c r="G2149">
        <f>INDEX(weekly!$E$2:$E$188,MATCH('Marketing Campaigns 22.11.22'!L2149,weekly!$H$2:$H$188,0))</f>
        <v>5697.3441959415959</v>
      </c>
      <c r="H2149">
        <f>INDEX(weekly!$D$2:$D$188,MATCH('Marketing Campaigns 22.11.22'!L2149,weekly!$H$2:$H$188,0))</f>
        <v>14254.515401961067</v>
      </c>
      <c r="I2149">
        <f>INDEX(weekly!$F$2:$F$188,MATCH('Marketing Campaigns 22.11.22'!L2149,weekly!$H$2:$H$188,0))</f>
        <v>5214.7637146711113</v>
      </c>
      <c r="J2149">
        <v>0</v>
      </c>
      <c r="K2149">
        <v>0</v>
      </c>
      <c r="L2149" t="str">
        <f t="shared" si="78"/>
        <v>39-9-2023</v>
      </c>
      <c r="M2149">
        <f t="shared" si="79"/>
        <v>2023</v>
      </c>
    </row>
    <row r="2150" spans="1:13" x14ac:dyDescent="0.2">
      <c r="A2150" s="1">
        <f t="shared" si="74"/>
        <v>45194</v>
      </c>
      <c r="B2150">
        <f t="shared" si="77"/>
        <v>39</v>
      </c>
      <c r="C2150">
        <f t="shared" si="75"/>
        <v>9</v>
      </c>
      <c r="D2150">
        <f t="shared" si="76"/>
        <v>3</v>
      </c>
      <c r="E2150" t="s">
        <v>40</v>
      </c>
      <c r="F2150">
        <v>0</v>
      </c>
      <c r="G2150">
        <f>INDEX(weekly!$E$2:$E$188,MATCH('Marketing Campaigns 22.11.22'!L2150,weekly!$H$2:$H$188,0))</f>
        <v>5697.3441959415959</v>
      </c>
      <c r="H2150">
        <f>INDEX(weekly!$D$2:$D$188,MATCH('Marketing Campaigns 22.11.22'!L2150,weekly!$H$2:$H$188,0))</f>
        <v>14254.515401961067</v>
      </c>
      <c r="I2150">
        <f>INDEX(weekly!$F$2:$F$188,MATCH('Marketing Campaigns 22.11.22'!L2150,weekly!$H$2:$H$188,0))</f>
        <v>5214.7637146711113</v>
      </c>
      <c r="J2150">
        <v>0</v>
      </c>
      <c r="K2150">
        <v>0</v>
      </c>
      <c r="L2150" t="str">
        <f t="shared" si="78"/>
        <v>39-9-2023</v>
      </c>
      <c r="M2150">
        <f t="shared" si="79"/>
        <v>2023</v>
      </c>
    </row>
    <row r="2151" spans="1:13" x14ac:dyDescent="0.2">
      <c r="A2151" s="1">
        <f t="shared" si="74"/>
        <v>45194</v>
      </c>
      <c r="B2151">
        <f t="shared" si="77"/>
        <v>39</v>
      </c>
      <c r="C2151">
        <f t="shared" si="75"/>
        <v>9</v>
      </c>
      <c r="D2151">
        <f t="shared" si="76"/>
        <v>3</v>
      </c>
      <c r="E2151" t="s">
        <v>41</v>
      </c>
      <c r="F2151">
        <v>0</v>
      </c>
      <c r="G2151">
        <f>INDEX(weekly!$E$2:$E$188,MATCH('Marketing Campaigns 22.11.22'!L2151,weekly!$H$2:$H$188,0))</f>
        <v>5697.3441959415959</v>
      </c>
      <c r="H2151">
        <f>INDEX(weekly!$D$2:$D$188,MATCH('Marketing Campaigns 22.11.22'!L2151,weekly!$H$2:$H$188,0))</f>
        <v>14254.515401961067</v>
      </c>
      <c r="I2151">
        <f>INDEX(weekly!$F$2:$F$188,MATCH('Marketing Campaigns 22.11.22'!L2151,weekly!$H$2:$H$188,0))</f>
        <v>5214.7637146711113</v>
      </c>
      <c r="J2151">
        <v>0</v>
      </c>
      <c r="K2151">
        <v>0</v>
      </c>
      <c r="L2151" t="str">
        <f t="shared" si="78"/>
        <v>39-9-2023</v>
      </c>
      <c r="M2151">
        <f t="shared" si="79"/>
        <v>2023</v>
      </c>
    </row>
    <row r="2152" spans="1:13" x14ac:dyDescent="0.2">
      <c r="A2152" s="1">
        <f t="shared" si="74"/>
        <v>45194</v>
      </c>
      <c r="B2152">
        <f t="shared" si="77"/>
        <v>39</v>
      </c>
      <c r="C2152">
        <f t="shared" si="75"/>
        <v>9</v>
      </c>
      <c r="D2152">
        <f t="shared" si="76"/>
        <v>3</v>
      </c>
      <c r="E2152" t="s">
        <v>42</v>
      </c>
      <c r="F2152">
        <v>0</v>
      </c>
      <c r="G2152">
        <f>INDEX(weekly!$E$2:$E$188,MATCH('Marketing Campaigns 22.11.22'!L2152,weekly!$H$2:$H$188,0))</f>
        <v>5697.3441959415959</v>
      </c>
      <c r="H2152">
        <f>INDEX(weekly!$D$2:$D$188,MATCH('Marketing Campaigns 22.11.22'!L2152,weekly!$H$2:$H$188,0))</f>
        <v>14254.515401961067</v>
      </c>
      <c r="I2152">
        <f>INDEX(weekly!$F$2:$F$188,MATCH('Marketing Campaigns 22.11.22'!L2152,weekly!$H$2:$H$188,0))</f>
        <v>5214.7637146711113</v>
      </c>
      <c r="J2152">
        <v>0</v>
      </c>
      <c r="K2152">
        <v>0</v>
      </c>
      <c r="L2152" t="str">
        <f t="shared" si="78"/>
        <v>39-9-2023</v>
      </c>
      <c r="M2152">
        <f t="shared" si="79"/>
        <v>2023</v>
      </c>
    </row>
    <row r="2153" spans="1:13" x14ac:dyDescent="0.2">
      <c r="A2153" s="1">
        <f t="shared" si="74"/>
        <v>45194</v>
      </c>
      <c r="B2153">
        <f t="shared" si="77"/>
        <v>39</v>
      </c>
      <c r="C2153">
        <f t="shared" si="75"/>
        <v>9</v>
      </c>
      <c r="D2153">
        <f t="shared" si="76"/>
        <v>3</v>
      </c>
      <c r="E2153" t="s">
        <v>43</v>
      </c>
      <c r="F2153">
        <v>0</v>
      </c>
      <c r="G2153">
        <f>INDEX(weekly!$E$2:$E$188,MATCH('Marketing Campaigns 22.11.22'!L2153,weekly!$H$2:$H$188,0))</f>
        <v>5697.3441959415959</v>
      </c>
      <c r="H2153">
        <f>INDEX(weekly!$D$2:$D$188,MATCH('Marketing Campaigns 22.11.22'!L2153,weekly!$H$2:$H$188,0))</f>
        <v>14254.515401961067</v>
      </c>
      <c r="I2153">
        <f>INDEX(weekly!$F$2:$F$188,MATCH('Marketing Campaigns 22.11.22'!L2153,weekly!$H$2:$H$188,0))</f>
        <v>5214.7637146711113</v>
      </c>
      <c r="J2153">
        <v>0</v>
      </c>
      <c r="K2153">
        <v>0</v>
      </c>
      <c r="L2153" t="str">
        <f t="shared" si="78"/>
        <v>39-9-2023</v>
      </c>
      <c r="M2153">
        <f t="shared" si="79"/>
        <v>2023</v>
      </c>
    </row>
    <row r="2154" spans="1:13" x14ac:dyDescent="0.2">
      <c r="A2154" s="1">
        <f t="shared" si="74"/>
        <v>45194</v>
      </c>
      <c r="B2154">
        <f t="shared" si="77"/>
        <v>39</v>
      </c>
      <c r="C2154">
        <f t="shared" si="75"/>
        <v>9</v>
      </c>
      <c r="D2154">
        <f t="shared" si="76"/>
        <v>3</v>
      </c>
      <c r="E2154" t="s">
        <v>44</v>
      </c>
      <c r="F2154">
        <v>0</v>
      </c>
      <c r="G2154">
        <f>INDEX(weekly!$E$2:$E$188,MATCH('Marketing Campaigns 22.11.22'!L2154,weekly!$H$2:$H$188,0))</f>
        <v>5697.3441959415959</v>
      </c>
      <c r="H2154">
        <f>INDEX(weekly!$D$2:$D$188,MATCH('Marketing Campaigns 22.11.22'!L2154,weekly!$H$2:$H$188,0))</f>
        <v>14254.515401961067</v>
      </c>
      <c r="I2154">
        <f>INDEX(weekly!$F$2:$F$188,MATCH('Marketing Campaigns 22.11.22'!L2154,weekly!$H$2:$H$188,0))</f>
        <v>5214.7637146711113</v>
      </c>
      <c r="J2154">
        <v>0</v>
      </c>
      <c r="K2154">
        <v>0</v>
      </c>
      <c r="L2154" t="str">
        <f t="shared" si="78"/>
        <v>39-9-2023</v>
      </c>
      <c r="M2154">
        <f t="shared" si="79"/>
        <v>2023</v>
      </c>
    </row>
    <row r="2155" spans="1:13" x14ac:dyDescent="0.2">
      <c r="A2155" s="1">
        <f t="shared" si="74"/>
        <v>45194</v>
      </c>
      <c r="B2155">
        <f t="shared" si="77"/>
        <v>39</v>
      </c>
      <c r="C2155">
        <f t="shared" si="75"/>
        <v>9</v>
      </c>
      <c r="D2155">
        <f t="shared" si="76"/>
        <v>3</v>
      </c>
      <c r="E2155" t="s">
        <v>45</v>
      </c>
      <c r="F2155">
        <v>0</v>
      </c>
      <c r="G2155">
        <f>INDEX(weekly!$E$2:$E$188,MATCH('Marketing Campaigns 22.11.22'!L2155,weekly!$H$2:$H$188,0))</f>
        <v>5697.3441959415959</v>
      </c>
      <c r="H2155">
        <f>INDEX(weekly!$D$2:$D$188,MATCH('Marketing Campaigns 22.11.22'!L2155,weekly!$H$2:$H$188,0))</f>
        <v>14254.515401961067</v>
      </c>
      <c r="I2155">
        <f>INDEX(weekly!$F$2:$F$188,MATCH('Marketing Campaigns 22.11.22'!L2155,weekly!$H$2:$H$188,0))</f>
        <v>5214.7637146711113</v>
      </c>
      <c r="J2155">
        <v>0</v>
      </c>
      <c r="K2155">
        <v>0</v>
      </c>
      <c r="L2155" t="str">
        <f t="shared" si="78"/>
        <v>39-9-2023</v>
      </c>
      <c r="M2155">
        <f t="shared" si="79"/>
        <v>2023</v>
      </c>
    </row>
    <row r="2156" spans="1:13" x14ac:dyDescent="0.2">
      <c r="A2156" s="1">
        <f t="shared" si="74"/>
        <v>45194</v>
      </c>
      <c r="B2156">
        <f t="shared" si="77"/>
        <v>39</v>
      </c>
      <c r="C2156">
        <f t="shared" si="75"/>
        <v>9</v>
      </c>
      <c r="D2156">
        <f t="shared" si="76"/>
        <v>3</v>
      </c>
      <c r="E2156" t="s">
        <v>46</v>
      </c>
      <c r="F2156">
        <v>0</v>
      </c>
      <c r="G2156">
        <f>INDEX(weekly!$E$2:$E$188,MATCH('Marketing Campaigns 22.11.22'!L2156,weekly!$H$2:$H$188,0))</f>
        <v>5697.3441959415959</v>
      </c>
      <c r="H2156">
        <f>INDEX(weekly!$D$2:$D$188,MATCH('Marketing Campaigns 22.11.22'!L2156,weekly!$H$2:$H$188,0))</f>
        <v>14254.515401961067</v>
      </c>
      <c r="I2156">
        <f>INDEX(weekly!$F$2:$F$188,MATCH('Marketing Campaigns 22.11.22'!L2156,weekly!$H$2:$H$188,0))</f>
        <v>5214.7637146711113</v>
      </c>
      <c r="J2156">
        <v>0</v>
      </c>
      <c r="K2156">
        <v>0</v>
      </c>
      <c r="L2156" t="str">
        <f t="shared" si="78"/>
        <v>39-9-2023</v>
      </c>
      <c r="M2156">
        <f t="shared" si="79"/>
        <v>2023</v>
      </c>
    </row>
    <row r="2157" spans="1:13" x14ac:dyDescent="0.2">
      <c r="A2157" s="1">
        <f t="shared" si="74"/>
        <v>45194</v>
      </c>
      <c r="B2157">
        <f t="shared" si="77"/>
        <v>39</v>
      </c>
      <c r="C2157">
        <f t="shared" si="75"/>
        <v>9</v>
      </c>
      <c r="D2157">
        <f t="shared" si="76"/>
        <v>3</v>
      </c>
      <c r="E2157" t="s">
        <v>47</v>
      </c>
      <c r="F2157">
        <v>0</v>
      </c>
      <c r="G2157">
        <f>INDEX(weekly!$E$2:$E$188,MATCH('Marketing Campaigns 22.11.22'!L2157,weekly!$H$2:$H$188,0))</f>
        <v>5697.3441959415959</v>
      </c>
      <c r="H2157">
        <f>INDEX(weekly!$D$2:$D$188,MATCH('Marketing Campaigns 22.11.22'!L2157,weekly!$H$2:$H$188,0))</f>
        <v>14254.515401961067</v>
      </c>
      <c r="I2157">
        <f>INDEX(weekly!$F$2:$F$188,MATCH('Marketing Campaigns 22.11.22'!L2157,weekly!$H$2:$H$188,0))</f>
        <v>5214.7637146711113</v>
      </c>
      <c r="J2157">
        <v>0</v>
      </c>
      <c r="K2157">
        <v>0</v>
      </c>
      <c r="L2157" t="str">
        <f t="shared" si="78"/>
        <v>39-9-2023</v>
      </c>
      <c r="M2157">
        <f t="shared" si="79"/>
        <v>2023</v>
      </c>
    </row>
    <row r="2158" spans="1:13" x14ac:dyDescent="0.2">
      <c r="A2158" s="1">
        <f t="shared" si="74"/>
        <v>45194</v>
      </c>
      <c r="B2158">
        <f t="shared" si="77"/>
        <v>39</v>
      </c>
      <c r="C2158">
        <f t="shared" si="75"/>
        <v>9</v>
      </c>
      <c r="D2158">
        <f t="shared" si="76"/>
        <v>3</v>
      </c>
      <c r="E2158" t="s">
        <v>48</v>
      </c>
      <c r="F2158">
        <v>0</v>
      </c>
      <c r="G2158">
        <f>INDEX(weekly!$E$2:$E$188,MATCH('Marketing Campaigns 22.11.22'!L2158,weekly!$H$2:$H$188,0))</f>
        <v>5697.3441959415959</v>
      </c>
      <c r="H2158">
        <f>INDEX(weekly!$D$2:$D$188,MATCH('Marketing Campaigns 22.11.22'!L2158,weekly!$H$2:$H$188,0))</f>
        <v>14254.515401961067</v>
      </c>
      <c r="I2158">
        <f>INDEX(weekly!$F$2:$F$188,MATCH('Marketing Campaigns 22.11.22'!L2158,weekly!$H$2:$H$188,0))</f>
        <v>5214.7637146711113</v>
      </c>
      <c r="J2158">
        <v>0</v>
      </c>
      <c r="K2158">
        <v>0</v>
      </c>
      <c r="L2158" t="str">
        <f t="shared" si="78"/>
        <v>39-9-2023</v>
      </c>
      <c r="M2158">
        <f t="shared" si="79"/>
        <v>2023</v>
      </c>
    </row>
    <row r="2159" spans="1:13" x14ac:dyDescent="0.2">
      <c r="A2159" s="1">
        <f t="shared" si="74"/>
        <v>45194</v>
      </c>
      <c r="B2159">
        <f t="shared" si="77"/>
        <v>39</v>
      </c>
      <c r="C2159">
        <f t="shared" si="75"/>
        <v>9</v>
      </c>
      <c r="D2159">
        <f t="shared" si="76"/>
        <v>3</v>
      </c>
      <c r="E2159" t="s">
        <v>49</v>
      </c>
      <c r="F2159">
        <v>0</v>
      </c>
      <c r="G2159">
        <f>INDEX(weekly!$E$2:$E$188,MATCH('Marketing Campaigns 22.11.22'!L2159,weekly!$H$2:$H$188,0))</f>
        <v>5697.3441959415959</v>
      </c>
      <c r="H2159">
        <f>INDEX(weekly!$D$2:$D$188,MATCH('Marketing Campaigns 22.11.22'!L2159,weekly!$H$2:$H$188,0))</f>
        <v>14254.515401961067</v>
      </c>
      <c r="I2159">
        <f>INDEX(weekly!$F$2:$F$188,MATCH('Marketing Campaigns 22.11.22'!L2159,weekly!$H$2:$H$188,0))</f>
        <v>5214.7637146711113</v>
      </c>
      <c r="J2159">
        <v>0</v>
      </c>
      <c r="K2159">
        <v>0</v>
      </c>
      <c r="L2159" t="str">
        <f t="shared" si="78"/>
        <v>39-9-2023</v>
      </c>
      <c r="M2159">
        <f t="shared" si="79"/>
        <v>2023</v>
      </c>
    </row>
    <row r="2160" spans="1:13" x14ac:dyDescent="0.2">
      <c r="A2160" s="1">
        <f t="shared" si="74"/>
        <v>45194</v>
      </c>
      <c r="B2160">
        <f t="shared" si="77"/>
        <v>39</v>
      </c>
      <c r="C2160">
        <f t="shared" si="75"/>
        <v>9</v>
      </c>
      <c r="D2160">
        <f t="shared" si="76"/>
        <v>3</v>
      </c>
      <c r="E2160" t="s">
        <v>50</v>
      </c>
      <c r="F2160">
        <v>0</v>
      </c>
      <c r="G2160">
        <f>INDEX(weekly!$E$2:$E$188,MATCH('Marketing Campaigns 22.11.22'!L2160,weekly!$H$2:$H$188,0))</f>
        <v>5697.3441959415959</v>
      </c>
      <c r="H2160">
        <f>INDEX(weekly!$D$2:$D$188,MATCH('Marketing Campaigns 22.11.22'!L2160,weekly!$H$2:$H$188,0))</f>
        <v>14254.515401961067</v>
      </c>
      <c r="I2160">
        <f>INDEX(weekly!$F$2:$F$188,MATCH('Marketing Campaigns 22.11.22'!L2160,weekly!$H$2:$H$188,0))</f>
        <v>5214.7637146711113</v>
      </c>
      <c r="J2160">
        <v>0</v>
      </c>
      <c r="K2160">
        <v>0</v>
      </c>
      <c r="L2160" t="str">
        <f t="shared" si="78"/>
        <v>39-9-2023</v>
      </c>
      <c r="M2160">
        <f t="shared" si="79"/>
        <v>2023</v>
      </c>
    </row>
    <row r="2161" spans="1:13" x14ac:dyDescent="0.2">
      <c r="A2161" s="1">
        <f t="shared" ref="A2161:A2224" si="80">DATE(2023, 1, -2) - WEEKDAY(DATE(2023, 1, 3)) + B2161 * 7</f>
        <v>45194</v>
      </c>
      <c r="B2161">
        <f t="shared" si="77"/>
        <v>39</v>
      </c>
      <c r="C2161">
        <f t="shared" ref="C2161:C2224" si="81">MONTH(A2161)</f>
        <v>9</v>
      </c>
      <c r="D2161">
        <f t="shared" ref="D2161:D2224" si="82">CEILING(C2161 / 3,1)</f>
        <v>3</v>
      </c>
      <c r="E2161" t="s">
        <v>51</v>
      </c>
      <c r="F2161">
        <v>0</v>
      </c>
      <c r="G2161">
        <f>INDEX(weekly!$E$2:$E$188,MATCH('Marketing Campaigns 22.11.22'!L2161,weekly!$H$2:$H$188,0))</f>
        <v>5697.3441959415959</v>
      </c>
      <c r="H2161">
        <f>INDEX(weekly!$D$2:$D$188,MATCH('Marketing Campaigns 22.11.22'!L2161,weekly!$H$2:$H$188,0))</f>
        <v>14254.515401961067</v>
      </c>
      <c r="I2161">
        <f>INDEX(weekly!$F$2:$F$188,MATCH('Marketing Campaigns 22.11.22'!L2161,weekly!$H$2:$H$188,0))</f>
        <v>5214.7637146711113</v>
      </c>
      <c r="J2161">
        <v>0</v>
      </c>
      <c r="K2161">
        <v>0</v>
      </c>
      <c r="L2161" t="str">
        <f t="shared" si="78"/>
        <v>39-9-2023</v>
      </c>
      <c r="M2161">
        <f t="shared" si="79"/>
        <v>2023</v>
      </c>
    </row>
    <row r="2162" spans="1:13" x14ac:dyDescent="0.2">
      <c r="A2162" s="1">
        <f t="shared" si="80"/>
        <v>45194</v>
      </c>
      <c r="B2162">
        <f t="shared" si="77"/>
        <v>39</v>
      </c>
      <c r="C2162">
        <f t="shared" si="81"/>
        <v>9</v>
      </c>
      <c r="D2162">
        <f t="shared" si="82"/>
        <v>3</v>
      </c>
      <c r="E2162" t="s">
        <v>52</v>
      </c>
      <c r="F2162">
        <v>0</v>
      </c>
      <c r="G2162">
        <f>INDEX(weekly!$E$2:$E$188,MATCH('Marketing Campaigns 22.11.22'!L2162,weekly!$H$2:$H$188,0))</f>
        <v>5697.3441959415959</v>
      </c>
      <c r="H2162">
        <f>INDEX(weekly!$D$2:$D$188,MATCH('Marketing Campaigns 22.11.22'!L2162,weekly!$H$2:$H$188,0))</f>
        <v>14254.515401961067</v>
      </c>
      <c r="I2162">
        <f>INDEX(weekly!$F$2:$F$188,MATCH('Marketing Campaigns 22.11.22'!L2162,weekly!$H$2:$H$188,0))</f>
        <v>5214.7637146711113</v>
      </c>
      <c r="J2162">
        <v>0</v>
      </c>
      <c r="K2162">
        <v>0</v>
      </c>
      <c r="L2162" t="str">
        <f t="shared" si="78"/>
        <v>39-9-2023</v>
      </c>
      <c r="M2162">
        <f t="shared" si="79"/>
        <v>2023</v>
      </c>
    </row>
    <row r="2163" spans="1:13" x14ac:dyDescent="0.2">
      <c r="A2163" s="1">
        <f t="shared" si="80"/>
        <v>45201</v>
      </c>
      <c r="B2163">
        <f>IF(E2163="None",B2162+1,B2162)</f>
        <v>40</v>
      </c>
      <c r="C2163">
        <f t="shared" si="81"/>
        <v>10</v>
      </c>
      <c r="D2163">
        <f t="shared" si="82"/>
        <v>4</v>
      </c>
      <c r="E2163" t="s">
        <v>24</v>
      </c>
      <c r="F2163">
        <v>0</v>
      </c>
      <c r="G2163">
        <f>INDEX(weekly!$E$2:$E$188,MATCH('Marketing Campaigns 22.11.22'!L2163,weekly!$H$2:$H$188,0))</f>
        <v>7787.9462013062193</v>
      </c>
      <c r="H2163">
        <f>INDEX(weekly!$D$2:$D$188,MATCH('Marketing Campaigns 22.11.22'!L2163,weekly!$H$2:$H$188,0))</f>
        <v>17133.882210848016</v>
      </c>
      <c r="I2163">
        <f>INDEX(weekly!$F$2:$F$188,MATCH('Marketing Campaigns 22.11.22'!L2163,weekly!$H$2:$H$188,0))</f>
        <v>4017.2661445876588</v>
      </c>
      <c r="J2163">
        <v>0</v>
      </c>
      <c r="K2163">
        <v>0</v>
      </c>
      <c r="L2163" t="str">
        <f t="shared" si="78"/>
        <v>40-10-2023</v>
      </c>
      <c r="M2163">
        <f t="shared" si="79"/>
        <v>2023</v>
      </c>
    </row>
    <row r="2164" spans="1:13" x14ac:dyDescent="0.2">
      <c r="A2164" s="1">
        <f t="shared" si="80"/>
        <v>45201</v>
      </c>
      <c r="B2164">
        <f t="shared" si="77"/>
        <v>40</v>
      </c>
      <c r="C2164">
        <f t="shared" si="81"/>
        <v>10</v>
      </c>
      <c r="D2164">
        <f t="shared" si="82"/>
        <v>4</v>
      </c>
      <c r="E2164" t="s">
        <v>39</v>
      </c>
      <c r="F2164">
        <v>0</v>
      </c>
      <c r="G2164">
        <f>INDEX(weekly!$E$2:$E$188,MATCH('Marketing Campaigns 22.11.22'!L2164,weekly!$H$2:$H$188,0))</f>
        <v>7787.9462013062193</v>
      </c>
      <c r="H2164">
        <f>INDEX(weekly!$D$2:$D$188,MATCH('Marketing Campaigns 22.11.22'!L2164,weekly!$H$2:$H$188,0))</f>
        <v>17133.882210848016</v>
      </c>
      <c r="I2164">
        <f>INDEX(weekly!$F$2:$F$188,MATCH('Marketing Campaigns 22.11.22'!L2164,weekly!$H$2:$H$188,0))</f>
        <v>4017.2661445876588</v>
      </c>
      <c r="J2164">
        <v>0</v>
      </c>
      <c r="K2164">
        <v>0</v>
      </c>
      <c r="L2164" t="str">
        <f t="shared" si="78"/>
        <v>40-10-2023</v>
      </c>
      <c r="M2164">
        <f t="shared" si="79"/>
        <v>2023</v>
      </c>
    </row>
    <row r="2165" spans="1:13" x14ac:dyDescent="0.2">
      <c r="A2165" s="1">
        <f t="shared" si="80"/>
        <v>45201</v>
      </c>
      <c r="B2165">
        <f t="shared" si="77"/>
        <v>40</v>
      </c>
      <c r="C2165">
        <f t="shared" si="81"/>
        <v>10</v>
      </c>
      <c r="D2165">
        <f t="shared" si="82"/>
        <v>4</v>
      </c>
      <c r="E2165" t="s">
        <v>40</v>
      </c>
      <c r="F2165">
        <v>0</v>
      </c>
      <c r="G2165">
        <f>INDEX(weekly!$E$2:$E$188,MATCH('Marketing Campaigns 22.11.22'!L2165,weekly!$H$2:$H$188,0))</f>
        <v>7787.9462013062193</v>
      </c>
      <c r="H2165">
        <f>INDEX(weekly!$D$2:$D$188,MATCH('Marketing Campaigns 22.11.22'!L2165,weekly!$H$2:$H$188,0))</f>
        <v>17133.882210848016</v>
      </c>
      <c r="I2165">
        <f>INDEX(weekly!$F$2:$F$188,MATCH('Marketing Campaigns 22.11.22'!L2165,weekly!$H$2:$H$188,0))</f>
        <v>4017.2661445876588</v>
      </c>
      <c r="J2165">
        <v>0</v>
      </c>
      <c r="K2165">
        <v>0</v>
      </c>
      <c r="L2165" t="str">
        <f t="shared" si="78"/>
        <v>40-10-2023</v>
      </c>
      <c r="M2165">
        <f t="shared" si="79"/>
        <v>2023</v>
      </c>
    </row>
    <row r="2166" spans="1:13" x14ac:dyDescent="0.2">
      <c r="A2166" s="1">
        <f t="shared" si="80"/>
        <v>45201</v>
      </c>
      <c r="B2166">
        <f t="shared" si="77"/>
        <v>40</v>
      </c>
      <c r="C2166">
        <f t="shared" si="81"/>
        <v>10</v>
      </c>
      <c r="D2166">
        <f t="shared" si="82"/>
        <v>4</v>
      </c>
      <c r="E2166" t="s">
        <v>41</v>
      </c>
      <c r="F2166">
        <v>0</v>
      </c>
      <c r="G2166">
        <f>INDEX(weekly!$E$2:$E$188,MATCH('Marketing Campaigns 22.11.22'!L2166,weekly!$H$2:$H$188,0))</f>
        <v>7787.9462013062193</v>
      </c>
      <c r="H2166">
        <f>INDEX(weekly!$D$2:$D$188,MATCH('Marketing Campaigns 22.11.22'!L2166,weekly!$H$2:$H$188,0))</f>
        <v>17133.882210848016</v>
      </c>
      <c r="I2166">
        <f>INDEX(weekly!$F$2:$F$188,MATCH('Marketing Campaigns 22.11.22'!L2166,weekly!$H$2:$H$188,0))</f>
        <v>4017.2661445876588</v>
      </c>
      <c r="J2166">
        <v>0</v>
      </c>
      <c r="K2166">
        <v>0</v>
      </c>
      <c r="L2166" t="str">
        <f t="shared" si="78"/>
        <v>40-10-2023</v>
      </c>
      <c r="M2166">
        <f t="shared" si="79"/>
        <v>2023</v>
      </c>
    </row>
    <row r="2167" spans="1:13" x14ac:dyDescent="0.2">
      <c r="A2167" s="1">
        <f t="shared" si="80"/>
        <v>45201</v>
      </c>
      <c r="B2167">
        <f t="shared" si="77"/>
        <v>40</v>
      </c>
      <c r="C2167">
        <f t="shared" si="81"/>
        <v>10</v>
      </c>
      <c r="D2167">
        <f t="shared" si="82"/>
        <v>4</v>
      </c>
      <c r="E2167" t="s">
        <v>42</v>
      </c>
      <c r="F2167">
        <v>0</v>
      </c>
      <c r="G2167">
        <f>INDEX(weekly!$E$2:$E$188,MATCH('Marketing Campaigns 22.11.22'!L2167,weekly!$H$2:$H$188,0))</f>
        <v>7787.9462013062193</v>
      </c>
      <c r="H2167">
        <f>INDEX(weekly!$D$2:$D$188,MATCH('Marketing Campaigns 22.11.22'!L2167,weekly!$H$2:$H$188,0))</f>
        <v>17133.882210848016</v>
      </c>
      <c r="I2167">
        <f>INDEX(weekly!$F$2:$F$188,MATCH('Marketing Campaigns 22.11.22'!L2167,weekly!$H$2:$H$188,0))</f>
        <v>4017.2661445876588</v>
      </c>
      <c r="J2167">
        <v>0</v>
      </c>
      <c r="K2167">
        <v>0</v>
      </c>
      <c r="L2167" t="str">
        <f t="shared" si="78"/>
        <v>40-10-2023</v>
      </c>
      <c r="M2167">
        <f t="shared" si="79"/>
        <v>2023</v>
      </c>
    </row>
    <row r="2168" spans="1:13" x14ac:dyDescent="0.2">
      <c r="A2168" s="1">
        <f t="shared" si="80"/>
        <v>45201</v>
      </c>
      <c r="B2168">
        <f t="shared" si="77"/>
        <v>40</v>
      </c>
      <c r="C2168">
        <f t="shared" si="81"/>
        <v>10</v>
      </c>
      <c r="D2168">
        <f t="shared" si="82"/>
        <v>4</v>
      </c>
      <c r="E2168" t="s">
        <v>43</v>
      </c>
      <c r="F2168">
        <v>0</v>
      </c>
      <c r="G2168">
        <f>INDEX(weekly!$E$2:$E$188,MATCH('Marketing Campaigns 22.11.22'!L2168,weekly!$H$2:$H$188,0))</f>
        <v>7787.9462013062193</v>
      </c>
      <c r="H2168">
        <f>INDEX(weekly!$D$2:$D$188,MATCH('Marketing Campaigns 22.11.22'!L2168,weekly!$H$2:$H$188,0))</f>
        <v>17133.882210848016</v>
      </c>
      <c r="I2168">
        <f>INDEX(weekly!$F$2:$F$188,MATCH('Marketing Campaigns 22.11.22'!L2168,weekly!$H$2:$H$188,0))</f>
        <v>4017.2661445876588</v>
      </c>
      <c r="J2168">
        <v>0</v>
      </c>
      <c r="K2168">
        <v>0</v>
      </c>
      <c r="L2168" t="str">
        <f t="shared" si="78"/>
        <v>40-10-2023</v>
      </c>
      <c r="M2168">
        <f t="shared" si="79"/>
        <v>2023</v>
      </c>
    </row>
    <row r="2169" spans="1:13" x14ac:dyDescent="0.2">
      <c r="A2169" s="1">
        <f t="shared" si="80"/>
        <v>45201</v>
      </c>
      <c r="B2169">
        <f t="shared" si="77"/>
        <v>40</v>
      </c>
      <c r="C2169">
        <f t="shared" si="81"/>
        <v>10</v>
      </c>
      <c r="D2169">
        <f t="shared" si="82"/>
        <v>4</v>
      </c>
      <c r="E2169" t="s">
        <v>44</v>
      </c>
      <c r="F2169">
        <v>0</v>
      </c>
      <c r="G2169">
        <f>INDEX(weekly!$E$2:$E$188,MATCH('Marketing Campaigns 22.11.22'!L2169,weekly!$H$2:$H$188,0))</f>
        <v>7787.9462013062193</v>
      </c>
      <c r="H2169">
        <f>INDEX(weekly!$D$2:$D$188,MATCH('Marketing Campaigns 22.11.22'!L2169,weekly!$H$2:$H$188,0))</f>
        <v>17133.882210848016</v>
      </c>
      <c r="I2169">
        <f>INDEX(weekly!$F$2:$F$188,MATCH('Marketing Campaigns 22.11.22'!L2169,weekly!$H$2:$H$188,0))</f>
        <v>4017.2661445876588</v>
      </c>
      <c r="J2169">
        <v>0</v>
      </c>
      <c r="K2169">
        <v>0</v>
      </c>
      <c r="L2169" t="str">
        <f t="shared" si="78"/>
        <v>40-10-2023</v>
      </c>
      <c r="M2169">
        <f t="shared" si="79"/>
        <v>2023</v>
      </c>
    </row>
    <row r="2170" spans="1:13" x14ac:dyDescent="0.2">
      <c r="A2170" s="1">
        <f t="shared" si="80"/>
        <v>45201</v>
      </c>
      <c r="B2170">
        <f t="shared" si="77"/>
        <v>40</v>
      </c>
      <c r="C2170">
        <f t="shared" si="81"/>
        <v>10</v>
      </c>
      <c r="D2170">
        <f t="shared" si="82"/>
        <v>4</v>
      </c>
      <c r="E2170" t="s">
        <v>45</v>
      </c>
      <c r="F2170">
        <v>0</v>
      </c>
      <c r="G2170">
        <f>INDEX(weekly!$E$2:$E$188,MATCH('Marketing Campaigns 22.11.22'!L2170,weekly!$H$2:$H$188,0))</f>
        <v>7787.9462013062193</v>
      </c>
      <c r="H2170">
        <f>INDEX(weekly!$D$2:$D$188,MATCH('Marketing Campaigns 22.11.22'!L2170,weekly!$H$2:$H$188,0))</f>
        <v>17133.882210848016</v>
      </c>
      <c r="I2170">
        <f>INDEX(weekly!$F$2:$F$188,MATCH('Marketing Campaigns 22.11.22'!L2170,weekly!$H$2:$H$188,0))</f>
        <v>4017.2661445876588</v>
      </c>
      <c r="J2170">
        <v>0</v>
      </c>
      <c r="K2170">
        <v>0</v>
      </c>
      <c r="L2170" t="str">
        <f t="shared" si="78"/>
        <v>40-10-2023</v>
      </c>
      <c r="M2170">
        <f t="shared" si="79"/>
        <v>2023</v>
      </c>
    </row>
    <row r="2171" spans="1:13" x14ac:dyDescent="0.2">
      <c r="A2171" s="1">
        <f t="shared" si="80"/>
        <v>45201</v>
      </c>
      <c r="B2171">
        <f t="shared" si="77"/>
        <v>40</v>
      </c>
      <c r="C2171">
        <f t="shared" si="81"/>
        <v>10</v>
      </c>
      <c r="D2171">
        <f t="shared" si="82"/>
        <v>4</v>
      </c>
      <c r="E2171" t="s">
        <v>46</v>
      </c>
      <c r="F2171">
        <v>0</v>
      </c>
      <c r="G2171">
        <f>INDEX(weekly!$E$2:$E$188,MATCH('Marketing Campaigns 22.11.22'!L2171,weekly!$H$2:$H$188,0))</f>
        <v>7787.9462013062193</v>
      </c>
      <c r="H2171">
        <f>INDEX(weekly!$D$2:$D$188,MATCH('Marketing Campaigns 22.11.22'!L2171,weekly!$H$2:$H$188,0))</f>
        <v>17133.882210848016</v>
      </c>
      <c r="I2171">
        <f>INDEX(weekly!$F$2:$F$188,MATCH('Marketing Campaigns 22.11.22'!L2171,weekly!$H$2:$H$188,0))</f>
        <v>4017.2661445876588</v>
      </c>
      <c r="J2171">
        <v>0</v>
      </c>
      <c r="K2171">
        <v>0</v>
      </c>
      <c r="L2171" t="str">
        <f t="shared" si="78"/>
        <v>40-10-2023</v>
      </c>
      <c r="M2171">
        <f t="shared" si="79"/>
        <v>2023</v>
      </c>
    </row>
    <row r="2172" spans="1:13" x14ac:dyDescent="0.2">
      <c r="A2172" s="1">
        <f t="shared" si="80"/>
        <v>45201</v>
      </c>
      <c r="B2172">
        <f t="shared" si="77"/>
        <v>40</v>
      </c>
      <c r="C2172">
        <f t="shared" si="81"/>
        <v>10</v>
      </c>
      <c r="D2172">
        <f t="shared" si="82"/>
        <v>4</v>
      </c>
      <c r="E2172" t="s">
        <v>47</v>
      </c>
      <c r="F2172">
        <v>0</v>
      </c>
      <c r="G2172">
        <f>INDEX(weekly!$E$2:$E$188,MATCH('Marketing Campaigns 22.11.22'!L2172,weekly!$H$2:$H$188,0))</f>
        <v>7787.9462013062193</v>
      </c>
      <c r="H2172">
        <f>INDEX(weekly!$D$2:$D$188,MATCH('Marketing Campaigns 22.11.22'!L2172,weekly!$H$2:$H$188,0))</f>
        <v>17133.882210848016</v>
      </c>
      <c r="I2172">
        <f>INDEX(weekly!$F$2:$F$188,MATCH('Marketing Campaigns 22.11.22'!L2172,weekly!$H$2:$H$188,0))</f>
        <v>4017.2661445876588</v>
      </c>
      <c r="J2172">
        <v>0</v>
      </c>
      <c r="K2172">
        <v>0</v>
      </c>
      <c r="L2172" t="str">
        <f t="shared" si="78"/>
        <v>40-10-2023</v>
      </c>
      <c r="M2172">
        <f t="shared" si="79"/>
        <v>2023</v>
      </c>
    </row>
    <row r="2173" spans="1:13" x14ac:dyDescent="0.2">
      <c r="A2173" s="1">
        <f t="shared" si="80"/>
        <v>45201</v>
      </c>
      <c r="B2173">
        <f t="shared" si="77"/>
        <v>40</v>
      </c>
      <c r="C2173">
        <f t="shared" si="81"/>
        <v>10</v>
      </c>
      <c r="D2173">
        <f t="shared" si="82"/>
        <v>4</v>
      </c>
      <c r="E2173" t="s">
        <v>48</v>
      </c>
      <c r="F2173">
        <v>0</v>
      </c>
      <c r="G2173">
        <f>INDEX(weekly!$E$2:$E$188,MATCH('Marketing Campaigns 22.11.22'!L2173,weekly!$H$2:$H$188,0))</f>
        <v>7787.9462013062193</v>
      </c>
      <c r="H2173">
        <f>INDEX(weekly!$D$2:$D$188,MATCH('Marketing Campaigns 22.11.22'!L2173,weekly!$H$2:$H$188,0))</f>
        <v>17133.882210848016</v>
      </c>
      <c r="I2173">
        <f>INDEX(weekly!$F$2:$F$188,MATCH('Marketing Campaigns 22.11.22'!L2173,weekly!$H$2:$H$188,0))</f>
        <v>4017.2661445876588</v>
      </c>
      <c r="J2173">
        <v>0</v>
      </c>
      <c r="K2173">
        <v>0</v>
      </c>
      <c r="L2173" t="str">
        <f t="shared" si="78"/>
        <v>40-10-2023</v>
      </c>
      <c r="M2173">
        <f t="shared" si="79"/>
        <v>2023</v>
      </c>
    </row>
    <row r="2174" spans="1:13" x14ac:dyDescent="0.2">
      <c r="A2174" s="1">
        <f t="shared" si="80"/>
        <v>45201</v>
      </c>
      <c r="B2174">
        <f t="shared" si="77"/>
        <v>40</v>
      </c>
      <c r="C2174">
        <f t="shared" si="81"/>
        <v>10</v>
      </c>
      <c r="D2174">
        <f t="shared" si="82"/>
        <v>4</v>
      </c>
      <c r="E2174" t="s">
        <v>49</v>
      </c>
      <c r="F2174">
        <v>0</v>
      </c>
      <c r="G2174">
        <f>INDEX(weekly!$E$2:$E$188,MATCH('Marketing Campaigns 22.11.22'!L2174,weekly!$H$2:$H$188,0))</f>
        <v>7787.9462013062193</v>
      </c>
      <c r="H2174">
        <f>INDEX(weekly!$D$2:$D$188,MATCH('Marketing Campaigns 22.11.22'!L2174,weekly!$H$2:$H$188,0))</f>
        <v>17133.882210848016</v>
      </c>
      <c r="I2174">
        <f>INDEX(weekly!$F$2:$F$188,MATCH('Marketing Campaigns 22.11.22'!L2174,weekly!$H$2:$H$188,0))</f>
        <v>4017.2661445876588</v>
      </c>
      <c r="J2174">
        <v>0</v>
      </c>
      <c r="K2174">
        <v>0</v>
      </c>
      <c r="L2174" t="str">
        <f t="shared" si="78"/>
        <v>40-10-2023</v>
      </c>
      <c r="M2174">
        <f t="shared" si="79"/>
        <v>2023</v>
      </c>
    </row>
    <row r="2175" spans="1:13" x14ac:dyDescent="0.2">
      <c r="A2175" s="1">
        <f t="shared" si="80"/>
        <v>45201</v>
      </c>
      <c r="B2175">
        <f t="shared" si="77"/>
        <v>40</v>
      </c>
      <c r="C2175">
        <f t="shared" si="81"/>
        <v>10</v>
      </c>
      <c r="D2175">
        <f t="shared" si="82"/>
        <v>4</v>
      </c>
      <c r="E2175" t="s">
        <v>50</v>
      </c>
      <c r="F2175">
        <v>0</v>
      </c>
      <c r="G2175">
        <f>INDEX(weekly!$E$2:$E$188,MATCH('Marketing Campaigns 22.11.22'!L2175,weekly!$H$2:$H$188,0))</f>
        <v>7787.9462013062193</v>
      </c>
      <c r="H2175">
        <f>INDEX(weekly!$D$2:$D$188,MATCH('Marketing Campaigns 22.11.22'!L2175,weekly!$H$2:$H$188,0))</f>
        <v>17133.882210848016</v>
      </c>
      <c r="I2175">
        <f>INDEX(weekly!$F$2:$F$188,MATCH('Marketing Campaigns 22.11.22'!L2175,weekly!$H$2:$H$188,0))</f>
        <v>4017.2661445876588</v>
      </c>
      <c r="J2175">
        <v>0</v>
      </c>
      <c r="K2175">
        <v>0</v>
      </c>
      <c r="L2175" t="str">
        <f t="shared" si="78"/>
        <v>40-10-2023</v>
      </c>
      <c r="M2175">
        <f t="shared" si="79"/>
        <v>2023</v>
      </c>
    </row>
    <row r="2176" spans="1:13" x14ac:dyDescent="0.2">
      <c r="A2176" s="1">
        <f t="shared" si="80"/>
        <v>45201</v>
      </c>
      <c r="B2176">
        <f t="shared" ref="B2176:B2239" si="83">IF(E2176="None",B2175+1,B2175)</f>
        <v>40</v>
      </c>
      <c r="C2176">
        <f t="shared" si="81"/>
        <v>10</v>
      </c>
      <c r="D2176">
        <f t="shared" si="82"/>
        <v>4</v>
      </c>
      <c r="E2176" t="s">
        <v>51</v>
      </c>
      <c r="F2176">
        <v>0</v>
      </c>
      <c r="G2176">
        <f>INDEX(weekly!$E$2:$E$188,MATCH('Marketing Campaigns 22.11.22'!L2176,weekly!$H$2:$H$188,0))</f>
        <v>7787.9462013062193</v>
      </c>
      <c r="H2176">
        <f>INDEX(weekly!$D$2:$D$188,MATCH('Marketing Campaigns 22.11.22'!L2176,weekly!$H$2:$H$188,0))</f>
        <v>17133.882210848016</v>
      </c>
      <c r="I2176">
        <f>INDEX(weekly!$F$2:$F$188,MATCH('Marketing Campaigns 22.11.22'!L2176,weekly!$H$2:$H$188,0))</f>
        <v>4017.2661445876588</v>
      </c>
      <c r="J2176">
        <v>0</v>
      </c>
      <c r="K2176">
        <v>0</v>
      </c>
      <c r="L2176" t="str">
        <f t="shared" si="78"/>
        <v>40-10-2023</v>
      </c>
      <c r="M2176">
        <f t="shared" si="79"/>
        <v>2023</v>
      </c>
    </row>
    <row r="2177" spans="1:13" x14ac:dyDescent="0.2">
      <c r="A2177" s="1">
        <f t="shared" si="80"/>
        <v>45201</v>
      </c>
      <c r="B2177">
        <f t="shared" si="83"/>
        <v>40</v>
      </c>
      <c r="C2177">
        <f t="shared" si="81"/>
        <v>10</v>
      </c>
      <c r="D2177">
        <f t="shared" si="82"/>
        <v>4</v>
      </c>
      <c r="E2177" t="s">
        <v>52</v>
      </c>
      <c r="F2177">
        <v>0</v>
      </c>
      <c r="G2177">
        <f>INDEX(weekly!$E$2:$E$188,MATCH('Marketing Campaigns 22.11.22'!L2177,weekly!$H$2:$H$188,0))</f>
        <v>7787.9462013062193</v>
      </c>
      <c r="H2177">
        <f>INDEX(weekly!$D$2:$D$188,MATCH('Marketing Campaigns 22.11.22'!L2177,weekly!$H$2:$H$188,0))</f>
        <v>17133.882210848016</v>
      </c>
      <c r="I2177">
        <f>INDEX(weekly!$F$2:$F$188,MATCH('Marketing Campaigns 22.11.22'!L2177,weekly!$H$2:$H$188,0))</f>
        <v>4017.2661445876588</v>
      </c>
      <c r="J2177">
        <v>0</v>
      </c>
      <c r="K2177">
        <v>0</v>
      </c>
      <c r="L2177" t="str">
        <f t="shared" si="78"/>
        <v>40-10-2023</v>
      </c>
      <c r="M2177">
        <f t="shared" si="79"/>
        <v>2023</v>
      </c>
    </row>
    <row r="2178" spans="1:13" x14ac:dyDescent="0.2">
      <c r="A2178" s="1">
        <f t="shared" si="80"/>
        <v>45208</v>
      </c>
      <c r="B2178">
        <f>IF(E2178="None",B2177+1,B2177)</f>
        <v>41</v>
      </c>
      <c r="C2178">
        <f t="shared" si="81"/>
        <v>10</v>
      </c>
      <c r="D2178">
        <f t="shared" si="82"/>
        <v>4</v>
      </c>
      <c r="E2178" t="s">
        <v>24</v>
      </c>
      <c r="F2178">
        <v>0</v>
      </c>
      <c r="G2178">
        <f>INDEX(weekly!$E$2:$E$188,MATCH('Marketing Campaigns 22.11.22'!L2178,weekly!$H$2:$H$188,0))</f>
        <v>7787.9462013062193</v>
      </c>
      <c r="H2178">
        <f>INDEX(weekly!$D$2:$D$188,MATCH('Marketing Campaigns 22.11.22'!L2178,weekly!$H$2:$H$188,0))</f>
        <v>17133.882210848016</v>
      </c>
      <c r="I2178">
        <f>INDEX(weekly!$F$2:$F$188,MATCH('Marketing Campaigns 22.11.22'!L2178,weekly!$H$2:$H$188,0))</f>
        <v>4017.2661445876588</v>
      </c>
      <c r="J2178">
        <v>0</v>
      </c>
      <c r="K2178">
        <v>0</v>
      </c>
      <c r="L2178" t="str">
        <f t="shared" si="78"/>
        <v>41-10-2023</v>
      </c>
      <c r="M2178">
        <f t="shared" si="79"/>
        <v>2023</v>
      </c>
    </row>
    <row r="2179" spans="1:13" x14ac:dyDescent="0.2">
      <c r="A2179" s="1">
        <f t="shared" si="80"/>
        <v>45208</v>
      </c>
      <c r="B2179">
        <f t="shared" si="83"/>
        <v>41</v>
      </c>
      <c r="C2179">
        <f t="shared" si="81"/>
        <v>10</v>
      </c>
      <c r="D2179">
        <f t="shared" si="82"/>
        <v>4</v>
      </c>
      <c r="E2179" t="s">
        <v>39</v>
      </c>
      <c r="F2179">
        <v>0</v>
      </c>
      <c r="G2179">
        <f>INDEX(weekly!$E$2:$E$188,MATCH('Marketing Campaigns 22.11.22'!L2179,weekly!$H$2:$H$188,0))</f>
        <v>7787.9462013062193</v>
      </c>
      <c r="H2179">
        <f>INDEX(weekly!$D$2:$D$188,MATCH('Marketing Campaigns 22.11.22'!L2179,weekly!$H$2:$H$188,0))</f>
        <v>17133.882210848016</v>
      </c>
      <c r="I2179">
        <f>INDEX(weekly!$F$2:$F$188,MATCH('Marketing Campaigns 22.11.22'!L2179,weekly!$H$2:$H$188,0))</f>
        <v>4017.2661445876588</v>
      </c>
      <c r="J2179">
        <v>0</v>
      </c>
      <c r="K2179">
        <v>0</v>
      </c>
      <c r="L2179" t="str">
        <f t="shared" si="78"/>
        <v>41-10-2023</v>
      </c>
      <c r="M2179">
        <f t="shared" si="79"/>
        <v>2023</v>
      </c>
    </row>
    <row r="2180" spans="1:13" x14ac:dyDescent="0.2">
      <c r="A2180" s="1">
        <f t="shared" si="80"/>
        <v>45208</v>
      </c>
      <c r="B2180">
        <f t="shared" si="83"/>
        <v>41</v>
      </c>
      <c r="C2180">
        <f t="shared" si="81"/>
        <v>10</v>
      </c>
      <c r="D2180">
        <f t="shared" si="82"/>
        <v>4</v>
      </c>
      <c r="E2180" t="s">
        <v>40</v>
      </c>
      <c r="F2180">
        <v>0</v>
      </c>
      <c r="G2180">
        <f>INDEX(weekly!$E$2:$E$188,MATCH('Marketing Campaigns 22.11.22'!L2180,weekly!$H$2:$H$188,0))</f>
        <v>7787.9462013062193</v>
      </c>
      <c r="H2180">
        <f>INDEX(weekly!$D$2:$D$188,MATCH('Marketing Campaigns 22.11.22'!L2180,weekly!$H$2:$H$188,0))</f>
        <v>17133.882210848016</v>
      </c>
      <c r="I2180">
        <f>INDEX(weekly!$F$2:$F$188,MATCH('Marketing Campaigns 22.11.22'!L2180,weekly!$H$2:$H$188,0))</f>
        <v>4017.2661445876588</v>
      </c>
      <c r="J2180">
        <v>0</v>
      </c>
      <c r="K2180">
        <v>0</v>
      </c>
      <c r="L2180" t="str">
        <f t="shared" ref="L2180:L2243" si="84">B2180&amp;"-"&amp;C2180&amp;"-"&amp;M2180</f>
        <v>41-10-2023</v>
      </c>
      <c r="M2180">
        <f t="shared" ref="M2180:M2243" si="85">YEAR(A2180)</f>
        <v>2023</v>
      </c>
    </row>
    <row r="2181" spans="1:13" x14ac:dyDescent="0.2">
      <c r="A2181" s="1">
        <f t="shared" si="80"/>
        <v>45208</v>
      </c>
      <c r="B2181">
        <f t="shared" si="83"/>
        <v>41</v>
      </c>
      <c r="C2181">
        <f t="shared" si="81"/>
        <v>10</v>
      </c>
      <c r="D2181">
        <f t="shared" si="82"/>
        <v>4</v>
      </c>
      <c r="E2181" t="s">
        <v>41</v>
      </c>
      <c r="F2181">
        <v>0</v>
      </c>
      <c r="G2181">
        <f>INDEX(weekly!$E$2:$E$188,MATCH('Marketing Campaigns 22.11.22'!L2181,weekly!$H$2:$H$188,0))</f>
        <v>7787.9462013062193</v>
      </c>
      <c r="H2181">
        <f>INDEX(weekly!$D$2:$D$188,MATCH('Marketing Campaigns 22.11.22'!L2181,weekly!$H$2:$H$188,0))</f>
        <v>17133.882210848016</v>
      </c>
      <c r="I2181">
        <f>INDEX(weekly!$F$2:$F$188,MATCH('Marketing Campaigns 22.11.22'!L2181,weekly!$H$2:$H$188,0))</f>
        <v>4017.2661445876588</v>
      </c>
      <c r="J2181">
        <v>0</v>
      </c>
      <c r="K2181">
        <v>0</v>
      </c>
      <c r="L2181" t="str">
        <f t="shared" si="84"/>
        <v>41-10-2023</v>
      </c>
      <c r="M2181">
        <f t="shared" si="85"/>
        <v>2023</v>
      </c>
    </row>
    <row r="2182" spans="1:13" x14ac:dyDescent="0.2">
      <c r="A2182" s="1">
        <f t="shared" si="80"/>
        <v>45208</v>
      </c>
      <c r="B2182">
        <f t="shared" si="83"/>
        <v>41</v>
      </c>
      <c r="C2182">
        <f t="shared" si="81"/>
        <v>10</v>
      </c>
      <c r="D2182">
        <f t="shared" si="82"/>
        <v>4</v>
      </c>
      <c r="E2182" t="s">
        <v>42</v>
      </c>
      <c r="F2182">
        <v>0</v>
      </c>
      <c r="G2182">
        <f>INDEX(weekly!$E$2:$E$188,MATCH('Marketing Campaigns 22.11.22'!L2182,weekly!$H$2:$H$188,0))</f>
        <v>7787.9462013062193</v>
      </c>
      <c r="H2182">
        <f>INDEX(weekly!$D$2:$D$188,MATCH('Marketing Campaigns 22.11.22'!L2182,weekly!$H$2:$H$188,0))</f>
        <v>17133.882210848016</v>
      </c>
      <c r="I2182">
        <f>INDEX(weekly!$F$2:$F$188,MATCH('Marketing Campaigns 22.11.22'!L2182,weekly!$H$2:$H$188,0))</f>
        <v>4017.2661445876588</v>
      </c>
      <c r="J2182">
        <v>0</v>
      </c>
      <c r="K2182">
        <v>0</v>
      </c>
      <c r="L2182" t="str">
        <f t="shared" si="84"/>
        <v>41-10-2023</v>
      </c>
      <c r="M2182">
        <f t="shared" si="85"/>
        <v>2023</v>
      </c>
    </row>
    <row r="2183" spans="1:13" x14ac:dyDescent="0.2">
      <c r="A2183" s="1">
        <f t="shared" si="80"/>
        <v>45208</v>
      </c>
      <c r="B2183">
        <f t="shared" si="83"/>
        <v>41</v>
      </c>
      <c r="C2183">
        <f t="shared" si="81"/>
        <v>10</v>
      </c>
      <c r="D2183">
        <f t="shared" si="82"/>
        <v>4</v>
      </c>
      <c r="E2183" t="s">
        <v>43</v>
      </c>
      <c r="F2183">
        <v>0</v>
      </c>
      <c r="G2183">
        <f>INDEX(weekly!$E$2:$E$188,MATCH('Marketing Campaigns 22.11.22'!L2183,weekly!$H$2:$H$188,0))</f>
        <v>7787.9462013062193</v>
      </c>
      <c r="H2183">
        <f>INDEX(weekly!$D$2:$D$188,MATCH('Marketing Campaigns 22.11.22'!L2183,weekly!$H$2:$H$188,0))</f>
        <v>17133.882210848016</v>
      </c>
      <c r="I2183">
        <f>INDEX(weekly!$F$2:$F$188,MATCH('Marketing Campaigns 22.11.22'!L2183,weekly!$H$2:$H$188,0))</f>
        <v>4017.2661445876588</v>
      </c>
      <c r="J2183">
        <v>0</v>
      </c>
      <c r="K2183">
        <v>0</v>
      </c>
      <c r="L2183" t="str">
        <f t="shared" si="84"/>
        <v>41-10-2023</v>
      </c>
      <c r="M2183">
        <f t="shared" si="85"/>
        <v>2023</v>
      </c>
    </row>
    <row r="2184" spans="1:13" x14ac:dyDescent="0.2">
      <c r="A2184" s="1">
        <f t="shared" si="80"/>
        <v>45208</v>
      </c>
      <c r="B2184">
        <f t="shared" si="83"/>
        <v>41</v>
      </c>
      <c r="C2184">
        <f t="shared" si="81"/>
        <v>10</v>
      </c>
      <c r="D2184">
        <f t="shared" si="82"/>
        <v>4</v>
      </c>
      <c r="E2184" t="s">
        <v>44</v>
      </c>
      <c r="F2184">
        <v>0</v>
      </c>
      <c r="G2184">
        <f>INDEX(weekly!$E$2:$E$188,MATCH('Marketing Campaigns 22.11.22'!L2184,weekly!$H$2:$H$188,0))</f>
        <v>7787.9462013062193</v>
      </c>
      <c r="H2184">
        <f>INDEX(weekly!$D$2:$D$188,MATCH('Marketing Campaigns 22.11.22'!L2184,weekly!$H$2:$H$188,0))</f>
        <v>17133.882210848016</v>
      </c>
      <c r="I2184">
        <f>INDEX(weekly!$F$2:$F$188,MATCH('Marketing Campaigns 22.11.22'!L2184,weekly!$H$2:$H$188,0))</f>
        <v>4017.2661445876588</v>
      </c>
      <c r="J2184">
        <v>0</v>
      </c>
      <c r="K2184">
        <v>0</v>
      </c>
      <c r="L2184" t="str">
        <f t="shared" si="84"/>
        <v>41-10-2023</v>
      </c>
      <c r="M2184">
        <f t="shared" si="85"/>
        <v>2023</v>
      </c>
    </row>
    <row r="2185" spans="1:13" x14ac:dyDescent="0.2">
      <c r="A2185" s="1">
        <f t="shared" si="80"/>
        <v>45208</v>
      </c>
      <c r="B2185">
        <f t="shared" si="83"/>
        <v>41</v>
      </c>
      <c r="C2185">
        <f t="shared" si="81"/>
        <v>10</v>
      </c>
      <c r="D2185">
        <f t="shared" si="82"/>
        <v>4</v>
      </c>
      <c r="E2185" t="s">
        <v>45</v>
      </c>
      <c r="F2185">
        <v>0</v>
      </c>
      <c r="G2185">
        <f>INDEX(weekly!$E$2:$E$188,MATCH('Marketing Campaigns 22.11.22'!L2185,weekly!$H$2:$H$188,0))</f>
        <v>7787.9462013062193</v>
      </c>
      <c r="H2185">
        <f>INDEX(weekly!$D$2:$D$188,MATCH('Marketing Campaigns 22.11.22'!L2185,weekly!$H$2:$H$188,0))</f>
        <v>17133.882210848016</v>
      </c>
      <c r="I2185">
        <f>INDEX(weekly!$F$2:$F$188,MATCH('Marketing Campaigns 22.11.22'!L2185,weekly!$H$2:$H$188,0))</f>
        <v>4017.2661445876588</v>
      </c>
      <c r="J2185">
        <v>0</v>
      </c>
      <c r="K2185">
        <v>0</v>
      </c>
      <c r="L2185" t="str">
        <f t="shared" si="84"/>
        <v>41-10-2023</v>
      </c>
      <c r="M2185">
        <f t="shared" si="85"/>
        <v>2023</v>
      </c>
    </row>
    <row r="2186" spans="1:13" x14ac:dyDescent="0.2">
      <c r="A2186" s="1">
        <f t="shared" si="80"/>
        <v>45208</v>
      </c>
      <c r="B2186">
        <f t="shared" si="83"/>
        <v>41</v>
      </c>
      <c r="C2186">
        <f t="shared" si="81"/>
        <v>10</v>
      </c>
      <c r="D2186">
        <f t="shared" si="82"/>
        <v>4</v>
      </c>
      <c r="E2186" t="s">
        <v>46</v>
      </c>
      <c r="F2186">
        <v>0</v>
      </c>
      <c r="G2186">
        <f>INDEX(weekly!$E$2:$E$188,MATCH('Marketing Campaigns 22.11.22'!L2186,weekly!$H$2:$H$188,0))</f>
        <v>7787.9462013062193</v>
      </c>
      <c r="H2186">
        <f>INDEX(weekly!$D$2:$D$188,MATCH('Marketing Campaigns 22.11.22'!L2186,weekly!$H$2:$H$188,0))</f>
        <v>17133.882210848016</v>
      </c>
      <c r="I2186">
        <f>INDEX(weekly!$F$2:$F$188,MATCH('Marketing Campaigns 22.11.22'!L2186,weekly!$H$2:$H$188,0))</f>
        <v>4017.2661445876588</v>
      </c>
      <c r="J2186">
        <v>0</v>
      </c>
      <c r="K2186">
        <v>0</v>
      </c>
      <c r="L2186" t="str">
        <f t="shared" si="84"/>
        <v>41-10-2023</v>
      </c>
      <c r="M2186">
        <f t="shared" si="85"/>
        <v>2023</v>
      </c>
    </row>
    <row r="2187" spans="1:13" x14ac:dyDescent="0.2">
      <c r="A2187" s="1">
        <f t="shared" si="80"/>
        <v>45208</v>
      </c>
      <c r="B2187">
        <f t="shared" si="83"/>
        <v>41</v>
      </c>
      <c r="C2187">
        <f t="shared" si="81"/>
        <v>10</v>
      </c>
      <c r="D2187">
        <f t="shared" si="82"/>
        <v>4</v>
      </c>
      <c r="E2187" t="s">
        <v>47</v>
      </c>
      <c r="F2187">
        <v>0</v>
      </c>
      <c r="G2187">
        <f>INDEX(weekly!$E$2:$E$188,MATCH('Marketing Campaigns 22.11.22'!L2187,weekly!$H$2:$H$188,0))</f>
        <v>7787.9462013062193</v>
      </c>
      <c r="H2187">
        <f>INDEX(weekly!$D$2:$D$188,MATCH('Marketing Campaigns 22.11.22'!L2187,weekly!$H$2:$H$188,0))</f>
        <v>17133.882210848016</v>
      </c>
      <c r="I2187">
        <f>INDEX(weekly!$F$2:$F$188,MATCH('Marketing Campaigns 22.11.22'!L2187,weekly!$H$2:$H$188,0))</f>
        <v>4017.2661445876588</v>
      </c>
      <c r="J2187">
        <v>0</v>
      </c>
      <c r="K2187">
        <v>0</v>
      </c>
      <c r="L2187" t="str">
        <f t="shared" si="84"/>
        <v>41-10-2023</v>
      </c>
      <c r="M2187">
        <f t="shared" si="85"/>
        <v>2023</v>
      </c>
    </row>
    <row r="2188" spans="1:13" x14ac:dyDescent="0.2">
      <c r="A2188" s="1">
        <f t="shared" si="80"/>
        <v>45208</v>
      </c>
      <c r="B2188">
        <f t="shared" si="83"/>
        <v>41</v>
      </c>
      <c r="C2188">
        <f t="shared" si="81"/>
        <v>10</v>
      </c>
      <c r="D2188">
        <f t="shared" si="82"/>
        <v>4</v>
      </c>
      <c r="E2188" t="s">
        <v>48</v>
      </c>
      <c r="F2188">
        <v>0</v>
      </c>
      <c r="G2188">
        <f>INDEX(weekly!$E$2:$E$188,MATCH('Marketing Campaigns 22.11.22'!L2188,weekly!$H$2:$H$188,0))</f>
        <v>7787.9462013062193</v>
      </c>
      <c r="H2188">
        <f>INDEX(weekly!$D$2:$D$188,MATCH('Marketing Campaigns 22.11.22'!L2188,weekly!$H$2:$H$188,0))</f>
        <v>17133.882210848016</v>
      </c>
      <c r="I2188">
        <f>INDEX(weekly!$F$2:$F$188,MATCH('Marketing Campaigns 22.11.22'!L2188,weekly!$H$2:$H$188,0))</f>
        <v>4017.2661445876588</v>
      </c>
      <c r="J2188">
        <v>0</v>
      </c>
      <c r="K2188">
        <v>0</v>
      </c>
      <c r="L2188" t="str">
        <f t="shared" si="84"/>
        <v>41-10-2023</v>
      </c>
      <c r="M2188">
        <f t="shared" si="85"/>
        <v>2023</v>
      </c>
    </row>
    <row r="2189" spans="1:13" x14ac:dyDescent="0.2">
      <c r="A2189" s="1">
        <f t="shared" si="80"/>
        <v>45208</v>
      </c>
      <c r="B2189">
        <f t="shared" si="83"/>
        <v>41</v>
      </c>
      <c r="C2189">
        <f t="shared" si="81"/>
        <v>10</v>
      </c>
      <c r="D2189">
        <f t="shared" si="82"/>
        <v>4</v>
      </c>
      <c r="E2189" t="s">
        <v>49</v>
      </c>
      <c r="F2189">
        <v>0</v>
      </c>
      <c r="G2189">
        <f>INDEX(weekly!$E$2:$E$188,MATCH('Marketing Campaigns 22.11.22'!L2189,weekly!$H$2:$H$188,0))</f>
        <v>7787.9462013062193</v>
      </c>
      <c r="H2189">
        <f>INDEX(weekly!$D$2:$D$188,MATCH('Marketing Campaigns 22.11.22'!L2189,weekly!$H$2:$H$188,0))</f>
        <v>17133.882210848016</v>
      </c>
      <c r="I2189">
        <f>INDEX(weekly!$F$2:$F$188,MATCH('Marketing Campaigns 22.11.22'!L2189,weekly!$H$2:$H$188,0))</f>
        <v>4017.2661445876588</v>
      </c>
      <c r="J2189">
        <v>0</v>
      </c>
      <c r="K2189">
        <v>0</v>
      </c>
      <c r="L2189" t="str">
        <f t="shared" si="84"/>
        <v>41-10-2023</v>
      </c>
      <c r="M2189">
        <f t="shared" si="85"/>
        <v>2023</v>
      </c>
    </row>
    <row r="2190" spans="1:13" x14ac:dyDescent="0.2">
      <c r="A2190" s="1">
        <f t="shared" si="80"/>
        <v>45208</v>
      </c>
      <c r="B2190">
        <f t="shared" si="83"/>
        <v>41</v>
      </c>
      <c r="C2190">
        <f t="shared" si="81"/>
        <v>10</v>
      </c>
      <c r="D2190">
        <f t="shared" si="82"/>
        <v>4</v>
      </c>
      <c r="E2190" t="s">
        <v>50</v>
      </c>
      <c r="F2190">
        <v>0</v>
      </c>
      <c r="G2190">
        <f>INDEX(weekly!$E$2:$E$188,MATCH('Marketing Campaigns 22.11.22'!L2190,weekly!$H$2:$H$188,0))</f>
        <v>7787.9462013062193</v>
      </c>
      <c r="H2190">
        <f>INDEX(weekly!$D$2:$D$188,MATCH('Marketing Campaigns 22.11.22'!L2190,weekly!$H$2:$H$188,0))</f>
        <v>17133.882210848016</v>
      </c>
      <c r="I2190">
        <f>INDEX(weekly!$F$2:$F$188,MATCH('Marketing Campaigns 22.11.22'!L2190,weekly!$H$2:$H$188,0))</f>
        <v>4017.2661445876588</v>
      </c>
      <c r="J2190">
        <v>0</v>
      </c>
      <c r="K2190">
        <v>0</v>
      </c>
      <c r="L2190" t="str">
        <f t="shared" si="84"/>
        <v>41-10-2023</v>
      </c>
      <c r="M2190">
        <f t="shared" si="85"/>
        <v>2023</v>
      </c>
    </row>
    <row r="2191" spans="1:13" x14ac:dyDescent="0.2">
      <c r="A2191" s="1">
        <f t="shared" si="80"/>
        <v>45208</v>
      </c>
      <c r="B2191">
        <f t="shared" si="83"/>
        <v>41</v>
      </c>
      <c r="C2191">
        <f t="shared" si="81"/>
        <v>10</v>
      </c>
      <c r="D2191">
        <f t="shared" si="82"/>
        <v>4</v>
      </c>
      <c r="E2191" t="s">
        <v>51</v>
      </c>
      <c r="F2191">
        <v>0</v>
      </c>
      <c r="G2191">
        <f>INDEX(weekly!$E$2:$E$188,MATCH('Marketing Campaigns 22.11.22'!L2191,weekly!$H$2:$H$188,0))</f>
        <v>7787.9462013062193</v>
      </c>
      <c r="H2191">
        <f>INDEX(weekly!$D$2:$D$188,MATCH('Marketing Campaigns 22.11.22'!L2191,weekly!$H$2:$H$188,0))</f>
        <v>17133.882210848016</v>
      </c>
      <c r="I2191">
        <f>INDEX(weekly!$F$2:$F$188,MATCH('Marketing Campaigns 22.11.22'!L2191,weekly!$H$2:$H$188,0))</f>
        <v>4017.2661445876588</v>
      </c>
      <c r="J2191">
        <v>0</v>
      </c>
      <c r="K2191">
        <v>0</v>
      </c>
      <c r="L2191" t="str">
        <f t="shared" si="84"/>
        <v>41-10-2023</v>
      </c>
      <c r="M2191">
        <f t="shared" si="85"/>
        <v>2023</v>
      </c>
    </row>
    <row r="2192" spans="1:13" x14ac:dyDescent="0.2">
      <c r="A2192" s="1">
        <f t="shared" si="80"/>
        <v>45208</v>
      </c>
      <c r="B2192">
        <f t="shared" si="83"/>
        <v>41</v>
      </c>
      <c r="C2192">
        <f t="shared" si="81"/>
        <v>10</v>
      </c>
      <c r="D2192">
        <f t="shared" si="82"/>
        <v>4</v>
      </c>
      <c r="E2192" t="s">
        <v>52</v>
      </c>
      <c r="F2192">
        <v>0</v>
      </c>
      <c r="G2192">
        <f>INDEX(weekly!$E$2:$E$188,MATCH('Marketing Campaigns 22.11.22'!L2192,weekly!$H$2:$H$188,0))</f>
        <v>7787.9462013062193</v>
      </c>
      <c r="H2192">
        <f>INDEX(weekly!$D$2:$D$188,MATCH('Marketing Campaigns 22.11.22'!L2192,weekly!$H$2:$H$188,0))</f>
        <v>17133.882210848016</v>
      </c>
      <c r="I2192">
        <f>INDEX(weekly!$F$2:$F$188,MATCH('Marketing Campaigns 22.11.22'!L2192,weekly!$H$2:$H$188,0))</f>
        <v>4017.2661445876588</v>
      </c>
      <c r="J2192">
        <v>0</v>
      </c>
      <c r="K2192">
        <v>0</v>
      </c>
      <c r="L2192" t="str">
        <f t="shared" si="84"/>
        <v>41-10-2023</v>
      </c>
      <c r="M2192">
        <f t="shared" si="85"/>
        <v>2023</v>
      </c>
    </row>
    <row r="2193" spans="1:13" x14ac:dyDescent="0.2">
      <c r="A2193" s="1">
        <f t="shared" si="80"/>
        <v>45215</v>
      </c>
      <c r="B2193">
        <f>IF(E2193="None",B2192+1,B2192)</f>
        <v>42</v>
      </c>
      <c r="C2193">
        <f t="shared" si="81"/>
        <v>10</v>
      </c>
      <c r="D2193">
        <f t="shared" si="82"/>
        <v>4</v>
      </c>
      <c r="E2193" t="s">
        <v>24</v>
      </c>
      <c r="F2193">
        <v>0</v>
      </c>
      <c r="G2193">
        <f>INDEX(weekly!$E$2:$E$188,MATCH('Marketing Campaigns 22.11.22'!L2193,weekly!$H$2:$H$188,0))</f>
        <v>7787.9462013062193</v>
      </c>
      <c r="H2193">
        <f>INDEX(weekly!$D$2:$D$188,MATCH('Marketing Campaigns 22.11.22'!L2193,weekly!$H$2:$H$188,0))</f>
        <v>17133.882210848016</v>
      </c>
      <c r="I2193">
        <f>INDEX(weekly!$F$2:$F$188,MATCH('Marketing Campaigns 22.11.22'!L2193,weekly!$H$2:$H$188,0))</f>
        <v>4017.2661445876588</v>
      </c>
      <c r="J2193">
        <v>0</v>
      </c>
      <c r="K2193">
        <v>0</v>
      </c>
      <c r="L2193" t="str">
        <f t="shared" si="84"/>
        <v>42-10-2023</v>
      </c>
      <c r="M2193">
        <f t="shared" si="85"/>
        <v>2023</v>
      </c>
    </row>
    <row r="2194" spans="1:13" x14ac:dyDescent="0.2">
      <c r="A2194" s="1">
        <f t="shared" si="80"/>
        <v>45215</v>
      </c>
      <c r="B2194">
        <f t="shared" si="83"/>
        <v>42</v>
      </c>
      <c r="C2194">
        <f t="shared" si="81"/>
        <v>10</v>
      </c>
      <c r="D2194">
        <f t="shared" si="82"/>
        <v>4</v>
      </c>
      <c r="E2194" t="s">
        <v>39</v>
      </c>
      <c r="F2194">
        <v>0</v>
      </c>
      <c r="G2194">
        <f>INDEX(weekly!$E$2:$E$188,MATCH('Marketing Campaigns 22.11.22'!L2194,weekly!$H$2:$H$188,0))</f>
        <v>7787.9462013062193</v>
      </c>
      <c r="H2194">
        <f>INDEX(weekly!$D$2:$D$188,MATCH('Marketing Campaigns 22.11.22'!L2194,weekly!$H$2:$H$188,0))</f>
        <v>17133.882210848016</v>
      </c>
      <c r="I2194">
        <f>INDEX(weekly!$F$2:$F$188,MATCH('Marketing Campaigns 22.11.22'!L2194,weekly!$H$2:$H$188,0))</f>
        <v>4017.2661445876588</v>
      </c>
      <c r="J2194">
        <v>0</v>
      </c>
      <c r="K2194">
        <v>0</v>
      </c>
      <c r="L2194" t="str">
        <f t="shared" si="84"/>
        <v>42-10-2023</v>
      </c>
      <c r="M2194">
        <f t="shared" si="85"/>
        <v>2023</v>
      </c>
    </row>
    <row r="2195" spans="1:13" x14ac:dyDescent="0.2">
      <c r="A2195" s="1">
        <f t="shared" si="80"/>
        <v>45215</v>
      </c>
      <c r="B2195">
        <f t="shared" si="83"/>
        <v>42</v>
      </c>
      <c r="C2195">
        <f t="shared" si="81"/>
        <v>10</v>
      </c>
      <c r="D2195">
        <f t="shared" si="82"/>
        <v>4</v>
      </c>
      <c r="E2195" t="s">
        <v>40</v>
      </c>
      <c r="F2195">
        <v>0</v>
      </c>
      <c r="G2195">
        <f>INDEX(weekly!$E$2:$E$188,MATCH('Marketing Campaigns 22.11.22'!L2195,weekly!$H$2:$H$188,0))</f>
        <v>7787.9462013062193</v>
      </c>
      <c r="H2195">
        <f>INDEX(weekly!$D$2:$D$188,MATCH('Marketing Campaigns 22.11.22'!L2195,weekly!$H$2:$H$188,0))</f>
        <v>17133.882210848016</v>
      </c>
      <c r="I2195">
        <f>INDEX(weekly!$F$2:$F$188,MATCH('Marketing Campaigns 22.11.22'!L2195,weekly!$H$2:$H$188,0))</f>
        <v>4017.2661445876588</v>
      </c>
      <c r="J2195">
        <v>0</v>
      </c>
      <c r="K2195">
        <v>0</v>
      </c>
      <c r="L2195" t="str">
        <f t="shared" si="84"/>
        <v>42-10-2023</v>
      </c>
      <c r="M2195">
        <f t="shared" si="85"/>
        <v>2023</v>
      </c>
    </row>
    <row r="2196" spans="1:13" x14ac:dyDescent="0.2">
      <c r="A2196" s="1">
        <f t="shared" si="80"/>
        <v>45215</v>
      </c>
      <c r="B2196">
        <f t="shared" si="83"/>
        <v>42</v>
      </c>
      <c r="C2196">
        <f t="shared" si="81"/>
        <v>10</v>
      </c>
      <c r="D2196">
        <f t="shared" si="82"/>
        <v>4</v>
      </c>
      <c r="E2196" t="s">
        <v>41</v>
      </c>
      <c r="F2196">
        <v>0</v>
      </c>
      <c r="G2196">
        <f>INDEX(weekly!$E$2:$E$188,MATCH('Marketing Campaigns 22.11.22'!L2196,weekly!$H$2:$H$188,0))</f>
        <v>7787.9462013062193</v>
      </c>
      <c r="H2196">
        <f>INDEX(weekly!$D$2:$D$188,MATCH('Marketing Campaigns 22.11.22'!L2196,weekly!$H$2:$H$188,0))</f>
        <v>17133.882210848016</v>
      </c>
      <c r="I2196">
        <f>INDEX(weekly!$F$2:$F$188,MATCH('Marketing Campaigns 22.11.22'!L2196,weekly!$H$2:$H$188,0))</f>
        <v>4017.2661445876588</v>
      </c>
      <c r="J2196">
        <v>0</v>
      </c>
      <c r="K2196">
        <v>0</v>
      </c>
      <c r="L2196" t="str">
        <f t="shared" si="84"/>
        <v>42-10-2023</v>
      </c>
      <c r="M2196">
        <f t="shared" si="85"/>
        <v>2023</v>
      </c>
    </row>
    <row r="2197" spans="1:13" x14ac:dyDescent="0.2">
      <c r="A2197" s="1">
        <f t="shared" si="80"/>
        <v>45215</v>
      </c>
      <c r="B2197">
        <f t="shared" si="83"/>
        <v>42</v>
      </c>
      <c r="C2197">
        <f t="shared" si="81"/>
        <v>10</v>
      </c>
      <c r="D2197">
        <f t="shared" si="82"/>
        <v>4</v>
      </c>
      <c r="E2197" t="s">
        <v>42</v>
      </c>
      <c r="F2197">
        <v>0</v>
      </c>
      <c r="G2197">
        <f>INDEX(weekly!$E$2:$E$188,MATCH('Marketing Campaigns 22.11.22'!L2197,weekly!$H$2:$H$188,0))</f>
        <v>7787.9462013062193</v>
      </c>
      <c r="H2197">
        <f>INDEX(weekly!$D$2:$D$188,MATCH('Marketing Campaigns 22.11.22'!L2197,weekly!$H$2:$H$188,0))</f>
        <v>17133.882210848016</v>
      </c>
      <c r="I2197">
        <f>INDEX(weekly!$F$2:$F$188,MATCH('Marketing Campaigns 22.11.22'!L2197,weekly!$H$2:$H$188,0))</f>
        <v>4017.2661445876588</v>
      </c>
      <c r="J2197">
        <v>0</v>
      </c>
      <c r="K2197">
        <v>0</v>
      </c>
      <c r="L2197" t="str">
        <f t="shared" si="84"/>
        <v>42-10-2023</v>
      </c>
      <c r="M2197">
        <f t="shared" si="85"/>
        <v>2023</v>
      </c>
    </row>
    <row r="2198" spans="1:13" x14ac:dyDescent="0.2">
      <c r="A2198" s="1">
        <f t="shared" si="80"/>
        <v>45215</v>
      </c>
      <c r="B2198">
        <f t="shared" si="83"/>
        <v>42</v>
      </c>
      <c r="C2198">
        <f t="shared" si="81"/>
        <v>10</v>
      </c>
      <c r="D2198">
        <f t="shared" si="82"/>
        <v>4</v>
      </c>
      <c r="E2198" t="s">
        <v>43</v>
      </c>
      <c r="F2198">
        <v>0</v>
      </c>
      <c r="G2198">
        <f>INDEX(weekly!$E$2:$E$188,MATCH('Marketing Campaigns 22.11.22'!L2198,weekly!$H$2:$H$188,0))</f>
        <v>7787.9462013062193</v>
      </c>
      <c r="H2198">
        <f>INDEX(weekly!$D$2:$D$188,MATCH('Marketing Campaigns 22.11.22'!L2198,weekly!$H$2:$H$188,0))</f>
        <v>17133.882210848016</v>
      </c>
      <c r="I2198">
        <f>INDEX(weekly!$F$2:$F$188,MATCH('Marketing Campaigns 22.11.22'!L2198,weekly!$H$2:$H$188,0))</f>
        <v>4017.2661445876588</v>
      </c>
      <c r="J2198">
        <v>0</v>
      </c>
      <c r="K2198">
        <v>0</v>
      </c>
      <c r="L2198" t="str">
        <f t="shared" si="84"/>
        <v>42-10-2023</v>
      </c>
      <c r="M2198">
        <f t="shared" si="85"/>
        <v>2023</v>
      </c>
    </row>
    <row r="2199" spans="1:13" x14ac:dyDescent="0.2">
      <c r="A2199" s="1">
        <f t="shared" si="80"/>
        <v>45215</v>
      </c>
      <c r="B2199">
        <f t="shared" si="83"/>
        <v>42</v>
      </c>
      <c r="C2199">
        <f t="shared" si="81"/>
        <v>10</v>
      </c>
      <c r="D2199">
        <f t="shared" si="82"/>
        <v>4</v>
      </c>
      <c r="E2199" t="s">
        <v>44</v>
      </c>
      <c r="F2199">
        <v>0</v>
      </c>
      <c r="G2199">
        <f>INDEX(weekly!$E$2:$E$188,MATCH('Marketing Campaigns 22.11.22'!L2199,weekly!$H$2:$H$188,0))</f>
        <v>7787.9462013062193</v>
      </c>
      <c r="H2199">
        <f>INDEX(weekly!$D$2:$D$188,MATCH('Marketing Campaigns 22.11.22'!L2199,weekly!$H$2:$H$188,0))</f>
        <v>17133.882210848016</v>
      </c>
      <c r="I2199">
        <f>INDEX(weekly!$F$2:$F$188,MATCH('Marketing Campaigns 22.11.22'!L2199,weekly!$H$2:$H$188,0))</f>
        <v>4017.2661445876588</v>
      </c>
      <c r="J2199">
        <v>0</v>
      </c>
      <c r="K2199">
        <v>0</v>
      </c>
      <c r="L2199" t="str">
        <f t="shared" si="84"/>
        <v>42-10-2023</v>
      </c>
      <c r="M2199">
        <f t="shared" si="85"/>
        <v>2023</v>
      </c>
    </row>
    <row r="2200" spans="1:13" x14ac:dyDescent="0.2">
      <c r="A2200" s="1">
        <f t="shared" si="80"/>
        <v>45215</v>
      </c>
      <c r="B2200">
        <f t="shared" si="83"/>
        <v>42</v>
      </c>
      <c r="C2200">
        <f t="shared" si="81"/>
        <v>10</v>
      </c>
      <c r="D2200">
        <f t="shared" si="82"/>
        <v>4</v>
      </c>
      <c r="E2200" t="s">
        <v>45</v>
      </c>
      <c r="F2200">
        <v>0</v>
      </c>
      <c r="G2200">
        <f>INDEX(weekly!$E$2:$E$188,MATCH('Marketing Campaigns 22.11.22'!L2200,weekly!$H$2:$H$188,0))</f>
        <v>7787.9462013062193</v>
      </c>
      <c r="H2200">
        <f>INDEX(weekly!$D$2:$D$188,MATCH('Marketing Campaigns 22.11.22'!L2200,weekly!$H$2:$H$188,0))</f>
        <v>17133.882210848016</v>
      </c>
      <c r="I2200">
        <f>INDEX(weekly!$F$2:$F$188,MATCH('Marketing Campaigns 22.11.22'!L2200,weekly!$H$2:$H$188,0))</f>
        <v>4017.2661445876588</v>
      </c>
      <c r="J2200">
        <v>0</v>
      </c>
      <c r="K2200">
        <v>0</v>
      </c>
      <c r="L2200" t="str">
        <f t="shared" si="84"/>
        <v>42-10-2023</v>
      </c>
      <c r="M2200">
        <f t="shared" si="85"/>
        <v>2023</v>
      </c>
    </row>
    <row r="2201" spans="1:13" x14ac:dyDescent="0.2">
      <c r="A2201" s="1">
        <f t="shared" si="80"/>
        <v>45215</v>
      </c>
      <c r="B2201">
        <f t="shared" si="83"/>
        <v>42</v>
      </c>
      <c r="C2201">
        <f t="shared" si="81"/>
        <v>10</v>
      </c>
      <c r="D2201">
        <f t="shared" si="82"/>
        <v>4</v>
      </c>
      <c r="E2201" t="s">
        <v>46</v>
      </c>
      <c r="F2201">
        <v>0</v>
      </c>
      <c r="G2201">
        <f>INDEX(weekly!$E$2:$E$188,MATCH('Marketing Campaigns 22.11.22'!L2201,weekly!$H$2:$H$188,0))</f>
        <v>7787.9462013062193</v>
      </c>
      <c r="H2201">
        <f>INDEX(weekly!$D$2:$D$188,MATCH('Marketing Campaigns 22.11.22'!L2201,weekly!$H$2:$H$188,0))</f>
        <v>17133.882210848016</v>
      </c>
      <c r="I2201">
        <f>INDEX(weekly!$F$2:$F$188,MATCH('Marketing Campaigns 22.11.22'!L2201,weekly!$H$2:$H$188,0))</f>
        <v>4017.2661445876588</v>
      </c>
      <c r="J2201">
        <v>0</v>
      </c>
      <c r="K2201">
        <v>0</v>
      </c>
      <c r="L2201" t="str">
        <f t="shared" si="84"/>
        <v>42-10-2023</v>
      </c>
      <c r="M2201">
        <f t="shared" si="85"/>
        <v>2023</v>
      </c>
    </row>
    <row r="2202" spans="1:13" x14ac:dyDescent="0.2">
      <c r="A2202" s="1">
        <f t="shared" si="80"/>
        <v>45215</v>
      </c>
      <c r="B2202">
        <f t="shared" si="83"/>
        <v>42</v>
      </c>
      <c r="C2202">
        <f t="shared" si="81"/>
        <v>10</v>
      </c>
      <c r="D2202">
        <f t="shared" si="82"/>
        <v>4</v>
      </c>
      <c r="E2202" t="s">
        <v>47</v>
      </c>
      <c r="F2202">
        <v>0</v>
      </c>
      <c r="G2202">
        <f>INDEX(weekly!$E$2:$E$188,MATCH('Marketing Campaigns 22.11.22'!L2202,weekly!$H$2:$H$188,0))</f>
        <v>7787.9462013062193</v>
      </c>
      <c r="H2202">
        <f>INDEX(weekly!$D$2:$D$188,MATCH('Marketing Campaigns 22.11.22'!L2202,weekly!$H$2:$H$188,0))</f>
        <v>17133.882210848016</v>
      </c>
      <c r="I2202">
        <f>INDEX(weekly!$F$2:$F$188,MATCH('Marketing Campaigns 22.11.22'!L2202,weekly!$H$2:$H$188,0))</f>
        <v>4017.2661445876588</v>
      </c>
      <c r="J2202">
        <v>0</v>
      </c>
      <c r="K2202">
        <v>0</v>
      </c>
      <c r="L2202" t="str">
        <f t="shared" si="84"/>
        <v>42-10-2023</v>
      </c>
      <c r="M2202">
        <f t="shared" si="85"/>
        <v>2023</v>
      </c>
    </row>
    <row r="2203" spans="1:13" x14ac:dyDescent="0.2">
      <c r="A2203" s="1">
        <f t="shared" si="80"/>
        <v>45215</v>
      </c>
      <c r="B2203">
        <f t="shared" si="83"/>
        <v>42</v>
      </c>
      <c r="C2203">
        <f t="shared" si="81"/>
        <v>10</v>
      </c>
      <c r="D2203">
        <f t="shared" si="82"/>
        <v>4</v>
      </c>
      <c r="E2203" t="s">
        <v>48</v>
      </c>
      <c r="F2203">
        <v>0</v>
      </c>
      <c r="G2203">
        <f>INDEX(weekly!$E$2:$E$188,MATCH('Marketing Campaigns 22.11.22'!L2203,weekly!$H$2:$H$188,0))</f>
        <v>7787.9462013062193</v>
      </c>
      <c r="H2203">
        <f>INDEX(weekly!$D$2:$D$188,MATCH('Marketing Campaigns 22.11.22'!L2203,weekly!$H$2:$H$188,0))</f>
        <v>17133.882210848016</v>
      </c>
      <c r="I2203">
        <f>INDEX(weekly!$F$2:$F$188,MATCH('Marketing Campaigns 22.11.22'!L2203,weekly!$H$2:$H$188,0))</f>
        <v>4017.2661445876588</v>
      </c>
      <c r="J2203">
        <v>0</v>
      </c>
      <c r="K2203">
        <v>0</v>
      </c>
      <c r="L2203" t="str">
        <f t="shared" si="84"/>
        <v>42-10-2023</v>
      </c>
      <c r="M2203">
        <f t="shared" si="85"/>
        <v>2023</v>
      </c>
    </row>
    <row r="2204" spans="1:13" x14ac:dyDescent="0.2">
      <c r="A2204" s="1">
        <f t="shared" si="80"/>
        <v>45215</v>
      </c>
      <c r="B2204">
        <f t="shared" si="83"/>
        <v>42</v>
      </c>
      <c r="C2204">
        <f t="shared" si="81"/>
        <v>10</v>
      </c>
      <c r="D2204">
        <f t="shared" si="82"/>
        <v>4</v>
      </c>
      <c r="E2204" t="s">
        <v>49</v>
      </c>
      <c r="F2204">
        <v>0</v>
      </c>
      <c r="G2204">
        <f>INDEX(weekly!$E$2:$E$188,MATCH('Marketing Campaigns 22.11.22'!L2204,weekly!$H$2:$H$188,0))</f>
        <v>7787.9462013062193</v>
      </c>
      <c r="H2204">
        <f>INDEX(weekly!$D$2:$D$188,MATCH('Marketing Campaigns 22.11.22'!L2204,weekly!$H$2:$H$188,0))</f>
        <v>17133.882210848016</v>
      </c>
      <c r="I2204">
        <f>INDEX(weekly!$F$2:$F$188,MATCH('Marketing Campaigns 22.11.22'!L2204,weekly!$H$2:$H$188,0))</f>
        <v>4017.2661445876588</v>
      </c>
      <c r="J2204">
        <v>0</v>
      </c>
      <c r="K2204">
        <v>0</v>
      </c>
      <c r="L2204" t="str">
        <f t="shared" si="84"/>
        <v>42-10-2023</v>
      </c>
      <c r="M2204">
        <f t="shared" si="85"/>
        <v>2023</v>
      </c>
    </row>
    <row r="2205" spans="1:13" x14ac:dyDescent="0.2">
      <c r="A2205" s="1">
        <f t="shared" si="80"/>
        <v>45215</v>
      </c>
      <c r="B2205">
        <f t="shared" si="83"/>
        <v>42</v>
      </c>
      <c r="C2205">
        <f t="shared" si="81"/>
        <v>10</v>
      </c>
      <c r="D2205">
        <f t="shared" si="82"/>
        <v>4</v>
      </c>
      <c r="E2205" t="s">
        <v>50</v>
      </c>
      <c r="F2205">
        <v>0</v>
      </c>
      <c r="G2205">
        <f>INDEX(weekly!$E$2:$E$188,MATCH('Marketing Campaigns 22.11.22'!L2205,weekly!$H$2:$H$188,0))</f>
        <v>7787.9462013062193</v>
      </c>
      <c r="H2205">
        <f>INDEX(weekly!$D$2:$D$188,MATCH('Marketing Campaigns 22.11.22'!L2205,weekly!$H$2:$H$188,0))</f>
        <v>17133.882210848016</v>
      </c>
      <c r="I2205">
        <f>INDEX(weekly!$F$2:$F$188,MATCH('Marketing Campaigns 22.11.22'!L2205,weekly!$H$2:$H$188,0))</f>
        <v>4017.2661445876588</v>
      </c>
      <c r="J2205">
        <v>0</v>
      </c>
      <c r="K2205">
        <v>0</v>
      </c>
      <c r="L2205" t="str">
        <f t="shared" si="84"/>
        <v>42-10-2023</v>
      </c>
      <c r="M2205">
        <f t="shared" si="85"/>
        <v>2023</v>
      </c>
    </row>
    <row r="2206" spans="1:13" x14ac:dyDescent="0.2">
      <c r="A2206" s="1">
        <f t="shared" si="80"/>
        <v>45215</v>
      </c>
      <c r="B2206">
        <f t="shared" si="83"/>
        <v>42</v>
      </c>
      <c r="C2206">
        <f t="shared" si="81"/>
        <v>10</v>
      </c>
      <c r="D2206">
        <f t="shared" si="82"/>
        <v>4</v>
      </c>
      <c r="E2206" t="s">
        <v>51</v>
      </c>
      <c r="F2206">
        <v>0</v>
      </c>
      <c r="G2206">
        <f>INDEX(weekly!$E$2:$E$188,MATCH('Marketing Campaigns 22.11.22'!L2206,weekly!$H$2:$H$188,0))</f>
        <v>7787.9462013062193</v>
      </c>
      <c r="H2206">
        <f>INDEX(weekly!$D$2:$D$188,MATCH('Marketing Campaigns 22.11.22'!L2206,weekly!$H$2:$H$188,0))</f>
        <v>17133.882210848016</v>
      </c>
      <c r="I2206">
        <f>INDEX(weekly!$F$2:$F$188,MATCH('Marketing Campaigns 22.11.22'!L2206,weekly!$H$2:$H$188,0))</f>
        <v>4017.2661445876588</v>
      </c>
      <c r="J2206">
        <v>0</v>
      </c>
      <c r="K2206">
        <v>0</v>
      </c>
      <c r="L2206" t="str">
        <f t="shared" si="84"/>
        <v>42-10-2023</v>
      </c>
      <c r="M2206">
        <f t="shared" si="85"/>
        <v>2023</v>
      </c>
    </row>
    <row r="2207" spans="1:13" x14ac:dyDescent="0.2">
      <c r="A2207" s="1">
        <f t="shared" si="80"/>
        <v>45215</v>
      </c>
      <c r="B2207">
        <f t="shared" si="83"/>
        <v>42</v>
      </c>
      <c r="C2207">
        <f t="shared" si="81"/>
        <v>10</v>
      </c>
      <c r="D2207">
        <f t="shared" si="82"/>
        <v>4</v>
      </c>
      <c r="E2207" t="s">
        <v>52</v>
      </c>
      <c r="F2207">
        <v>0</v>
      </c>
      <c r="G2207">
        <f>INDEX(weekly!$E$2:$E$188,MATCH('Marketing Campaigns 22.11.22'!L2207,weekly!$H$2:$H$188,0))</f>
        <v>7787.9462013062193</v>
      </c>
      <c r="H2207">
        <f>INDEX(weekly!$D$2:$D$188,MATCH('Marketing Campaigns 22.11.22'!L2207,weekly!$H$2:$H$188,0))</f>
        <v>17133.882210848016</v>
      </c>
      <c r="I2207">
        <f>INDEX(weekly!$F$2:$F$188,MATCH('Marketing Campaigns 22.11.22'!L2207,weekly!$H$2:$H$188,0))</f>
        <v>4017.2661445876588</v>
      </c>
      <c r="J2207">
        <v>0</v>
      </c>
      <c r="K2207">
        <v>0</v>
      </c>
      <c r="L2207" t="str">
        <f t="shared" si="84"/>
        <v>42-10-2023</v>
      </c>
      <c r="M2207">
        <f t="shared" si="85"/>
        <v>2023</v>
      </c>
    </row>
    <row r="2208" spans="1:13" x14ac:dyDescent="0.2">
      <c r="A2208" s="1">
        <f t="shared" si="80"/>
        <v>45222</v>
      </c>
      <c r="B2208">
        <f>IF(E2208="None",B2207+1,B2207)</f>
        <v>43</v>
      </c>
      <c r="C2208">
        <f t="shared" si="81"/>
        <v>10</v>
      </c>
      <c r="D2208">
        <f t="shared" si="82"/>
        <v>4</v>
      </c>
      <c r="E2208" t="s">
        <v>24</v>
      </c>
      <c r="F2208">
        <v>0</v>
      </c>
      <c r="G2208">
        <f>INDEX(weekly!$E$2:$E$188,MATCH('Marketing Campaigns 22.11.22'!L2208,weekly!$H$2:$H$188,0))</f>
        <v>7787.9462013062193</v>
      </c>
      <c r="H2208">
        <f>INDEX(weekly!$D$2:$D$188,MATCH('Marketing Campaigns 22.11.22'!L2208,weekly!$H$2:$H$188,0))</f>
        <v>17133.882210848016</v>
      </c>
      <c r="I2208">
        <f>INDEX(weekly!$F$2:$F$188,MATCH('Marketing Campaigns 22.11.22'!L2208,weekly!$H$2:$H$188,0))</f>
        <v>4017.2661445876588</v>
      </c>
      <c r="J2208">
        <v>0</v>
      </c>
      <c r="K2208">
        <v>0</v>
      </c>
      <c r="L2208" t="str">
        <f t="shared" si="84"/>
        <v>43-10-2023</v>
      </c>
      <c r="M2208">
        <f t="shared" si="85"/>
        <v>2023</v>
      </c>
    </row>
    <row r="2209" spans="1:13" x14ac:dyDescent="0.2">
      <c r="A2209" s="1">
        <f t="shared" si="80"/>
        <v>45222</v>
      </c>
      <c r="B2209">
        <f t="shared" si="83"/>
        <v>43</v>
      </c>
      <c r="C2209">
        <f t="shared" si="81"/>
        <v>10</v>
      </c>
      <c r="D2209">
        <f t="shared" si="82"/>
        <v>4</v>
      </c>
      <c r="E2209" t="s">
        <v>39</v>
      </c>
      <c r="F2209">
        <v>0</v>
      </c>
      <c r="G2209">
        <f>INDEX(weekly!$E$2:$E$188,MATCH('Marketing Campaigns 22.11.22'!L2209,weekly!$H$2:$H$188,0))</f>
        <v>7787.9462013062193</v>
      </c>
      <c r="H2209">
        <f>INDEX(weekly!$D$2:$D$188,MATCH('Marketing Campaigns 22.11.22'!L2209,weekly!$H$2:$H$188,0))</f>
        <v>17133.882210848016</v>
      </c>
      <c r="I2209">
        <f>INDEX(weekly!$F$2:$F$188,MATCH('Marketing Campaigns 22.11.22'!L2209,weekly!$H$2:$H$188,0))</f>
        <v>4017.2661445876588</v>
      </c>
      <c r="J2209">
        <v>0</v>
      </c>
      <c r="K2209">
        <v>0</v>
      </c>
      <c r="L2209" t="str">
        <f t="shared" si="84"/>
        <v>43-10-2023</v>
      </c>
      <c r="M2209">
        <f t="shared" si="85"/>
        <v>2023</v>
      </c>
    </row>
    <row r="2210" spans="1:13" x14ac:dyDescent="0.2">
      <c r="A2210" s="1">
        <f t="shared" si="80"/>
        <v>45222</v>
      </c>
      <c r="B2210">
        <f t="shared" si="83"/>
        <v>43</v>
      </c>
      <c r="C2210">
        <f t="shared" si="81"/>
        <v>10</v>
      </c>
      <c r="D2210">
        <f t="shared" si="82"/>
        <v>4</v>
      </c>
      <c r="E2210" t="s">
        <v>40</v>
      </c>
      <c r="F2210">
        <v>0</v>
      </c>
      <c r="G2210">
        <f>INDEX(weekly!$E$2:$E$188,MATCH('Marketing Campaigns 22.11.22'!L2210,weekly!$H$2:$H$188,0))</f>
        <v>7787.9462013062193</v>
      </c>
      <c r="H2210">
        <f>INDEX(weekly!$D$2:$D$188,MATCH('Marketing Campaigns 22.11.22'!L2210,weekly!$H$2:$H$188,0))</f>
        <v>17133.882210848016</v>
      </c>
      <c r="I2210">
        <f>INDEX(weekly!$F$2:$F$188,MATCH('Marketing Campaigns 22.11.22'!L2210,weekly!$H$2:$H$188,0))</f>
        <v>4017.2661445876588</v>
      </c>
      <c r="J2210">
        <v>0</v>
      </c>
      <c r="K2210">
        <v>0</v>
      </c>
      <c r="L2210" t="str">
        <f t="shared" si="84"/>
        <v>43-10-2023</v>
      </c>
      <c r="M2210">
        <f t="shared" si="85"/>
        <v>2023</v>
      </c>
    </row>
    <row r="2211" spans="1:13" x14ac:dyDescent="0.2">
      <c r="A2211" s="1">
        <f t="shared" si="80"/>
        <v>45222</v>
      </c>
      <c r="B2211">
        <f t="shared" si="83"/>
        <v>43</v>
      </c>
      <c r="C2211">
        <f t="shared" si="81"/>
        <v>10</v>
      </c>
      <c r="D2211">
        <f t="shared" si="82"/>
        <v>4</v>
      </c>
      <c r="E2211" t="s">
        <v>41</v>
      </c>
      <c r="F2211">
        <v>0</v>
      </c>
      <c r="G2211">
        <f>INDEX(weekly!$E$2:$E$188,MATCH('Marketing Campaigns 22.11.22'!L2211,weekly!$H$2:$H$188,0))</f>
        <v>7787.9462013062193</v>
      </c>
      <c r="H2211">
        <f>INDEX(weekly!$D$2:$D$188,MATCH('Marketing Campaigns 22.11.22'!L2211,weekly!$H$2:$H$188,0))</f>
        <v>17133.882210848016</v>
      </c>
      <c r="I2211">
        <f>INDEX(weekly!$F$2:$F$188,MATCH('Marketing Campaigns 22.11.22'!L2211,weekly!$H$2:$H$188,0))</f>
        <v>4017.2661445876588</v>
      </c>
      <c r="J2211">
        <v>0</v>
      </c>
      <c r="K2211">
        <v>0</v>
      </c>
      <c r="L2211" t="str">
        <f t="shared" si="84"/>
        <v>43-10-2023</v>
      </c>
      <c r="M2211">
        <f t="shared" si="85"/>
        <v>2023</v>
      </c>
    </row>
    <row r="2212" spans="1:13" x14ac:dyDescent="0.2">
      <c r="A2212" s="1">
        <f t="shared" si="80"/>
        <v>45222</v>
      </c>
      <c r="B2212">
        <f t="shared" si="83"/>
        <v>43</v>
      </c>
      <c r="C2212">
        <f t="shared" si="81"/>
        <v>10</v>
      </c>
      <c r="D2212">
        <f t="shared" si="82"/>
        <v>4</v>
      </c>
      <c r="E2212" t="s">
        <v>42</v>
      </c>
      <c r="F2212">
        <v>0</v>
      </c>
      <c r="G2212">
        <f>INDEX(weekly!$E$2:$E$188,MATCH('Marketing Campaigns 22.11.22'!L2212,weekly!$H$2:$H$188,0))</f>
        <v>7787.9462013062193</v>
      </c>
      <c r="H2212">
        <f>INDEX(weekly!$D$2:$D$188,MATCH('Marketing Campaigns 22.11.22'!L2212,weekly!$H$2:$H$188,0))</f>
        <v>17133.882210848016</v>
      </c>
      <c r="I2212">
        <f>INDEX(weekly!$F$2:$F$188,MATCH('Marketing Campaigns 22.11.22'!L2212,weekly!$H$2:$H$188,0))</f>
        <v>4017.2661445876588</v>
      </c>
      <c r="J2212">
        <v>0</v>
      </c>
      <c r="K2212">
        <v>0</v>
      </c>
      <c r="L2212" t="str">
        <f t="shared" si="84"/>
        <v>43-10-2023</v>
      </c>
      <c r="M2212">
        <f t="shared" si="85"/>
        <v>2023</v>
      </c>
    </row>
    <row r="2213" spans="1:13" x14ac:dyDescent="0.2">
      <c r="A2213" s="1">
        <f t="shared" si="80"/>
        <v>45222</v>
      </c>
      <c r="B2213">
        <f t="shared" si="83"/>
        <v>43</v>
      </c>
      <c r="C2213">
        <f t="shared" si="81"/>
        <v>10</v>
      </c>
      <c r="D2213">
        <f t="shared" si="82"/>
        <v>4</v>
      </c>
      <c r="E2213" t="s">
        <v>43</v>
      </c>
      <c r="F2213">
        <v>0</v>
      </c>
      <c r="G2213">
        <f>INDEX(weekly!$E$2:$E$188,MATCH('Marketing Campaigns 22.11.22'!L2213,weekly!$H$2:$H$188,0))</f>
        <v>7787.9462013062193</v>
      </c>
      <c r="H2213">
        <f>INDEX(weekly!$D$2:$D$188,MATCH('Marketing Campaigns 22.11.22'!L2213,weekly!$H$2:$H$188,0))</f>
        <v>17133.882210848016</v>
      </c>
      <c r="I2213">
        <f>INDEX(weekly!$F$2:$F$188,MATCH('Marketing Campaigns 22.11.22'!L2213,weekly!$H$2:$H$188,0))</f>
        <v>4017.2661445876588</v>
      </c>
      <c r="J2213">
        <v>0</v>
      </c>
      <c r="K2213">
        <v>0</v>
      </c>
      <c r="L2213" t="str">
        <f t="shared" si="84"/>
        <v>43-10-2023</v>
      </c>
      <c r="M2213">
        <f t="shared" si="85"/>
        <v>2023</v>
      </c>
    </row>
    <row r="2214" spans="1:13" x14ac:dyDescent="0.2">
      <c r="A2214" s="1">
        <f t="shared" si="80"/>
        <v>45222</v>
      </c>
      <c r="B2214">
        <f t="shared" si="83"/>
        <v>43</v>
      </c>
      <c r="C2214">
        <f t="shared" si="81"/>
        <v>10</v>
      </c>
      <c r="D2214">
        <f t="shared" si="82"/>
        <v>4</v>
      </c>
      <c r="E2214" t="s">
        <v>44</v>
      </c>
      <c r="F2214">
        <v>0</v>
      </c>
      <c r="G2214">
        <f>INDEX(weekly!$E$2:$E$188,MATCH('Marketing Campaigns 22.11.22'!L2214,weekly!$H$2:$H$188,0))</f>
        <v>7787.9462013062193</v>
      </c>
      <c r="H2214">
        <f>INDEX(weekly!$D$2:$D$188,MATCH('Marketing Campaigns 22.11.22'!L2214,weekly!$H$2:$H$188,0))</f>
        <v>17133.882210848016</v>
      </c>
      <c r="I2214">
        <f>INDEX(weekly!$F$2:$F$188,MATCH('Marketing Campaigns 22.11.22'!L2214,weekly!$H$2:$H$188,0))</f>
        <v>4017.2661445876588</v>
      </c>
      <c r="J2214">
        <v>0</v>
      </c>
      <c r="K2214">
        <v>0</v>
      </c>
      <c r="L2214" t="str">
        <f t="shared" si="84"/>
        <v>43-10-2023</v>
      </c>
      <c r="M2214">
        <f t="shared" si="85"/>
        <v>2023</v>
      </c>
    </row>
    <row r="2215" spans="1:13" x14ac:dyDescent="0.2">
      <c r="A2215" s="1">
        <f t="shared" si="80"/>
        <v>45222</v>
      </c>
      <c r="B2215">
        <f t="shared" si="83"/>
        <v>43</v>
      </c>
      <c r="C2215">
        <f t="shared" si="81"/>
        <v>10</v>
      </c>
      <c r="D2215">
        <f t="shared" si="82"/>
        <v>4</v>
      </c>
      <c r="E2215" t="s">
        <v>45</v>
      </c>
      <c r="F2215">
        <v>0</v>
      </c>
      <c r="G2215">
        <f>INDEX(weekly!$E$2:$E$188,MATCH('Marketing Campaigns 22.11.22'!L2215,weekly!$H$2:$H$188,0))</f>
        <v>7787.9462013062193</v>
      </c>
      <c r="H2215">
        <f>INDEX(weekly!$D$2:$D$188,MATCH('Marketing Campaigns 22.11.22'!L2215,weekly!$H$2:$H$188,0))</f>
        <v>17133.882210848016</v>
      </c>
      <c r="I2215">
        <f>INDEX(weekly!$F$2:$F$188,MATCH('Marketing Campaigns 22.11.22'!L2215,weekly!$H$2:$H$188,0))</f>
        <v>4017.2661445876588</v>
      </c>
      <c r="J2215">
        <v>0</v>
      </c>
      <c r="K2215">
        <v>0</v>
      </c>
      <c r="L2215" t="str">
        <f t="shared" si="84"/>
        <v>43-10-2023</v>
      </c>
      <c r="M2215">
        <f t="shared" si="85"/>
        <v>2023</v>
      </c>
    </row>
    <row r="2216" spans="1:13" x14ac:dyDescent="0.2">
      <c r="A2216" s="1">
        <f t="shared" si="80"/>
        <v>45222</v>
      </c>
      <c r="B2216">
        <f t="shared" si="83"/>
        <v>43</v>
      </c>
      <c r="C2216">
        <f t="shared" si="81"/>
        <v>10</v>
      </c>
      <c r="D2216">
        <f t="shared" si="82"/>
        <v>4</v>
      </c>
      <c r="E2216" t="s">
        <v>46</v>
      </c>
      <c r="F2216">
        <v>0</v>
      </c>
      <c r="G2216">
        <f>INDEX(weekly!$E$2:$E$188,MATCH('Marketing Campaigns 22.11.22'!L2216,weekly!$H$2:$H$188,0))</f>
        <v>7787.9462013062193</v>
      </c>
      <c r="H2216">
        <f>INDEX(weekly!$D$2:$D$188,MATCH('Marketing Campaigns 22.11.22'!L2216,weekly!$H$2:$H$188,0))</f>
        <v>17133.882210848016</v>
      </c>
      <c r="I2216">
        <f>INDEX(weekly!$F$2:$F$188,MATCH('Marketing Campaigns 22.11.22'!L2216,weekly!$H$2:$H$188,0))</f>
        <v>4017.2661445876588</v>
      </c>
      <c r="J2216">
        <v>0</v>
      </c>
      <c r="K2216">
        <v>0</v>
      </c>
      <c r="L2216" t="str">
        <f t="shared" si="84"/>
        <v>43-10-2023</v>
      </c>
      <c r="M2216">
        <f t="shared" si="85"/>
        <v>2023</v>
      </c>
    </row>
    <row r="2217" spans="1:13" x14ac:dyDescent="0.2">
      <c r="A2217" s="1">
        <f t="shared" si="80"/>
        <v>45222</v>
      </c>
      <c r="B2217">
        <f t="shared" si="83"/>
        <v>43</v>
      </c>
      <c r="C2217">
        <f t="shared" si="81"/>
        <v>10</v>
      </c>
      <c r="D2217">
        <f t="shared" si="82"/>
        <v>4</v>
      </c>
      <c r="E2217" t="s">
        <v>47</v>
      </c>
      <c r="F2217">
        <v>0</v>
      </c>
      <c r="G2217">
        <f>INDEX(weekly!$E$2:$E$188,MATCH('Marketing Campaigns 22.11.22'!L2217,weekly!$H$2:$H$188,0))</f>
        <v>7787.9462013062193</v>
      </c>
      <c r="H2217">
        <f>INDEX(weekly!$D$2:$D$188,MATCH('Marketing Campaigns 22.11.22'!L2217,weekly!$H$2:$H$188,0))</f>
        <v>17133.882210848016</v>
      </c>
      <c r="I2217">
        <f>INDEX(weekly!$F$2:$F$188,MATCH('Marketing Campaigns 22.11.22'!L2217,weekly!$H$2:$H$188,0))</f>
        <v>4017.2661445876588</v>
      </c>
      <c r="J2217">
        <v>0</v>
      </c>
      <c r="K2217">
        <v>0</v>
      </c>
      <c r="L2217" t="str">
        <f t="shared" si="84"/>
        <v>43-10-2023</v>
      </c>
      <c r="M2217">
        <f t="shared" si="85"/>
        <v>2023</v>
      </c>
    </row>
    <row r="2218" spans="1:13" x14ac:dyDescent="0.2">
      <c r="A2218" s="1">
        <f t="shared" si="80"/>
        <v>45222</v>
      </c>
      <c r="B2218">
        <f t="shared" si="83"/>
        <v>43</v>
      </c>
      <c r="C2218">
        <f t="shared" si="81"/>
        <v>10</v>
      </c>
      <c r="D2218">
        <f t="shared" si="82"/>
        <v>4</v>
      </c>
      <c r="E2218" t="s">
        <v>48</v>
      </c>
      <c r="F2218">
        <v>0</v>
      </c>
      <c r="G2218">
        <f>INDEX(weekly!$E$2:$E$188,MATCH('Marketing Campaigns 22.11.22'!L2218,weekly!$H$2:$H$188,0))</f>
        <v>7787.9462013062193</v>
      </c>
      <c r="H2218">
        <f>INDEX(weekly!$D$2:$D$188,MATCH('Marketing Campaigns 22.11.22'!L2218,weekly!$H$2:$H$188,0))</f>
        <v>17133.882210848016</v>
      </c>
      <c r="I2218">
        <f>INDEX(weekly!$F$2:$F$188,MATCH('Marketing Campaigns 22.11.22'!L2218,weekly!$H$2:$H$188,0))</f>
        <v>4017.2661445876588</v>
      </c>
      <c r="J2218">
        <v>0</v>
      </c>
      <c r="K2218">
        <v>0</v>
      </c>
      <c r="L2218" t="str">
        <f t="shared" si="84"/>
        <v>43-10-2023</v>
      </c>
      <c r="M2218">
        <f t="shared" si="85"/>
        <v>2023</v>
      </c>
    </row>
    <row r="2219" spans="1:13" x14ac:dyDescent="0.2">
      <c r="A2219" s="1">
        <f t="shared" si="80"/>
        <v>45222</v>
      </c>
      <c r="B2219">
        <f t="shared" si="83"/>
        <v>43</v>
      </c>
      <c r="C2219">
        <f t="shared" si="81"/>
        <v>10</v>
      </c>
      <c r="D2219">
        <f t="shared" si="82"/>
        <v>4</v>
      </c>
      <c r="E2219" t="s">
        <v>49</v>
      </c>
      <c r="F2219">
        <v>0</v>
      </c>
      <c r="G2219">
        <f>INDEX(weekly!$E$2:$E$188,MATCH('Marketing Campaigns 22.11.22'!L2219,weekly!$H$2:$H$188,0))</f>
        <v>7787.9462013062193</v>
      </c>
      <c r="H2219">
        <f>INDEX(weekly!$D$2:$D$188,MATCH('Marketing Campaigns 22.11.22'!L2219,weekly!$H$2:$H$188,0))</f>
        <v>17133.882210848016</v>
      </c>
      <c r="I2219">
        <f>INDEX(weekly!$F$2:$F$188,MATCH('Marketing Campaigns 22.11.22'!L2219,weekly!$H$2:$H$188,0))</f>
        <v>4017.2661445876588</v>
      </c>
      <c r="J2219">
        <v>0</v>
      </c>
      <c r="K2219">
        <v>0</v>
      </c>
      <c r="L2219" t="str">
        <f t="shared" si="84"/>
        <v>43-10-2023</v>
      </c>
      <c r="M2219">
        <f t="shared" si="85"/>
        <v>2023</v>
      </c>
    </row>
    <row r="2220" spans="1:13" x14ac:dyDescent="0.2">
      <c r="A2220" s="1">
        <f t="shared" si="80"/>
        <v>45222</v>
      </c>
      <c r="B2220">
        <f t="shared" si="83"/>
        <v>43</v>
      </c>
      <c r="C2220">
        <f t="shared" si="81"/>
        <v>10</v>
      </c>
      <c r="D2220">
        <f t="shared" si="82"/>
        <v>4</v>
      </c>
      <c r="E2220" t="s">
        <v>50</v>
      </c>
      <c r="F2220">
        <v>0</v>
      </c>
      <c r="G2220">
        <f>INDEX(weekly!$E$2:$E$188,MATCH('Marketing Campaigns 22.11.22'!L2220,weekly!$H$2:$H$188,0))</f>
        <v>7787.9462013062193</v>
      </c>
      <c r="H2220">
        <f>INDEX(weekly!$D$2:$D$188,MATCH('Marketing Campaigns 22.11.22'!L2220,weekly!$H$2:$H$188,0))</f>
        <v>17133.882210848016</v>
      </c>
      <c r="I2220">
        <f>INDEX(weekly!$F$2:$F$188,MATCH('Marketing Campaigns 22.11.22'!L2220,weekly!$H$2:$H$188,0))</f>
        <v>4017.2661445876588</v>
      </c>
      <c r="J2220">
        <v>0</v>
      </c>
      <c r="K2220">
        <v>0</v>
      </c>
      <c r="L2220" t="str">
        <f t="shared" si="84"/>
        <v>43-10-2023</v>
      </c>
      <c r="M2220">
        <f t="shared" si="85"/>
        <v>2023</v>
      </c>
    </row>
    <row r="2221" spans="1:13" x14ac:dyDescent="0.2">
      <c r="A2221" s="1">
        <f t="shared" si="80"/>
        <v>45222</v>
      </c>
      <c r="B2221">
        <f t="shared" si="83"/>
        <v>43</v>
      </c>
      <c r="C2221">
        <f t="shared" si="81"/>
        <v>10</v>
      </c>
      <c r="D2221">
        <f t="shared" si="82"/>
        <v>4</v>
      </c>
      <c r="E2221" t="s">
        <v>51</v>
      </c>
      <c r="F2221">
        <v>0</v>
      </c>
      <c r="G2221">
        <f>INDEX(weekly!$E$2:$E$188,MATCH('Marketing Campaigns 22.11.22'!L2221,weekly!$H$2:$H$188,0))</f>
        <v>7787.9462013062193</v>
      </c>
      <c r="H2221">
        <f>INDEX(weekly!$D$2:$D$188,MATCH('Marketing Campaigns 22.11.22'!L2221,weekly!$H$2:$H$188,0))</f>
        <v>17133.882210848016</v>
      </c>
      <c r="I2221">
        <f>INDEX(weekly!$F$2:$F$188,MATCH('Marketing Campaigns 22.11.22'!L2221,weekly!$H$2:$H$188,0))</f>
        <v>4017.2661445876588</v>
      </c>
      <c r="J2221">
        <v>0</v>
      </c>
      <c r="K2221">
        <v>0</v>
      </c>
      <c r="L2221" t="str">
        <f t="shared" si="84"/>
        <v>43-10-2023</v>
      </c>
      <c r="M2221">
        <f t="shared" si="85"/>
        <v>2023</v>
      </c>
    </row>
    <row r="2222" spans="1:13" x14ac:dyDescent="0.2">
      <c r="A2222" s="1">
        <f t="shared" si="80"/>
        <v>45222</v>
      </c>
      <c r="B2222">
        <f t="shared" si="83"/>
        <v>43</v>
      </c>
      <c r="C2222">
        <f t="shared" si="81"/>
        <v>10</v>
      </c>
      <c r="D2222">
        <f t="shared" si="82"/>
        <v>4</v>
      </c>
      <c r="E2222" t="s">
        <v>52</v>
      </c>
      <c r="F2222">
        <v>0</v>
      </c>
      <c r="G2222">
        <f>INDEX(weekly!$E$2:$E$188,MATCH('Marketing Campaigns 22.11.22'!L2222,weekly!$H$2:$H$188,0))</f>
        <v>7787.9462013062193</v>
      </c>
      <c r="H2222">
        <f>INDEX(weekly!$D$2:$D$188,MATCH('Marketing Campaigns 22.11.22'!L2222,weekly!$H$2:$H$188,0))</f>
        <v>17133.882210848016</v>
      </c>
      <c r="I2222">
        <f>INDEX(weekly!$F$2:$F$188,MATCH('Marketing Campaigns 22.11.22'!L2222,weekly!$H$2:$H$188,0))</f>
        <v>4017.2661445876588</v>
      </c>
      <c r="J2222">
        <v>0</v>
      </c>
      <c r="K2222">
        <v>0</v>
      </c>
      <c r="L2222" t="str">
        <f t="shared" si="84"/>
        <v>43-10-2023</v>
      </c>
      <c r="M2222">
        <f t="shared" si="85"/>
        <v>2023</v>
      </c>
    </row>
    <row r="2223" spans="1:13" x14ac:dyDescent="0.2">
      <c r="A2223" s="1">
        <f t="shared" si="80"/>
        <v>45229</v>
      </c>
      <c r="B2223">
        <f>IF(E2223="None",B2222+1,B2222)</f>
        <v>44</v>
      </c>
      <c r="C2223">
        <f t="shared" si="81"/>
        <v>10</v>
      </c>
      <c r="D2223">
        <f t="shared" si="82"/>
        <v>4</v>
      </c>
      <c r="E2223" t="s">
        <v>24</v>
      </c>
      <c r="F2223">
        <v>0</v>
      </c>
      <c r="G2223">
        <f>INDEX(weekly!$E$2:$E$188,MATCH('Marketing Campaigns 22.11.22'!L2223,weekly!$H$2:$H$188,0))</f>
        <v>2225.1274860874914</v>
      </c>
      <c r="H2223">
        <f>INDEX(weekly!$D$2:$D$188,MATCH('Marketing Campaigns 22.11.22'!L2223,weekly!$H$2:$H$188,0))</f>
        <v>4895.3949173851479</v>
      </c>
      <c r="I2223">
        <f>INDEX(weekly!$F$2:$F$188,MATCH('Marketing Campaigns 22.11.22'!L2223,weekly!$H$2:$H$188,0))</f>
        <v>1147.7903270250454</v>
      </c>
      <c r="J2223">
        <v>0</v>
      </c>
      <c r="K2223">
        <v>0</v>
      </c>
      <c r="L2223" t="str">
        <f t="shared" si="84"/>
        <v>44-10-2023</v>
      </c>
      <c r="M2223">
        <f t="shared" si="85"/>
        <v>2023</v>
      </c>
    </row>
    <row r="2224" spans="1:13" x14ac:dyDescent="0.2">
      <c r="A2224" s="1">
        <f t="shared" si="80"/>
        <v>45229</v>
      </c>
      <c r="B2224">
        <f t="shared" si="83"/>
        <v>44</v>
      </c>
      <c r="C2224">
        <f t="shared" si="81"/>
        <v>10</v>
      </c>
      <c r="D2224">
        <f t="shared" si="82"/>
        <v>4</v>
      </c>
      <c r="E2224" t="s">
        <v>39</v>
      </c>
      <c r="F2224">
        <v>0</v>
      </c>
      <c r="G2224">
        <f>INDEX(weekly!$E$2:$E$188,MATCH('Marketing Campaigns 22.11.22'!L2224,weekly!$H$2:$H$188,0))</f>
        <v>2225.1274860874914</v>
      </c>
      <c r="H2224">
        <f>INDEX(weekly!$D$2:$D$188,MATCH('Marketing Campaigns 22.11.22'!L2224,weekly!$H$2:$H$188,0))</f>
        <v>4895.3949173851479</v>
      </c>
      <c r="I2224">
        <f>INDEX(weekly!$F$2:$F$188,MATCH('Marketing Campaigns 22.11.22'!L2224,weekly!$H$2:$H$188,0))</f>
        <v>1147.7903270250454</v>
      </c>
      <c r="J2224">
        <v>0</v>
      </c>
      <c r="K2224">
        <v>0</v>
      </c>
      <c r="L2224" t="str">
        <f t="shared" si="84"/>
        <v>44-10-2023</v>
      </c>
      <c r="M2224">
        <f t="shared" si="85"/>
        <v>2023</v>
      </c>
    </row>
    <row r="2225" spans="1:13" x14ac:dyDescent="0.2">
      <c r="A2225" s="1">
        <f t="shared" ref="A2225:A2288" si="86">DATE(2023, 1, -2) - WEEKDAY(DATE(2023, 1, 3)) + B2225 * 7</f>
        <v>45229</v>
      </c>
      <c r="B2225">
        <f t="shared" si="83"/>
        <v>44</v>
      </c>
      <c r="C2225">
        <f t="shared" ref="C2225:C2288" si="87">MONTH(A2225)</f>
        <v>10</v>
      </c>
      <c r="D2225">
        <f t="shared" ref="D2225:D2288" si="88">CEILING(C2225 / 3,1)</f>
        <v>4</v>
      </c>
      <c r="E2225" t="s">
        <v>40</v>
      </c>
      <c r="F2225">
        <v>0</v>
      </c>
      <c r="G2225">
        <f>INDEX(weekly!$E$2:$E$188,MATCH('Marketing Campaigns 22.11.22'!L2225,weekly!$H$2:$H$188,0))</f>
        <v>2225.1274860874914</v>
      </c>
      <c r="H2225">
        <f>INDEX(weekly!$D$2:$D$188,MATCH('Marketing Campaigns 22.11.22'!L2225,weekly!$H$2:$H$188,0))</f>
        <v>4895.3949173851479</v>
      </c>
      <c r="I2225">
        <f>INDEX(weekly!$F$2:$F$188,MATCH('Marketing Campaigns 22.11.22'!L2225,weekly!$H$2:$H$188,0))</f>
        <v>1147.7903270250454</v>
      </c>
      <c r="J2225">
        <v>0</v>
      </c>
      <c r="K2225">
        <v>0</v>
      </c>
      <c r="L2225" t="str">
        <f t="shared" si="84"/>
        <v>44-10-2023</v>
      </c>
      <c r="M2225">
        <f t="shared" si="85"/>
        <v>2023</v>
      </c>
    </row>
    <row r="2226" spans="1:13" x14ac:dyDescent="0.2">
      <c r="A2226" s="1">
        <f t="shared" si="86"/>
        <v>45229</v>
      </c>
      <c r="B2226">
        <f t="shared" si="83"/>
        <v>44</v>
      </c>
      <c r="C2226">
        <f t="shared" si="87"/>
        <v>10</v>
      </c>
      <c r="D2226">
        <f t="shared" si="88"/>
        <v>4</v>
      </c>
      <c r="E2226" t="s">
        <v>41</v>
      </c>
      <c r="F2226">
        <v>0</v>
      </c>
      <c r="G2226">
        <f>INDEX(weekly!$E$2:$E$188,MATCH('Marketing Campaigns 22.11.22'!L2226,weekly!$H$2:$H$188,0))</f>
        <v>2225.1274860874914</v>
      </c>
      <c r="H2226">
        <f>INDEX(weekly!$D$2:$D$188,MATCH('Marketing Campaigns 22.11.22'!L2226,weekly!$H$2:$H$188,0))</f>
        <v>4895.3949173851479</v>
      </c>
      <c r="I2226">
        <f>INDEX(weekly!$F$2:$F$188,MATCH('Marketing Campaigns 22.11.22'!L2226,weekly!$H$2:$H$188,0))</f>
        <v>1147.7903270250454</v>
      </c>
      <c r="J2226">
        <v>0</v>
      </c>
      <c r="K2226">
        <v>0</v>
      </c>
      <c r="L2226" t="str">
        <f t="shared" si="84"/>
        <v>44-10-2023</v>
      </c>
      <c r="M2226">
        <f t="shared" si="85"/>
        <v>2023</v>
      </c>
    </row>
    <row r="2227" spans="1:13" x14ac:dyDescent="0.2">
      <c r="A2227" s="1">
        <f t="shared" si="86"/>
        <v>45229</v>
      </c>
      <c r="B2227">
        <f t="shared" si="83"/>
        <v>44</v>
      </c>
      <c r="C2227">
        <f t="shared" si="87"/>
        <v>10</v>
      </c>
      <c r="D2227">
        <f t="shared" si="88"/>
        <v>4</v>
      </c>
      <c r="E2227" t="s">
        <v>42</v>
      </c>
      <c r="F2227">
        <v>0</v>
      </c>
      <c r="G2227">
        <f>INDEX(weekly!$E$2:$E$188,MATCH('Marketing Campaigns 22.11.22'!L2227,weekly!$H$2:$H$188,0))</f>
        <v>2225.1274860874914</v>
      </c>
      <c r="H2227">
        <f>INDEX(weekly!$D$2:$D$188,MATCH('Marketing Campaigns 22.11.22'!L2227,weekly!$H$2:$H$188,0))</f>
        <v>4895.3949173851479</v>
      </c>
      <c r="I2227">
        <f>INDEX(weekly!$F$2:$F$188,MATCH('Marketing Campaigns 22.11.22'!L2227,weekly!$H$2:$H$188,0))</f>
        <v>1147.7903270250454</v>
      </c>
      <c r="J2227">
        <v>0</v>
      </c>
      <c r="K2227">
        <v>0</v>
      </c>
      <c r="L2227" t="str">
        <f t="shared" si="84"/>
        <v>44-10-2023</v>
      </c>
      <c r="M2227">
        <f t="shared" si="85"/>
        <v>2023</v>
      </c>
    </row>
    <row r="2228" spans="1:13" x14ac:dyDescent="0.2">
      <c r="A2228" s="1">
        <f t="shared" si="86"/>
        <v>45229</v>
      </c>
      <c r="B2228">
        <f t="shared" si="83"/>
        <v>44</v>
      </c>
      <c r="C2228">
        <f t="shared" si="87"/>
        <v>10</v>
      </c>
      <c r="D2228">
        <f t="shared" si="88"/>
        <v>4</v>
      </c>
      <c r="E2228" t="s">
        <v>43</v>
      </c>
      <c r="F2228">
        <v>0</v>
      </c>
      <c r="G2228">
        <f>INDEX(weekly!$E$2:$E$188,MATCH('Marketing Campaigns 22.11.22'!L2228,weekly!$H$2:$H$188,0))</f>
        <v>2225.1274860874914</v>
      </c>
      <c r="H2228">
        <f>INDEX(weekly!$D$2:$D$188,MATCH('Marketing Campaigns 22.11.22'!L2228,weekly!$H$2:$H$188,0))</f>
        <v>4895.3949173851479</v>
      </c>
      <c r="I2228">
        <f>INDEX(weekly!$F$2:$F$188,MATCH('Marketing Campaigns 22.11.22'!L2228,weekly!$H$2:$H$188,0))</f>
        <v>1147.7903270250454</v>
      </c>
      <c r="J2228">
        <v>0</v>
      </c>
      <c r="K2228">
        <v>0</v>
      </c>
      <c r="L2228" t="str">
        <f t="shared" si="84"/>
        <v>44-10-2023</v>
      </c>
      <c r="M2228">
        <f t="shared" si="85"/>
        <v>2023</v>
      </c>
    </row>
    <row r="2229" spans="1:13" x14ac:dyDescent="0.2">
      <c r="A2229" s="1">
        <f t="shared" si="86"/>
        <v>45229</v>
      </c>
      <c r="B2229">
        <f t="shared" si="83"/>
        <v>44</v>
      </c>
      <c r="C2229">
        <f t="shared" si="87"/>
        <v>10</v>
      </c>
      <c r="D2229">
        <f t="shared" si="88"/>
        <v>4</v>
      </c>
      <c r="E2229" t="s">
        <v>44</v>
      </c>
      <c r="F2229">
        <v>0</v>
      </c>
      <c r="G2229">
        <f>INDEX(weekly!$E$2:$E$188,MATCH('Marketing Campaigns 22.11.22'!L2229,weekly!$H$2:$H$188,0))</f>
        <v>2225.1274860874914</v>
      </c>
      <c r="H2229">
        <f>INDEX(weekly!$D$2:$D$188,MATCH('Marketing Campaigns 22.11.22'!L2229,weekly!$H$2:$H$188,0))</f>
        <v>4895.3949173851479</v>
      </c>
      <c r="I2229">
        <f>INDEX(weekly!$F$2:$F$188,MATCH('Marketing Campaigns 22.11.22'!L2229,weekly!$H$2:$H$188,0))</f>
        <v>1147.7903270250454</v>
      </c>
      <c r="J2229">
        <v>0</v>
      </c>
      <c r="K2229">
        <v>0</v>
      </c>
      <c r="L2229" t="str">
        <f t="shared" si="84"/>
        <v>44-10-2023</v>
      </c>
      <c r="M2229">
        <f t="shared" si="85"/>
        <v>2023</v>
      </c>
    </row>
    <row r="2230" spans="1:13" x14ac:dyDescent="0.2">
      <c r="A2230" s="1">
        <f t="shared" si="86"/>
        <v>45229</v>
      </c>
      <c r="B2230">
        <f t="shared" si="83"/>
        <v>44</v>
      </c>
      <c r="C2230">
        <f t="shared" si="87"/>
        <v>10</v>
      </c>
      <c r="D2230">
        <f t="shared" si="88"/>
        <v>4</v>
      </c>
      <c r="E2230" t="s">
        <v>45</v>
      </c>
      <c r="F2230">
        <v>0</v>
      </c>
      <c r="G2230">
        <f>INDEX(weekly!$E$2:$E$188,MATCH('Marketing Campaigns 22.11.22'!L2230,weekly!$H$2:$H$188,0))</f>
        <v>2225.1274860874914</v>
      </c>
      <c r="H2230">
        <f>INDEX(weekly!$D$2:$D$188,MATCH('Marketing Campaigns 22.11.22'!L2230,weekly!$H$2:$H$188,0))</f>
        <v>4895.3949173851479</v>
      </c>
      <c r="I2230">
        <f>INDEX(weekly!$F$2:$F$188,MATCH('Marketing Campaigns 22.11.22'!L2230,weekly!$H$2:$H$188,0))</f>
        <v>1147.7903270250454</v>
      </c>
      <c r="J2230">
        <v>0</v>
      </c>
      <c r="K2230">
        <v>0</v>
      </c>
      <c r="L2230" t="str">
        <f t="shared" si="84"/>
        <v>44-10-2023</v>
      </c>
      <c r="M2230">
        <f t="shared" si="85"/>
        <v>2023</v>
      </c>
    </row>
    <row r="2231" spans="1:13" x14ac:dyDescent="0.2">
      <c r="A2231" s="1">
        <f t="shared" si="86"/>
        <v>45229</v>
      </c>
      <c r="B2231">
        <f t="shared" si="83"/>
        <v>44</v>
      </c>
      <c r="C2231">
        <f t="shared" si="87"/>
        <v>10</v>
      </c>
      <c r="D2231">
        <f t="shared" si="88"/>
        <v>4</v>
      </c>
      <c r="E2231" t="s">
        <v>46</v>
      </c>
      <c r="F2231">
        <v>0</v>
      </c>
      <c r="G2231">
        <f>INDEX(weekly!$E$2:$E$188,MATCH('Marketing Campaigns 22.11.22'!L2231,weekly!$H$2:$H$188,0))</f>
        <v>2225.1274860874914</v>
      </c>
      <c r="H2231">
        <f>INDEX(weekly!$D$2:$D$188,MATCH('Marketing Campaigns 22.11.22'!L2231,weekly!$H$2:$H$188,0))</f>
        <v>4895.3949173851479</v>
      </c>
      <c r="I2231">
        <f>INDEX(weekly!$F$2:$F$188,MATCH('Marketing Campaigns 22.11.22'!L2231,weekly!$H$2:$H$188,0))</f>
        <v>1147.7903270250454</v>
      </c>
      <c r="J2231">
        <v>0</v>
      </c>
      <c r="K2231">
        <v>0</v>
      </c>
      <c r="L2231" t="str">
        <f t="shared" si="84"/>
        <v>44-10-2023</v>
      </c>
      <c r="M2231">
        <f t="shared" si="85"/>
        <v>2023</v>
      </c>
    </row>
    <row r="2232" spans="1:13" x14ac:dyDescent="0.2">
      <c r="A2232" s="1">
        <f t="shared" si="86"/>
        <v>45229</v>
      </c>
      <c r="B2232">
        <f t="shared" si="83"/>
        <v>44</v>
      </c>
      <c r="C2232">
        <f t="shared" si="87"/>
        <v>10</v>
      </c>
      <c r="D2232">
        <f t="shared" si="88"/>
        <v>4</v>
      </c>
      <c r="E2232" t="s">
        <v>47</v>
      </c>
      <c r="F2232">
        <v>0</v>
      </c>
      <c r="G2232">
        <f>INDEX(weekly!$E$2:$E$188,MATCH('Marketing Campaigns 22.11.22'!L2232,weekly!$H$2:$H$188,0))</f>
        <v>2225.1274860874914</v>
      </c>
      <c r="H2232">
        <f>INDEX(weekly!$D$2:$D$188,MATCH('Marketing Campaigns 22.11.22'!L2232,weekly!$H$2:$H$188,0))</f>
        <v>4895.3949173851479</v>
      </c>
      <c r="I2232">
        <f>INDEX(weekly!$F$2:$F$188,MATCH('Marketing Campaigns 22.11.22'!L2232,weekly!$H$2:$H$188,0))</f>
        <v>1147.7903270250454</v>
      </c>
      <c r="J2232">
        <v>0</v>
      </c>
      <c r="K2232">
        <v>0</v>
      </c>
      <c r="L2232" t="str">
        <f t="shared" si="84"/>
        <v>44-10-2023</v>
      </c>
      <c r="M2232">
        <f t="shared" si="85"/>
        <v>2023</v>
      </c>
    </row>
    <row r="2233" spans="1:13" x14ac:dyDescent="0.2">
      <c r="A2233" s="1">
        <f t="shared" si="86"/>
        <v>45229</v>
      </c>
      <c r="B2233">
        <f t="shared" si="83"/>
        <v>44</v>
      </c>
      <c r="C2233">
        <f t="shared" si="87"/>
        <v>10</v>
      </c>
      <c r="D2233">
        <f t="shared" si="88"/>
        <v>4</v>
      </c>
      <c r="E2233" t="s">
        <v>48</v>
      </c>
      <c r="F2233">
        <v>0</v>
      </c>
      <c r="G2233">
        <f>INDEX(weekly!$E$2:$E$188,MATCH('Marketing Campaigns 22.11.22'!L2233,weekly!$H$2:$H$188,0))</f>
        <v>2225.1274860874914</v>
      </c>
      <c r="H2233">
        <f>INDEX(weekly!$D$2:$D$188,MATCH('Marketing Campaigns 22.11.22'!L2233,weekly!$H$2:$H$188,0))</f>
        <v>4895.3949173851479</v>
      </c>
      <c r="I2233">
        <f>INDEX(weekly!$F$2:$F$188,MATCH('Marketing Campaigns 22.11.22'!L2233,weekly!$H$2:$H$188,0))</f>
        <v>1147.7903270250454</v>
      </c>
      <c r="J2233">
        <v>0</v>
      </c>
      <c r="K2233">
        <v>0</v>
      </c>
      <c r="L2233" t="str">
        <f t="shared" si="84"/>
        <v>44-10-2023</v>
      </c>
      <c r="M2233">
        <f t="shared" si="85"/>
        <v>2023</v>
      </c>
    </row>
    <row r="2234" spans="1:13" x14ac:dyDescent="0.2">
      <c r="A2234" s="1">
        <f t="shared" si="86"/>
        <v>45229</v>
      </c>
      <c r="B2234">
        <f t="shared" si="83"/>
        <v>44</v>
      </c>
      <c r="C2234">
        <f t="shared" si="87"/>
        <v>10</v>
      </c>
      <c r="D2234">
        <f t="shared" si="88"/>
        <v>4</v>
      </c>
      <c r="E2234" t="s">
        <v>49</v>
      </c>
      <c r="F2234">
        <v>0</v>
      </c>
      <c r="G2234">
        <f>INDEX(weekly!$E$2:$E$188,MATCH('Marketing Campaigns 22.11.22'!L2234,weekly!$H$2:$H$188,0))</f>
        <v>2225.1274860874914</v>
      </c>
      <c r="H2234">
        <f>INDEX(weekly!$D$2:$D$188,MATCH('Marketing Campaigns 22.11.22'!L2234,weekly!$H$2:$H$188,0))</f>
        <v>4895.3949173851479</v>
      </c>
      <c r="I2234">
        <f>INDEX(weekly!$F$2:$F$188,MATCH('Marketing Campaigns 22.11.22'!L2234,weekly!$H$2:$H$188,0))</f>
        <v>1147.7903270250454</v>
      </c>
      <c r="J2234">
        <v>0</v>
      </c>
      <c r="K2234">
        <v>0</v>
      </c>
      <c r="L2234" t="str">
        <f t="shared" si="84"/>
        <v>44-10-2023</v>
      </c>
      <c r="M2234">
        <f t="shared" si="85"/>
        <v>2023</v>
      </c>
    </row>
    <row r="2235" spans="1:13" x14ac:dyDescent="0.2">
      <c r="A2235" s="1">
        <f t="shared" si="86"/>
        <v>45229</v>
      </c>
      <c r="B2235">
        <f t="shared" si="83"/>
        <v>44</v>
      </c>
      <c r="C2235">
        <f t="shared" si="87"/>
        <v>10</v>
      </c>
      <c r="D2235">
        <f t="shared" si="88"/>
        <v>4</v>
      </c>
      <c r="E2235" t="s">
        <v>50</v>
      </c>
      <c r="F2235">
        <v>0</v>
      </c>
      <c r="G2235">
        <f>INDEX(weekly!$E$2:$E$188,MATCH('Marketing Campaigns 22.11.22'!L2235,weekly!$H$2:$H$188,0))</f>
        <v>2225.1274860874914</v>
      </c>
      <c r="H2235">
        <f>INDEX(weekly!$D$2:$D$188,MATCH('Marketing Campaigns 22.11.22'!L2235,weekly!$H$2:$H$188,0))</f>
        <v>4895.3949173851479</v>
      </c>
      <c r="I2235">
        <f>INDEX(weekly!$F$2:$F$188,MATCH('Marketing Campaigns 22.11.22'!L2235,weekly!$H$2:$H$188,0))</f>
        <v>1147.7903270250454</v>
      </c>
      <c r="J2235">
        <v>0</v>
      </c>
      <c r="K2235">
        <v>0</v>
      </c>
      <c r="L2235" t="str">
        <f t="shared" si="84"/>
        <v>44-10-2023</v>
      </c>
      <c r="M2235">
        <f t="shared" si="85"/>
        <v>2023</v>
      </c>
    </row>
    <row r="2236" spans="1:13" x14ac:dyDescent="0.2">
      <c r="A2236" s="1">
        <f t="shared" si="86"/>
        <v>45229</v>
      </c>
      <c r="B2236">
        <f t="shared" si="83"/>
        <v>44</v>
      </c>
      <c r="C2236">
        <f t="shared" si="87"/>
        <v>10</v>
      </c>
      <c r="D2236">
        <f t="shared" si="88"/>
        <v>4</v>
      </c>
      <c r="E2236" t="s">
        <v>51</v>
      </c>
      <c r="F2236">
        <v>0</v>
      </c>
      <c r="G2236">
        <f>INDEX(weekly!$E$2:$E$188,MATCH('Marketing Campaigns 22.11.22'!L2236,weekly!$H$2:$H$188,0))</f>
        <v>2225.1274860874914</v>
      </c>
      <c r="H2236">
        <f>INDEX(weekly!$D$2:$D$188,MATCH('Marketing Campaigns 22.11.22'!L2236,weekly!$H$2:$H$188,0))</f>
        <v>4895.3949173851479</v>
      </c>
      <c r="I2236">
        <f>INDEX(weekly!$F$2:$F$188,MATCH('Marketing Campaigns 22.11.22'!L2236,weekly!$H$2:$H$188,0))</f>
        <v>1147.7903270250454</v>
      </c>
      <c r="J2236">
        <v>0</v>
      </c>
      <c r="K2236">
        <v>0</v>
      </c>
      <c r="L2236" t="str">
        <f t="shared" si="84"/>
        <v>44-10-2023</v>
      </c>
      <c r="M2236">
        <f t="shared" si="85"/>
        <v>2023</v>
      </c>
    </row>
    <row r="2237" spans="1:13" x14ac:dyDescent="0.2">
      <c r="A2237" s="1">
        <f t="shared" si="86"/>
        <v>45229</v>
      </c>
      <c r="B2237">
        <f t="shared" si="83"/>
        <v>44</v>
      </c>
      <c r="C2237">
        <f t="shared" si="87"/>
        <v>10</v>
      </c>
      <c r="D2237">
        <f t="shared" si="88"/>
        <v>4</v>
      </c>
      <c r="E2237" t="s">
        <v>52</v>
      </c>
      <c r="F2237">
        <v>0</v>
      </c>
      <c r="G2237">
        <f>INDEX(weekly!$E$2:$E$188,MATCH('Marketing Campaigns 22.11.22'!L2237,weekly!$H$2:$H$188,0))</f>
        <v>2225.1274860874914</v>
      </c>
      <c r="H2237">
        <f>INDEX(weekly!$D$2:$D$188,MATCH('Marketing Campaigns 22.11.22'!L2237,weekly!$H$2:$H$188,0))</f>
        <v>4895.3949173851479</v>
      </c>
      <c r="I2237">
        <f>INDEX(weekly!$F$2:$F$188,MATCH('Marketing Campaigns 22.11.22'!L2237,weekly!$H$2:$H$188,0))</f>
        <v>1147.7903270250454</v>
      </c>
      <c r="J2237">
        <v>0</v>
      </c>
      <c r="K2237">
        <v>0</v>
      </c>
      <c r="L2237" t="str">
        <f t="shared" si="84"/>
        <v>44-10-2023</v>
      </c>
      <c r="M2237">
        <f t="shared" si="85"/>
        <v>2023</v>
      </c>
    </row>
    <row r="2238" spans="1:13" x14ac:dyDescent="0.2">
      <c r="A2238" s="1">
        <f t="shared" si="86"/>
        <v>45236</v>
      </c>
      <c r="B2238">
        <f>IF(E2238="None",B2237+1,B2237)</f>
        <v>45</v>
      </c>
      <c r="C2238">
        <f t="shared" si="87"/>
        <v>11</v>
      </c>
      <c r="D2238">
        <f t="shared" si="88"/>
        <v>4</v>
      </c>
      <c r="E2238" t="s">
        <v>24</v>
      </c>
      <c r="F2238">
        <v>0</v>
      </c>
      <c r="G2238">
        <f>INDEX(weekly!$E$2:$E$188,MATCH('Marketing Campaigns 22.11.22'!L2238,weekly!$H$2:$H$188,0))</f>
        <v>5877.0152790929151</v>
      </c>
      <c r="H2238">
        <f>INDEX(weekly!$D$2:$D$188,MATCH('Marketing Campaigns 22.11.22'!L2238,weekly!$H$2:$H$188,0))</f>
        <v>16620.32209839049</v>
      </c>
      <c r="I2238">
        <f>INDEX(weekly!$F$2:$F$188,MATCH('Marketing Campaigns 22.11.22'!L2238,weekly!$H$2:$H$188,0))</f>
        <v>4674.3885396097885</v>
      </c>
      <c r="J2238">
        <v>0</v>
      </c>
      <c r="K2238">
        <v>0</v>
      </c>
      <c r="L2238" t="str">
        <f t="shared" si="84"/>
        <v>45-11-2023</v>
      </c>
      <c r="M2238">
        <f t="shared" si="85"/>
        <v>2023</v>
      </c>
    </row>
    <row r="2239" spans="1:13" x14ac:dyDescent="0.2">
      <c r="A2239" s="1">
        <f t="shared" si="86"/>
        <v>45236</v>
      </c>
      <c r="B2239">
        <f t="shared" si="83"/>
        <v>45</v>
      </c>
      <c r="C2239">
        <f t="shared" si="87"/>
        <v>11</v>
      </c>
      <c r="D2239">
        <f t="shared" si="88"/>
        <v>4</v>
      </c>
      <c r="E2239" t="s">
        <v>39</v>
      </c>
      <c r="F2239">
        <v>0</v>
      </c>
      <c r="G2239">
        <f>INDEX(weekly!$E$2:$E$188,MATCH('Marketing Campaigns 22.11.22'!L2239,weekly!$H$2:$H$188,0))</f>
        <v>5877.0152790929151</v>
      </c>
      <c r="H2239">
        <f>INDEX(weekly!$D$2:$D$188,MATCH('Marketing Campaigns 22.11.22'!L2239,weekly!$H$2:$H$188,0))</f>
        <v>16620.32209839049</v>
      </c>
      <c r="I2239">
        <f>INDEX(weekly!$F$2:$F$188,MATCH('Marketing Campaigns 22.11.22'!L2239,weekly!$H$2:$H$188,0))</f>
        <v>4674.3885396097885</v>
      </c>
      <c r="J2239">
        <v>0</v>
      </c>
      <c r="K2239">
        <v>0</v>
      </c>
      <c r="L2239" t="str">
        <f t="shared" si="84"/>
        <v>45-11-2023</v>
      </c>
      <c r="M2239">
        <f t="shared" si="85"/>
        <v>2023</v>
      </c>
    </row>
    <row r="2240" spans="1:13" x14ac:dyDescent="0.2">
      <c r="A2240" s="1">
        <f t="shared" si="86"/>
        <v>45236</v>
      </c>
      <c r="B2240">
        <f t="shared" ref="B2240:B2303" si="89">IF(E2240="None",B2239+1,B2239)</f>
        <v>45</v>
      </c>
      <c r="C2240">
        <f t="shared" si="87"/>
        <v>11</v>
      </c>
      <c r="D2240">
        <f t="shared" si="88"/>
        <v>4</v>
      </c>
      <c r="E2240" t="s">
        <v>40</v>
      </c>
      <c r="F2240">
        <v>0</v>
      </c>
      <c r="G2240">
        <f>INDEX(weekly!$E$2:$E$188,MATCH('Marketing Campaigns 22.11.22'!L2240,weekly!$H$2:$H$188,0))</f>
        <v>5877.0152790929151</v>
      </c>
      <c r="H2240">
        <f>INDEX(weekly!$D$2:$D$188,MATCH('Marketing Campaigns 22.11.22'!L2240,weekly!$H$2:$H$188,0))</f>
        <v>16620.32209839049</v>
      </c>
      <c r="I2240">
        <f>INDEX(weekly!$F$2:$F$188,MATCH('Marketing Campaigns 22.11.22'!L2240,weekly!$H$2:$H$188,0))</f>
        <v>4674.3885396097885</v>
      </c>
      <c r="J2240">
        <v>0</v>
      </c>
      <c r="K2240">
        <v>0</v>
      </c>
      <c r="L2240" t="str">
        <f t="shared" si="84"/>
        <v>45-11-2023</v>
      </c>
      <c r="M2240">
        <f t="shared" si="85"/>
        <v>2023</v>
      </c>
    </row>
    <row r="2241" spans="1:13" x14ac:dyDescent="0.2">
      <c r="A2241" s="1">
        <f t="shared" si="86"/>
        <v>45236</v>
      </c>
      <c r="B2241">
        <f t="shared" si="89"/>
        <v>45</v>
      </c>
      <c r="C2241">
        <f t="shared" si="87"/>
        <v>11</v>
      </c>
      <c r="D2241">
        <f t="shared" si="88"/>
        <v>4</v>
      </c>
      <c r="E2241" t="s">
        <v>41</v>
      </c>
      <c r="F2241">
        <v>0</v>
      </c>
      <c r="G2241">
        <f>INDEX(weekly!$E$2:$E$188,MATCH('Marketing Campaigns 22.11.22'!L2241,weekly!$H$2:$H$188,0))</f>
        <v>5877.0152790929151</v>
      </c>
      <c r="H2241">
        <f>INDEX(weekly!$D$2:$D$188,MATCH('Marketing Campaigns 22.11.22'!L2241,weekly!$H$2:$H$188,0))</f>
        <v>16620.32209839049</v>
      </c>
      <c r="I2241">
        <f>INDEX(weekly!$F$2:$F$188,MATCH('Marketing Campaigns 22.11.22'!L2241,weekly!$H$2:$H$188,0))</f>
        <v>4674.3885396097885</v>
      </c>
      <c r="J2241">
        <v>0</v>
      </c>
      <c r="K2241">
        <v>0</v>
      </c>
      <c r="L2241" t="str">
        <f t="shared" si="84"/>
        <v>45-11-2023</v>
      </c>
      <c r="M2241">
        <f t="shared" si="85"/>
        <v>2023</v>
      </c>
    </row>
    <row r="2242" spans="1:13" x14ac:dyDescent="0.2">
      <c r="A2242" s="1">
        <f t="shared" si="86"/>
        <v>45236</v>
      </c>
      <c r="B2242">
        <f t="shared" si="89"/>
        <v>45</v>
      </c>
      <c r="C2242">
        <f t="shared" si="87"/>
        <v>11</v>
      </c>
      <c r="D2242">
        <f t="shared" si="88"/>
        <v>4</v>
      </c>
      <c r="E2242" t="s">
        <v>42</v>
      </c>
      <c r="F2242">
        <v>0</v>
      </c>
      <c r="G2242">
        <f>INDEX(weekly!$E$2:$E$188,MATCH('Marketing Campaigns 22.11.22'!L2242,weekly!$H$2:$H$188,0))</f>
        <v>5877.0152790929151</v>
      </c>
      <c r="H2242">
        <f>INDEX(weekly!$D$2:$D$188,MATCH('Marketing Campaigns 22.11.22'!L2242,weekly!$H$2:$H$188,0))</f>
        <v>16620.32209839049</v>
      </c>
      <c r="I2242">
        <f>INDEX(weekly!$F$2:$F$188,MATCH('Marketing Campaigns 22.11.22'!L2242,weekly!$H$2:$H$188,0))</f>
        <v>4674.3885396097885</v>
      </c>
      <c r="J2242">
        <v>0</v>
      </c>
      <c r="K2242">
        <v>0</v>
      </c>
      <c r="L2242" t="str">
        <f t="shared" si="84"/>
        <v>45-11-2023</v>
      </c>
      <c r="M2242">
        <f t="shared" si="85"/>
        <v>2023</v>
      </c>
    </row>
    <row r="2243" spans="1:13" x14ac:dyDescent="0.2">
      <c r="A2243" s="1">
        <f t="shared" si="86"/>
        <v>45236</v>
      </c>
      <c r="B2243">
        <f t="shared" si="89"/>
        <v>45</v>
      </c>
      <c r="C2243">
        <f t="shared" si="87"/>
        <v>11</v>
      </c>
      <c r="D2243">
        <f t="shared" si="88"/>
        <v>4</v>
      </c>
      <c r="E2243" t="s">
        <v>43</v>
      </c>
      <c r="F2243">
        <v>0</v>
      </c>
      <c r="G2243">
        <f>INDEX(weekly!$E$2:$E$188,MATCH('Marketing Campaigns 22.11.22'!L2243,weekly!$H$2:$H$188,0))</f>
        <v>5877.0152790929151</v>
      </c>
      <c r="H2243">
        <f>INDEX(weekly!$D$2:$D$188,MATCH('Marketing Campaigns 22.11.22'!L2243,weekly!$H$2:$H$188,0))</f>
        <v>16620.32209839049</v>
      </c>
      <c r="I2243">
        <f>INDEX(weekly!$F$2:$F$188,MATCH('Marketing Campaigns 22.11.22'!L2243,weekly!$H$2:$H$188,0))</f>
        <v>4674.3885396097885</v>
      </c>
      <c r="J2243">
        <v>0</v>
      </c>
      <c r="K2243">
        <v>0</v>
      </c>
      <c r="L2243" t="str">
        <f t="shared" si="84"/>
        <v>45-11-2023</v>
      </c>
      <c r="M2243">
        <f t="shared" si="85"/>
        <v>2023</v>
      </c>
    </row>
    <row r="2244" spans="1:13" x14ac:dyDescent="0.2">
      <c r="A2244" s="1">
        <f t="shared" si="86"/>
        <v>45236</v>
      </c>
      <c r="B2244">
        <f t="shared" si="89"/>
        <v>45</v>
      </c>
      <c r="C2244">
        <f t="shared" si="87"/>
        <v>11</v>
      </c>
      <c r="D2244">
        <f t="shared" si="88"/>
        <v>4</v>
      </c>
      <c r="E2244" t="s">
        <v>44</v>
      </c>
      <c r="F2244">
        <v>0</v>
      </c>
      <c r="G2244">
        <f>INDEX(weekly!$E$2:$E$188,MATCH('Marketing Campaigns 22.11.22'!L2244,weekly!$H$2:$H$188,0))</f>
        <v>5877.0152790929151</v>
      </c>
      <c r="H2244">
        <f>INDEX(weekly!$D$2:$D$188,MATCH('Marketing Campaigns 22.11.22'!L2244,weekly!$H$2:$H$188,0))</f>
        <v>16620.32209839049</v>
      </c>
      <c r="I2244">
        <f>INDEX(weekly!$F$2:$F$188,MATCH('Marketing Campaigns 22.11.22'!L2244,weekly!$H$2:$H$188,0))</f>
        <v>4674.3885396097885</v>
      </c>
      <c r="J2244">
        <v>0</v>
      </c>
      <c r="K2244">
        <v>0</v>
      </c>
      <c r="L2244" t="str">
        <f t="shared" ref="L2244:L2307" si="90">B2244&amp;"-"&amp;C2244&amp;"-"&amp;M2244</f>
        <v>45-11-2023</v>
      </c>
      <c r="M2244">
        <f t="shared" ref="M2244:M2307" si="91">YEAR(A2244)</f>
        <v>2023</v>
      </c>
    </row>
    <row r="2245" spans="1:13" x14ac:dyDescent="0.2">
      <c r="A2245" s="1">
        <f t="shared" si="86"/>
        <v>45236</v>
      </c>
      <c r="B2245">
        <f t="shared" si="89"/>
        <v>45</v>
      </c>
      <c r="C2245">
        <f t="shared" si="87"/>
        <v>11</v>
      </c>
      <c r="D2245">
        <f t="shared" si="88"/>
        <v>4</v>
      </c>
      <c r="E2245" t="s">
        <v>45</v>
      </c>
      <c r="F2245">
        <v>0</v>
      </c>
      <c r="G2245">
        <f>INDEX(weekly!$E$2:$E$188,MATCH('Marketing Campaigns 22.11.22'!L2245,weekly!$H$2:$H$188,0))</f>
        <v>5877.0152790929151</v>
      </c>
      <c r="H2245">
        <f>INDEX(weekly!$D$2:$D$188,MATCH('Marketing Campaigns 22.11.22'!L2245,weekly!$H$2:$H$188,0))</f>
        <v>16620.32209839049</v>
      </c>
      <c r="I2245">
        <f>INDEX(weekly!$F$2:$F$188,MATCH('Marketing Campaigns 22.11.22'!L2245,weekly!$H$2:$H$188,0))</f>
        <v>4674.3885396097885</v>
      </c>
      <c r="J2245">
        <v>0</v>
      </c>
      <c r="K2245">
        <v>0</v>
      </c>
      <c r="L2245" t="str">
        <f t="shared" si="90"/>
        <v>45-11-2023</v>
      </c>
      <c r="M2245">
        <f t="shared" si="91"/>
        <v>2023</v>
      </c>
    </row>
    <row r="2246" spans="1:13" x14ac:dyDescent="0.2">
      <c r="A2246" s="1">
        <f t="shared" si="86"/>
        <v>45236</v>
      </c>
      <c r="B2246">
        <f t="shared" si="89"/>
        <v>45</v>
      </c>
      <c r="C2246">
        <f t="shared" si="87"/>
        <v>11</v>
      </c>
      <c r="D2246">
        <f t="shared" si="88"/>
        <v>4</v>
      </c>
      <c r="E2246" t="s">
        <v>46</v>
      </c>
      <c r="F2246">
        <v>0</v>
      </c>
      <c r="G2246">
        <f>INDEX(weekly!$E$2:$E$188,MATCH('Marketing Campaigns 22.11.22'!L2246,weekly!$H$2:$H$188,0))</f>
        <v>5877.0152790929151</v>
      </c>
      <c r="H2246">
        <f>INDEX(weekly!$D$2:$D$188,MATCH('Marketing Campaigns 22.11.22'!L2246,weekly!$H$2:$H$188,0))</f>
        <v>16620.32209839049</v>
      </c>
      <c r="I2246">
        <f>INDEX(weekly!$F$2:$F$188,MATCH('Marketing Campaigns 22.11.22'!L2246,weekly!$H$2:$H$188,0))</f>
        <v>4674.3885396097885</v>
      </c>
      <c r="J2246">
        <v>0</v>
      </c>
      <c r="K2246">
        <v>0</v>
      </c>
      <c r="L2246" t="str">
        <f t="shared" si="90"/>
        <v>45-11-2023</v>
      </c>
      <c r="M2246">
        <f t="shared" si="91"/>
        <v>2023</v>
      </c>
    </row>
    <row r="2247" spans="1:13" x14ac:dyDescent="0.2">
      <c r="A2247" s="1">
        <f t="shared" si="86"/>
        <v>45236</v>
      </c>
      <c r="B2247">
        <f t="shared" si="89"/>
        <v>45</v>
      </c>
      <c r="C2247">
        <f t="shared" si="87"/>
        <v>11</v>
      </c>
      <c r="D2247">
        <f t="shared" si="88"/>
        <v>4</v>
      </c>
      <c r="E2247" t="s">
        <v>47</v>
      </c>
      <c r="F2247">
        <v>0</v>
      </c>
      <c r="G2247">
        <f>INDEX(weekly!$E$2:$E$188,MATCH('Marketing Campaigns 22.11.22'!L2247,weekly!$H$2:$H$188,0))</f>
        <v>5877.0152790929151</v>
      </c>
      <c r="H2247">
        <f>INDEX(weekly!$D$2:$D$188,MATCH('Marketing Campaigns 22.11.22'!L2247,weekly!$H$2:$H$188,0))</f>
        <v>16620.32209839049</v>
      </c>
      <c r="I2247">
        <f>INDEX(weekly!$F$2:$F$188,MATCH('Marketing Campaigns 22.11.22'!L2247,weekly!$H$2:$H$188,0))</f>
        <v>4674.3885396097885</v>
      </c>
      <c r="J2247">
        <v>0</v>
      </c>
      <c r="K2247">
        <v>0</v>
      </c>
      <c r="L2247" t="str">
        <f t="shared" si="90"/>
        <v>45-11-2023</v>
      </c>
      <c r="M2247">
        <f t="shared" si="91"/>
        <v>2023</v>
      </c>
    </row>
    <row r="2248" spans="1:13" x14ac:dyDescent="0.2">
      <c r="A2248" s="1">
        <f t="shared" si="86"/>
        <v>45236</v>
      </c>
      <c r="B2248">
        <f t="shared" si="89"/>
        <v>45</v>
      </c>
      <c r="C2248">
        <f t="shared" si="87"/>
        <v>11</v>
      </c>
      <c r="D2248">
        <f t="shared" si="88"/>
        <v>4</v>
      </c>
      <c r="E2248" t="s">
        <v>48</v>
      </c>
      <c r="F2248">
        <v>0</v>
      </c>
      <c r="G2248">
        <f>INDEX(weekly!$E$2:$E$188,MATCH('Marketing Campaigns 22.11.22'!L2248,weekly!$H$2:$H$188,0))</f>
        <v>5877.0152790929151</v>
      </c>
      <c r="H2248">
        <f>INDEX(weekly!$D$2:$D$188,MATCH('Marketing Campaigns 22.11.22'!L2248,weekly!$H$2:$H$188,0))</f>
        <v>16620.32209839049</v>
      </c>
      <c r="I2248">
        <f>INDEX(weekly!$F$2:$F$188,MATCH('Marketing Campaigns 22.11.22'!L2248,weekly!$H$2:$H$188,0))</f>
        <v>4674.3885396097885</v>
      </c>
      <c r="J2248">
        <v>0</v>
      </c>
      <c r="K2248">
        <v>0</v>
      </c>
      <c r="L2248" t="str">
        <f t="shared" si="90"/>
        <v>45-11-2023</v>
      </c>
      <c r="M2248">
        <f t="shared" si="91"/>
        <v>2023</v>
      </c>
    </row>
    <row r="2249" spans="1:13" x14ac:dyDescent="0.2">
      <c r="A2249" s="1">
        <f t="shared" si="86"/>
        <v>45236</v>
      </c>
      <c r="B2249">
        <f t="shared" si="89"/>
        <v>45</v>
      </c>
      <c r="C2249">
        <f t="shared" si="87"/>
        <v>11</v>
      </c>
      <c r="D2249">
        <f t="shared" si="88"/>
        <v>4</v>
      </c>
      <c r="E2249" t="s">
        <v>49</v>
      </c>
      <c r="F2249">
        <v>0</v>
      </c>
      <c r="G2249">
        <f>INDEX(weekly!$E$2:$E$188,MATCH('Marketing Campaigns 22.11.22'!L2249,weekly!$H$2:$H$188,0))</f>
        <v>5877.0152790929151</v>
      </c>
      <c r="H2249">
        <f>INDEX(weekly!$D$2:$D$188,MATCH('Marketing Campaigns 22.11.22'!L2249,weekly!$H$2:$H$188,0))</f>
        <v>16620.32209839049</v>
      </c>
      <c r="I2249">
        <f>INDEX(weekly!$F$2:$F$188,MATCH('Marketing Campaigns 22.11.22'!L2249,weekly!$H$2:$H$188,0))</f>
        <v>4674.3885396097885</v>
      </c>
      <c r="J2249">
        <v>0</v>
      </c>
      <c r="K2249">
        <v>0</v>
      </c>
      <c r="L2249" t="str">
        <f t="shared" si="90"/>
        <v>45-11-2023</v>
      </c>
      <c r="M2249">
        <f t="shared" si="91"/>
        <v>2023</v>
      </c>
    </row>
    <row r="2250" spans="1:13" x14ac:dyDescent="0.2">
      <c r="A2250" s="1">
        <f t="shared" si="86"/>
        <v>45236</v>
      </c>
      <c r="B2250">
        <f t="shared" si="89"/>
        <v>45</v>
      </c>
      <c r="C2250">
        <f t="shared" si="87"/>
        <v>11</v>
      </c>
      <c r="D2250">
        <f t="shared" si="88"/>
        <v>4</v>
      </c>
      <c r="E2250" t="s">
        <v>50</v>
      </c>
      <c r="F2250">
        <v>0</v>
      </c>
      <c r="G2250">
        <f>INDEX(weekly!$E$2:$E$188,MATCH('Marketing Campaigns 22.11.22'!L2250,weekly!$H$2:$H$188,0))</f>
        <v>5877.0152790929151</v>
      </c>
      <c r="H2250">
        <f>INDEX(weekly!$D$2:$D$188,MATCH('Marketing Campaigns 22.11.22'!L2250,weekly!$H$2:$H$188,0))</f>
        <v>16620.32209839049</v>
      </c>
      <c r="I2250">
        <f>INDEX(weekly!$F$2:$F$188,MATCH('Marketing Campaigns 22.11.22'!L2250,weekly!$H$2:$H$188,0))</f>
        <v>4674.3885396097885</v>
      </c>
      <c r="J2250">
        <v>0</v>
      </c>
      <c r="K2250">
        <v>0</v>
      </c>
      <c r="L2250" t="str">
        <f t="shared" si="90"/>
        <v>45-11-2023</v>
      </c>
      <c r="M2250">
        <f t="shared" si="91"/>
        <v>2023</v>
      </c>
    </row>
    <row r="2251" spans="1:13" x14ac:dyDescent="0.2">
      <c r="A2251" s="1">
        <f t="shared" si="86"/>
        <v>45236</v>
      </c>
      <c r="B2251">
        <f t="shared" si="89"/>
        <v>45</v>
      </c>
      <c r="C2251">
        <f t="shared" si="87"/>
        <v>11</v>
      </c>
      <c r="D2251">
        <f t="shared" si="88"/>
        <v>4</v>
      </c>
      <c r="E2251" t="s">
        <v>51</v>
      </c>
      <c r="F2251">
        <v>0</v>
      </c>
      <c r="G2251">
        <f>INDEX(weekly!$E$2:$E$188,MATCH('Marketing Campaigns 22.11.22'!L2251,weekly!$H$2:$H$188,0))</f>
        <v>5877.0152790929151</v>
      </c>
      <c r="H2251">
        <f>INDEX(weekly!$D$2:$D$188,MATCH('Marketing Campaigns 22.11.22'!L2251,weekly!$H$2:$H$188,0))</f>
        <v>16620.32209839049</v>
      </c>
      <c r="I2251">
        <f>INDEX(weekly!$F$2:$F$188,MATCH('Marketing Campaigns 22.11.22'!L2251,weekly!$H$2:$H$188,0))</f>
        <v>4674.3885396097885</v>
      </c>
      <c r="J2251">
        <v>0</v>
      </c>
      <c r="K2251">
        <v>0</v>
      </c>
      <c r="L2251" t="str">
        <f t="shared" si="90"/>
        <v>45-11-2023</v>
      </c>
      <c r="M2251">
        <f t="shared" si="91"/>
        <v>2023</v>
      </c>
    </row>
    <row r="2252" spans="1:13" x14ac:dyDescent="0.2">
      <c r="A2252" s="1">
        <f t="shared" si="86"/>
        <v>45236</v>
      </c>
      <c r="B2252">
        <f t="shared" si="89"/>
        <v>45</v>
      </c>
      <c r="C2252">
        <f t="shared" si="87"/>
        <v>11</v>
      </c>
      <c r="D2252">
        <f t="shared" si="88"/>
        <v>4</v>
      </c>
      <c r="E2252" t="s">
        <v>52</v>
      </c>
      <c r="F2252">
        <v>0</v>
      </c>
      <c r="G2252">
        <f>INDEX(weekly!$E$2:$E$188,MATCH('Marketing Campaigns 22.11.22'!L2252,weekly!$H$2:$H$188,0))</f>
        <v>5877.0152790929151</v>
      </c>
      <c r="H2252">
        <f>INDEX(weekly!$D$2:$D$188,MATCH('Marketing Campaigns 22.11.22'!L2252,weekly!$H$2:$H$188,0))</f>
        <v>16620.32209839049</v>
      </c>
      <c r="I2252">
        <f>INDEX(weekly!$F$2:$F$188,MATCH('Marketing Campaigns 22.11.22'!L2252,weekly!$H$2:$H$188,0))</f>
        <v>4674.3885396097885</v>
      </c>
      <c r="J2252">
        <v>0</v>
      </c>
      <c r="K2252">
        <v>0</v>
      </c>
      <c r="L2252" t="str">
        <f t="shared" si="90"/>
        <v>45-11-2023</v>
      </c>
      <c r="M2252">
        <f t="shared" si="91"/>
        <v>2023</v>
      </c>
    </row>
    <row r="2253" spans="1:13" x14ac:dyDescent="0.2">
      <c r="A2253" s="1">
        <f t="shared" si="86"/>
        <v>45243</v>
      </c>
      <c r="B2253">
        <f>IF(E2253="None",B2252+1,B2252)</f>
        <v>46</v>
      </c>
      <c r="C2253">
        <f t="shared" si="87"/>
        <v>11</v>
      </c>
      <c r="D2253">
        <f t="shared" si="88"/>
        <v>4</v>
      </c>
      <c r="E2253" t="s">
        <v>24</v>
      </c>
      <c r="F2253">
        <v>0</v>
      </c>
      <c r="G2253">
        <f>INDEX(weekly!$E$2:$E$188,MATCH('Marketing Campaigns 22.11.22'!L2253,weekly!$H$2:$H$188,0))</f>
        <v>5877.0152790929151</v>
      </c>
      <c r="H2253">
        <f>INDEX(weekly!$D$2:$D$188,MATCH('Marketing Campaigns 22.11.22'!L2253,weekly!$H$2:$H$188,0))</f>
        <v>16620.32209839049</v>
      </c>
      <c r="I2253">
        <f>INDEX(weekly!$F$2:$F$188,MATCH('Marketing Campaigns 22.11.22'!L2253,weekly!$H$2:$H$188,0))</f>
        <v>4674.3885396097885</v>
      </c>
      <c r="J2253">
        <v>0</v>
      </c>
      <c r="K2253">
        <v>0</v>
      </c>
      <c r="L2253" t="str">
        <f t="shared" si="90"/>
        <v>46-11-2023</v>
      </c>
      <c r="M2253">
        <f t="shared" si="91"/>
        <v>2023</v>
      </c>
    </row>
    <row r="2254" spans="1:13" x14ac:dyDescent="0.2">
      <c r="A2254" s="1">
        <f t="shared" si="86"/>
        <v>45243</v>
      </c>
      <c r="B2254">
        <f t="shared" si="89"/>
        <v>46</v>
      </c>
      <c r="C2254">
        <f t="shared" si="87"/>
        <v>11</v>
      </c>
      <c r="D2254">
        <f t="shared" si="88"/>
        <v>4</v>
      </c>
      <c r="E2254" t="s">
        <v>39</v>
      </c>
      <c r="F2254">
        <v>0</v>
      </c>
      <c r="G2254">
        <f>INDEX(weekly!$E$2:$E$188,MATCH('Marketing Campaigns 22.11.22'!L2254,weekly!$H$2:$H$188,0))</f>
        <v>5877.0152790929151</v>
      </c>
      <c r="H2254">
        <f>INDEX(weekly!$D$2:$D$188,MATCH('Marketing Campaigns 22.11.22'!L2254,weekly!$H$2:$H$188,0))</f>
        <v>16620.32209839049</v>
      </c>
      <c r="I2254">
        <f>INDEX(weekly!$F$2:$F$188,MATCH('Marketing Campaigns 22.11.22'!L2254,weekly!$H$2:$H$188,0))</f>
        <v>4674.3885396097885</v>
      </c>
      <c r="J2254">
        <v>0</v>
      </c>
      <c r="K2254">
        <v>0</v>
      </c>
      <c r="L2254" t="str">
        <f t="shared" si="90"/>
        <v>46-11-2023</v>
      </c>
      <c r="M2254">
        <f t="shared" si="91"/>
        <v>2023</v>
      </c>
    </row>
    <row r="2255" spans="1:13" x14ac:dyDescent="0.2">
      <c r="A2255" s="1">
        <f t="shared" si="86"/>
        <v>45243</v>
      </c>
      <c r="B2255">
        <f t="shared" si="89"/>
        <v>46</v>
      </c>
      <c r="C2255">
        <f t="shared" si="87"/>
        <v>11</v>
      </c>
      <c r="D2255">
        <f t="shared" si="88"/>
        <v>4</v>
      </c>
      <c r="E2255" t="s">
        <v>40</v>
      </c>
      <c r="F2255">
        <v>0</v>
      </c>
      <c r="G2255">
        <f>INDEX(weekly!$E$2:$E$188,MATCH('Marketing Campaigns 22.11.22'!L2255,weekly!$H$2:$H$188,0))</f>
        <v>5877.0152790929151</v>
      </c>
      <c r="H2255">
        <f>INDEX(weekly!$D$2:$D$188,MATCH('Marketing Campaigns 22.11.22'!L2255,weekly!$H$2:$H$188,0))</f>
        <v>16620.32209839049</v>
      </c>
      <c r="I2255">
        <f>INDEX(weekly!$F$2:$F$188,MATCH('Marketing Campaigns 22.11.22'!L2255,weekly!$H$2:$H$188,0))</f>
        <v>4674.3885396097885</v>
      </c>
      <c r="J2255">
        <v>0</v>
      </c>
      <c r="K2255">
        <v>0</v>
      </c>
      <c r="L2255" t="str">
        <f t="shared" si="90"/>
        <v>46-11-2023</v>
      </c>
      <c r="M2255">
        <f t="shared" si="91"/>
        <v>2023</v>
      </c>
    </row>
    <row r="2256" spans="1:13" x14ac:dyDescent="0.2">
      <c r="A2256" s="1">
        <f t="shared" si="86"/>
        <v>45243</v>
      </c>
      <c r="B2256">
        <f t="shared" si="89"/>
        <v>46</v>
      </c>
      <c r="C2256">
        <f t="shared" si="87"/>
        <v>11</v>
      </c>
      <c r="D2256">
        <f t="shared" si="88"/>
        <v>4</v>
      </c>
      <c r="E2256" t="s">
        <v>41</v>
      </c>
      <c r="F2256">
        <v>0</v>
      </c>
      <c r="G2256">
        <f>INDEX(weekly!$E$2:$E$188,MATCH('Marketing Campaigns 22.11.22'!L2256,weekly!$H$2:$H$188,0))</f>
        <v>5877.0152790929151</v>
      </c>
      <c r="H2256">
        <f>INDEX(weekly!$D$2:$D$188,MATCH('Marketing Campaigns 22.11.22'!L2256,weekly!$H$2:$H$188,0))</f>
        <v>16620.32209839049</v>
      </c>
      <c r="I2256">
        <f>INDEX(weekly!$F$2:$F$188,MATCH('Marketing Campaigns 22.11.22'!L2256,weekly!$H$2:$H$188,0))</f>
        <v>4674.3885396097885</v>
      </c>
      <c r="J2256">
        <v>0</v>
      </c>
      <c r="K2256">
        <v>0</v>
      </c>
      <c r="L2256" t="str">
        <f t="shared" si="90"/>
        <v>46-11-2023</v>
      </c>
      <c r="M2256">
        <f t="shared" si="91"/>
        <v>2023</v>
      </c>
    </row>
    <row r="2257" spans="1:13" x14ac:dyDescent="0.2">
      <c r="A2257" s="1">
        <f t="shared" si="86"/>
        <v>45243</v>
      </c>
      <c r="B2257">
        <f t="shared" si="89"/>
        <v>46</v>
      </c>
      <c r="C2257">
        <f t="shared" si="87"/>
        <v>11</v>
      </c>
      <c r="D2257">
        <f t="shared" si="88"/>
        <v>4</v>
      </c>
      <c r="E2257" t="s">
        <v>42</v>
      </c>
      <c r="F2257">
        <v>0</v>
      </c>
      <c r="G2257">
        <f>INDEX(weekly!$E$2:$E$188,MATCH('Marketing Campaigns 22.11.22'!L2257,weekly!$H$2:$H$188,0))</f>
        <v>5877.0152790929151</v>
      </c>
      <c r="H2257">
        <f>INDEX(weekly!$D$2:$D$188,MATCH('Marketing Campaigns 22.11.22'!L2257,weekly!$H$2:$H$188,0))</f>
        <v>16620.32209839049</v>
      </c>
      <c r="I2257">
        <f>INDEX(weekly!$F$2:$F$188,MATCH('Marketing Campaigns 22.11.22'!L2257,weekly!$H$2:$H$188,0))</f>
        <v>4674.3885396097885</v>
      </c>
      <c r="J2257">
        <v>0</v>
      </c>
      <c r="K2257">
        <v>0</v>
      </c>
      <c r="L2257" t="str">
        <f t="shared" si="90"/>
        <v>46-11-2023</v>
      </c>
      <c r="M2257">
        <f t="shared" si="91"/>
        <v>2023</v>
      </c>
    </row>
    <row r="2258" spans="1:13" x14ac:dyDescent="0.2">
      <c r="A2258" s="1">
        <f t="shared" si="86"/>
        <v>45243</v>
      </c>
      <c r="B2258">
        <f t="shared" si="89"/>
        <v>46</v>
      </c>
      <c r="C2258">
        <f t="shared" si="87"/>
        <v>11</v>
      </c>
      <c r="D2258">
        <f t="shared" si="88"/>
        <v>4</v>
      </c>
      <c r="E2258" t="s">
        <v>43</v>
      </c>
      <c r="F2258">
        <v>0</v>
      </c>
      <c r="G2258">
        <f>INDEX(weekly!$E$2:$E$188,MATCH('Marketing Campaigns 22.11.22'!L2258,weekly!$H$2:$H$188,0))</f>
        <v>5877.0152790929151</v>
      </c>
      <c r="H2258">
        <f>INDEX(weekly!$D$2:$D$188,MATCH('Marketing Campaigns 22.11.22'!L2258,weekly!$H$2:$H$188,0))</f>
        <v>16620.32209839049</v>
      </c>
      <c r="I2258">
        <f>INDEX(weekly!$F$2:$F$188,MATCH('Marketing Campaigns 22.11.22'!L2258,weekly!$H$2:$H$188,0))</f>
        <v>4674.3885396097885</v>
      </c>
      <c r="J2258">
        <v>0</v>
      </c>
      <c r="K2258">
        <v>0</v>
      </c>
      <c r="L2258" t="str">
        <f t="shared" si="90"/>
        <v>46-11-2023</v>
      </c>
      <c r="M2258">
        <f t="shared" si="91"/>
        <v>2023</v>
      </c>
    </row>
    <row r="2259" spans="1:13" x14ac:dyDescent="0.2">
      <c r="A2259" s="1">
        <f t="shared" si="86"/>
        <v>45243</v>
      </c>
      <c r="B2259">
        <f t="shared" si="89"/>
        <v>46</v>
      </c>
      <c r="C2259">
        <f t="shared" si="87"/>
        <v>11</v>
      </c>
      <c r="D2259">
        <f t="shared" si="88"/>
        <v>4</v>
      </c>
      <c r="E2259" t="s">
        <v>44</v>
      </c>
      <c r="F2259">
        <v>0</v>
      </c>
      <c r="G2259">
        <f>INDEX(weekly!$E$2:$E$188,MATCH('Marketing Campaigns 22.11.22'!L2259,weekly!$H$2:$H$188,0))</f>
        <v>5877.0152790929151</v>
      </c>
      <c r="H2259">
        <f>INDEX(weekly!$D$2:$D$188,MATCH('Marketing Campaigns 22.11.22'!L2259,weekly!$H$2:$H$188,0))</f>
        <v>16620.32209839049</v>
      </c>
      <c r="I2259">
        <f>INDEX(weekly!$F$2:$F$188,MATCH('Marketing Campaigns 22.11.22'!L2259,weekly!$H$2:$H$188,0))</f>
        <v>4674.3885396097885</v>
      </c>
      <c r="J2259">
        <v>0</v>
      </c>
      <c r="K2259">
        <v>0</v>
      </c>
      <c r="L2259" t="str">
        <f t="shared" si="90"/>
        <v>46-11-2023</v>
      </c>
      <c r="M2259">
        <f t="shared" si="91"/>
        <v>2023</v>
      </c>
    </row>
    <row r="2260" spans="1:13" x14ac:dyDescent="0.2">
      <c r="A2260" s="1">
        <f t="shared" si="86"/>
        <v>45243</v>
      </c>
      <c r="B2260">
        <f t="shared" si="89"/>
        <v>46</v>
      </c>
      <c r="C2260">
        <f t="shared" si="87"/>
        <v>11</v>
      </c>
      <c r="D2260">
        <f t="shared" si="88"/>
        <v>4</v>
      </c>
      <c r="E2260" t="s">
        <v>45</v>
      </c>
      <c r="F2260">
        <v>0</v>
      </c>
      <c r="G2260">
        <f>INDEX(weekly!$E$2:$E$188,MATCH('Marketing Campaigns 22.11.22'!L2260,weekly!$H$2:$H$188,0))</f>
        <v>5877.0152790929151</v>
      </c>
      <c r="H2260">
        <f>INDEX(weekly!$D$2:$D$188,MATCH('Marketing Campaigns 22.11.22'!L2260,weekly!$H$2:$H$188,0))</f>
        <v>16620.32209839049</v>
      </c>
      <c r="I2260">
        <f>INDEX(weekly!$F$2:$F$188,MATCH('Marketing Campaigns 22.11.22'!L2260,weekly!$H$2:$H$188,0))</f>
        <v>4674.3885396097885</v>
      </c>
      <c r="J2260">
        <v>0</v>
      </c>
      <c r="K2260">
        <v>0</v>
      </c>
      <c r="L2260" t="str">
        <f t="shared" si="90"/>
        <v>46-11-2023</v>
      </c>
      <c r="M2260">
        <f t="shared" si="91"/>
        <v>2023</v>
      </c>
    </row>
    <row r="2261" spans="1:13" x14ac:dyDescent="0.2">
      <c r="A2261" s="1">
        <f t="shared" si="86"/>
        <v>45243</v>
      </c>
      <c r="B2261">
        <f t="shared" si="89"/>
        <v>46</v>
      </c>
      <c r="C2261">
        <f t="shared" si="87"/>
        <v>11</v>
      </c>
      <c r="D2261">
        <f t="shared" si="88"/>
        <v>4</v>
      </c>
      <c r="E2261" t="s">
        <v>46</v>
      </c>
      <c r="F2261">
        <v>0</v>
      </c>
      <c r="G2261">
        <f>INDEX(weekly!$E$2:$E$188,MATCH('Marketing Campaigns 22.11.22'!L2261,weekly!$H$2:$H$188,0))</f>
        <v>5877.0152790929151</v>
      </c>
      <c r="H2261">
        <f>INDEX(weekly!$D$2:$D$188,MATCH('Marketing Campaigns 22.11.22'!L2261,weekly!$H$2:$H$188,0))</f>
        <v>16620.32209839049</v>
      </c>
      <c r="I2261">
        <f>INDEX(weekly!$F$2:$F$188,MATCH('Marketing Campaigns 22.11.22'!L2261,weekly!$H$2:$H$188,0))</f>
        <v>4674.3885396097885</v>
      </c>
      <c r="J2261">
        <v>0</v>
      </c>
      <c r="K2261">
        <v>0</v>
      </c>
      <c r="L2261" t="str">
        <f t="shared" si="90"/>
        <v>46-11-2023</v>
      </c>
      <c r="M2261">
        <f t="shared" si="91"/>
        <v>2023</v>
      </c>
    </row>
    <row r="2262" spans="1:13" x14ac:dyDescent="0.2">
      <c r="A2262" s="1">
        <f t="shared" si="86"/>
        <v>45243</v>
      </c>
      <c r="B2262">
        <f t="shared" si="89"/>
        <v>46</v>
      </c>
      <c r="C2262">
        <f t="shared" si="87"/>
        <v>11</v>
      </c>
      <c r="D2262">
        <f t="shared" si="88"/>
        <v>4</v>
      </c>
      <c r="E2262" t="s">
        <v>47</v>
      </c>
      <c r="F2262">
        <v>0</v>
      </c>
      <c r="G2262">
        <f>INDEX(weekly!$E$2:$E$188,MATCH('Marketing Campaigns 22.11.22'!L2262,weekly!$H$2:$H$188,0))</f>
        <v>5877.0152790929151</v>
      </c>
      <c r="H2262">
        <f>INDEX(weekly!$D$2:$D$188,MATCH('Marketing Campaigns 22.11.22'!L2262,weekly!$H$2:$H$188,0))</f>
        <v>16620.32209839049</v>
      </c>
      <c r="I2262">
        <f>INDEX(weekly!$F$2:$F$188,MATCH('Marketing Campaigns 22.11.22'!L2262,weekly!$H$2:$H$188,0))</f>
        <v>4674.3885396097885</v>
      </c>
      <c r="J2262">
        <v>0</v>
      </c>
      <c r="K2262">
        <v>0</v>
      </c>
      <c r="L2262" t="str">
        <f t="shared" si="90"/>
        <v>46-11-2023</v>
      </c>
      <c r="M2262">
        <f t="shared" si="91"/>
        <v>2023</v>
      </c>
    </row>
    <row r="2263" spans="1:13" x14ac:dyDescent="0.2">
      <c r="A2263" s="1">
        <f t="shared" si="86"/>
        <v>45243</v>
      </c>
      <c r="B2263">
        <f t="shared" si="89"/>
        <v>46</v>
      </c>
      <c r="C2263">
        <f t="shared" si="87"/>
        <v>11</v>
      </c>
      <c r="D2263">
        <f t="shared" si="88"/>
        <v>4</v>
      </c>
      <c r="E2263" t="s">
        <v>48</v>
      </c>
      <c r="F2263">
        <v>0</v>
      </c>
      <c r="G2263">
        <f>INDEX(weekly!$E$2:$E$188,MATCH('Marketing Campaigns 22.11.22'!L2263,weekly!$H$2:$H$188,0))</f>
        <v>5877.0152790929151</v>
      </c>
      <c r="H2263">
        <f>INDEX(weekly!$D$2:$D$188,MATCH('Marketing Campaigns 22.11.22'!L2263,weekly!$H$2:$H$188,0))</f>
        <v>16620.32209839049</v>
      </c>
      <c r="I2263">
        <f>INDEX(weekly!$F$2:$F$188,MATCH('Marketing Campaigns 22.11.22'!L2263,weekly!$H$2:$H$188,0))</f>
        <v>4674.3885396097885</v>
      </c>
      <c r="J2263">
        <v>0</v>
      </c>
      <c r="K2263">
        <v>0</v>
      </c>
      <c r="L2263" t="str">
        <f t="shared" si="90"/>
        <v>46-11-2023</v>
      </c>
      <c r="M2263">
        <f t="shared" si="91"/>
        <v>2023</v>
      </c>
    </row>
    <row r="2264" spans="1:13" x14ac:dyDescent="0.2">
      <c r="A2264" s="1">
        <f t="shared" si="86"/>
        <v>45243</v>
      </c>
      <c r="B2264">
        <f t="shared" si="89"/>
        <v>46</v>
      </c>
      <c r="C2264">
        <f t="shared" si="87"/>
        <v>11</v>
      </c>
      <c r="D2264">
        <f t="shared" si="88"/>
        <v>4</v>
      </c>
      <c r="E2264" t="s">
        <v>49</v>
      </c>
      <c r="F2264">
        <v>0</v>
      </c>
      <c r="G2264">
        <f>INDEX(weekly!$E$2:$E$188,MATCH('Marketing Campaigns 22.11.22'!L2264,weekly!$H$2:$H$188,0))</f>
        <v>5877.0152790929151</v>
      </c>
      <c r="H2264">
        <f>INDEX(weekly!$D$2:$D$188,MATCH('Marketing Campaigns 22.11.22'!L2264,weekly!$H$2:$H$188,0))</f>
        <v>16620.32209839049</v>
      </c>
      <c r="I2264">
        <f>INDEX(weekly!$F$2:$F$188,MATCH('Marketing Campaigns 22.11.22'!L2264,weekly!$H$2:$H$188,0))</f>
        <v>4674.3885396097885</v>
      </c>
      <c r="J2264">
        <v>0</v>
      </c>
      <c r="K2264">
        <v>0</v>
      </c>
      <c r="L2264" t="str">
        <f t="shared" si="90"/>
        <v>46-11-2023</v>
      </c>
      <c r="M2264">
        <f t="shared" si="91"/>
        <v>2023</v>
      </c>
    </row>
    <row r="2265" spans="1:13" x14ac:dyDescent="0.2">
      <c r="A2265" s="1">
        <f t="shared" si="86"/>
        <v>45243</v>
      </c>
      <c r="B2265">
        <f t="shared" si="89"/>
        <v>46</v>
      </c>
      <c r="C2265">
        <f t="shared" si="87"/>
        <v>11</v>
      </c>
      <c r="D2265">
        <f t="shared" si="88"/>
        <v>4</v>
      </c>
      <c r="E2265" t="s">
        <v>50</v>
      </c>
      <c r="F2265">
        <v>0</v>
      </c>
      <c r="G2265">
        <f>INDEX(weekly!$E$2:$E$188,MATCH('Marketing Campaigns 22.11.22'!L2265,weekly!$H$2:$H$188,0))</f>
        <v>5877.0152790929151</v>
      </c>
      <c r="H2265">
        <f>INDEX(weekly!$D$2:$D$188,MATCH('Marketing Campaigns 22.11.22'!L2265,weekly!$H$2:$H$188,0))</f>
        <v>16620.32209839049</v>
      </c>
      <c r="I2265">
        <f>INDEX(weekly!$F$2:$F$188,MATCH('Marketing Campaigns 22.11.22'!L2265,weekly!$H$2:$H$188,0))</f>
        <v>4674.3885396097885</v>
      </c>
      <c r="J2265">
        <v>0</v>
      </c>
      <c r="K2265">
        <v>0</v>
      </c>
      <c r="L2265" t="str">
        <f t="shared" si="90"/>
        <v>46-11-2023</v>
      </c>
      <c r="M2265">
        <f t="shared" si="91"/>
        <v>2023</v>
      </c>
    </row>
    <row r="2266" spans="1:13" x14ac:dyDescent="0.2">
      <c r="A2266" s="1">
        <f t="shared" si="86"/>
        <v>45243</v>
      </c>
      <c r="B2266">
        <f t="shared" si="89"/>
        <v>46</v>
      </c>
      <c r="C2266">
        <f t="shared" si="87"/>
        <v>11</v>
      </c>
      <c r="D2266">
        <f t="shared" si="88"/>
        <v>4</v>
      </c>
      <c r="E2266" t="s">
        <v>51</v>
      </c>
      <c r="F2266">
        <v>0</v>
      </c>
      <c r="G2266">
        <f>INDEX(weekly!$E$2:$E$188,MATCH('Marketing Campaigns 22.11.22'!L2266,weekly!$H$2:$H$188,0))</f>
        <v>5877.0152790929151</v>
      </c>
      <c r="H2266">
        <f>INDEX(weekly!$D$2:$D$188,MATCH('Marketing Campaigns 22.11.22'!L2266,weekly!$H$2:$H$188,0))</f>
        <v>16620.32209839049</v>
      </c>
      <c r="I2266">
        <f>INDEX(weekly!$F$2:$F$188,MATCH('Marketing Campaigns 22.11.22'!L2266,weekly!$H$2:$H$188,0))</f>
        <v>4674.3885396097885</v>
      </c>
      <c r="J2266">
        <v>0</v>
      </c>
      <c r="K2266">
        <v>0</v>
      </c>
      <c r="L2266" t="str">
        <f t="shared" si="90"/>
        <v>46-11-2023</v>
      </c>
      <c r="M2266">
        <f t="shared" si="91"/>
        <v>2023</v>
      </c>
    </row>
    <row r="2267" spans="1:13" x14ac:dyDescent="0.2">
      <c r="A2267" s="1">
        <f t="shared" si="86"/>
        <v>45243</v>
      </c>
      <c r="B2267">
        <f t="shared" si="89"/>
        <v>46</v>
      </c>
      <c r="C2267">
        <f t="shared" si="87"/>
        <v>11</v>
      </c>
      <c r="D2267">
        <f t="shared" si="88"/>
        <v>4</v>
      </c>
      <c r="E2267" t="s">
        <v>52</v>
      </c>
      <c r="F2267">
        <v>0</v>
      </c>
      <c r="G2267">
        <f>INDEX(weekly!$E$2:$E$188,MATCH('Marketing Campaigns 22.11.22'!L2267,weekly!$H$2:$H$188,0))</f>
        <v>5877.0152790929151</v>
      </c>
      <c r="H2267">
        <f>INDEX(weekly!$D$2:$D$188,MATCH('Marketing Campaigns 22.11.22'!L2267,weekly!$H$2:$H$188,0))</f>
        <v>16620.32209839049</v>
      </c>
      <c r="I2267">
        <f>INDEX(weekly!$F$2:$F$188,MATCH('Marketing Campaigns 22.11.22'!L2267,weekly!$H$2:$H$188,0))</f>
        <v>4674.3885396097885</v>
      </c>
      <c r="J2267">
        <v>0</v>
      </c>
      <c r="K2267">
        <v>0</v>
      </c>
      <c r="L2267" t="str">
        <f t="shared" si="90"/>
        <v>46-11-2023</v>
      </c>
      <c r="M2267">
        <f t="shared" si="91"/>
        <v>2023</v>
      </c>
    </row>
    <row r="2268" spans="1:13" x14ac:dyDescent="0.2">
      <c r="A2268" s="1">
        <f t="shared" si="86"/>
        <v>45250</v>
      </c>
      <c r="B2268">
        <f>IF(E2268="None",B2267+1,B2267)</f>
        <v>47</v>
      </c>
      <c r="C2268">
        <f t="shared" si="87"/>
        <v>11</v>
      </c>
      <c r="D2268">
        <f t="shared" si="88"/>
        <v>4</v>
      </c>
      <c r="E2268" t="s">
        <v>24</v>
      </c>
      <c r="F2268">
        <v>0</v>
      </c>
      <c r="G2268">
        <f>INDEX(weekly!$E$2:$E$188,MATCH('Marketing Campaigns 22.11.22'!L2268,weekly!$H$2:$H$188,0))</f>
        <v>5877.0152790929151</v>
      </c>
      <c r="H2268">
        <f>INDEX(weekly!$D$2:$D$188,MATCH('Marketing Campaigns 22.11.22'!L2268,weekly!$H$2:$H$188,0))</f>
        <v>16620.32209839049</v>
      </c>
      <c r="I2268">
        <f>INDEX(weekly!$F$2:$F$188,MATCH('Marketing Campaigns 22.11.22'!L2268,weekly!$H$2:$H$188,0))</f>
        <v>4674.3885396097885</v>
      </c>
      <c r="J2268">
        <v>0</v>
      </c>
      <c r="K2268">
        <v>0</v>
      </c>
      <c r="L2268" t="str">
        <f t="shared" si="90"/>
        <v>47-11-2023</v>
      </c>
      <c r="M2268">
        <f t="shared" si="91"/>
        <v>2023</v>
      </c>
    </row>
    <row r="2269" spans="1:13" x14ac:dyDescent="0.2">
      <c r="A2269" s="1">
        <f t="shared" si="86"/>
        <v>45250</v>
      </c>
      <c r="B2269">
        <f t="shared" si="89"/>
        <v>47</v>
      </c>
      <c r="C2269">
        <f t="shared" si="87"/>
        <v>11</v>
      </c>
      <c r="D2269">
        <f t="shared" si="88"/>
        <v>4</v>
      </c>
      <c r="E2269" t="s">
        <v>39</v>
      </c>
      <c r="F2269">
        <v>0</v>
      </c>
      <c r="G2269">
        <f>INDEX(weekly!$E$2:$E$188,MATCH('Marketing Campaigns 22.11.22'!L2269,weekly!$H$2:$H$188,0))</f>
        <v>5877.0152790929151</v>
      </c>
      <c r="H2269">
        <f>INDEX(weekly!$D$2:$D$188,MATCH('Marketing Campaigns 22.11.22'!L2269,weekly!$H$2:$H$188,0))</f>
        <v>16620.32209839049</v>
      </c>
      <c r="I2269">
        <f>INDEX(weekly!$F$2:$F$188,MATCH('Marketing Campaigns 22.11.22'!L2269,weekly!$H$2:$H$188,0))</f>
        <v>4674.3885396097885</v>
      </c>
      <c r="J2269">
        <v>0</v>
      </c>
      <c r="K2269">
        <v>0</v>
      </c>
      <c r="L2269" t="str">
        <f t="shared" si="90"/>
        <v>47-11-2023</v>
      </c>
      <c r="M2269">
        <f t="shared" si="91"/>
        <v>2023</v>
      </c>
    </row>
    <row r="2270" spans="1:13" x14ac:dyDescent="0.2">
      <c r="A2270" s="1">
        <f t="shared" si="86"/>
        <v>45250</v>
      </c>
      <c r="B2270">
        <f t="shared" si="89"/>
        <v>47</v>
      </c>
      <c r="C2270">
        <f t="shared" si="87"/>
        <v>11</v>
      </c>
      <c r="D2270">
        <f t="shared" si="88"/>
        <v>4</v>
      </c>
      <c r="E2270" t="s">
        <v>40</v>
      </c>
      <c r="F2270">
        <v>0</v>
      </c>
      <c r="G2270">
        <f>INDEX(weekly!$E$2:$E$188,MATCH('Marketing Campaigns 22.11.22'!L2270,weekly!$H$2:$H$188,0))</f>
        <v>5877.0152790929151</v>
      </c>
      <c r="H2270">
        <f>INDEX(weekly!$D$2:$D$188,MATCH('Marketing Campaigns 22.11.22'!L2270,weekly!$H$2:$H$188,0))</f>
        <v>16620.32209839049</v>
      </c>
      <c r="I2270">
        <f>INDEX(weekly!$F$2:$F$188,MATCH('Marketing Campaigns 22.11.22'!L2270,weekly!$H$2:$H$188,0))</f>
        <v>4674.3885396097885</v>
      </c>
      <c r="J2270">
        <v>0</v>
      </c>
      <c r="K2270">
        <v>0</v>
      </c>
      <c r="L2270" t="str">
        <f t="shared" si="90"/>
        <v>47-11-2023</v>
      </c>
      <c r="M2270">
        <f t="shared" si="91"/>
        <v>2023</v>
      </c>
    </row>
    <row r="2271" spans="1:13" x14ac:dyDescent="0.2">
      <c r="A2271" s="1">
        <f t="shared" si="86"/>
        <v>45250</v>
      </c>
      <c r="B2271">
        <f t="shared" si="89"/>
        <v>47</v>
      </c>
      <c r="C2271">
        <f t="shared" si="87"/>
        <v>11</v>
      </c>
      <c r="D2271">
        <f t="shared" si="88"/>
        <v>4</v>
      </c>
      <c r="E2271" t="s">
        <v>41</v>
      </c>
      <c r="F2271">
        <v>0</v>
      </c>
      <c r="G2271">
        <f>INDEX(weekly!$E$2:$E$188,MATCH('Marketing Campaigns 22.11.22'!L2271,weekly!$H$2:$H$188,0))</f>
        <v>5877.0152790929151</v>
      </c>
      <c r="H2271">
        <f>INDEX(weekly!$D$2:$D$188,MATCH('Marketing Campaigns 22.11.22'!L2271,weekly!$H$2:$H$188,0))</f>
        <v>16620.32209839049</v>
      </c>
      <c r="I2271">
        <f>INDEX(weekly!$F$2:$F$188,MATCH('Marketing Campaigns 22.11.22'!L2271,weekly!$H$2:$H$188,0))</f>
        <v>4674.3885396097885</v>
      </c>
      <c r="J2271">
        <v>0</v>
      </c>
      <c r="K2271">
        <v>0</v>
      </c>
      <c r="L2271" t="str">
        <f t="shared" si="90"/>
        <v>47-11-2023</v>
      </c>
      <c r="M2271">
        <f t="shared" si="91"/>
        <v>2023</v>
      </c>
    </row>
    <row r="2272" spans="1:13" x14ac:dyDescent="0.2">
      <c r="A2272" s="1">
        <f t="shared" si="86"/>
        <v>45250</v>
      </c>
      <c r="B2272">
        <f t="shared" si="89"/>
        <v>47</v>
      </c>
      <c r="C2272">
        <f t="shared" si="87"/>
        <v>11</v>
      </c>
      <c r="D2272">
        <f t="shared" si="88"/>
        <v>4</v>
      </c>
      <c r="E2272" t="s">
        <v>42</v>
      </c>
      <c r="F2272">
        <v>0</v>
      </c>
      <c r="G2272">
        <f>INDEX(weekly!$E$2:$E$188,MATCH('Marketing Campaigns 22.11.22'!L2272,weekly!$H$2:$H$188,0))</f>
        <v>5877.0152790929151</v>
      </c>
      <c r="H2272">
        <f>INDEX(weekly!$D$2:$D$188,MATCH('Marketing Campaigns 22.11.22'!L2272,weekly!$H$2:$H$188,0))</f>
        <v>16620.32209839049</v>
      </c>
      <c r="I2272">
        <f>INDEX(weekly!$F$2:$F$188,MATCH('Marketing Campaigns 22.11.22'!L2272,weekly!$H$2:$H$188,0))</f>
        <v>4674.3885396097885</v>
      </c>
      <c r="J2272">
        <v>0</v>
      </c>
      <c r="K2272">
        <v>0</v>
      </c>
      <c r="L2272" t="str">
        <f t="shared" si="90"/>
        <v>47-11-2023</v>
      </c>
      <c r="M2272">
        <f t="shared" si="91"/>
        <v>2023</v>
      </c>
    </row>
    <row r="2273" spans="1:13" x14ac:dyDescent="0.2">
      <c r="A2273" s="1">
        <f t="shared" si="86"/>
        <v>45250</v>
      </c>
      <c r="B2273">
        <f t="shared" si="89"/>
        <v>47</v>
      </c>
      <c r="C2273">
        <f t="shared" si="87"/>
        <v>11</v>
      </c>
      <c r="D2273">
        <f t="shared" si="88"/>
        <v>4</v>
      </c>
      <c r="E2273" t="s">
        <v>43</v>
      </c>
      <c r="F2273">
        <v>0</v>
      </c>
      <c r="G2273">
        <f>INDEX(weekly!$E$2:$E$188,MATCH('Marketing Campaigns 22.11.22'!L2273,weekly!$H$2:$H$188,0))</f>
        <v>5877.0152790929151</v>
      </c>
      <c r="H2273">
        <f>INDEX(weekly!$D$2:$D$188,MATCH('Marketing Campaigns 22.11.22'!L2273,weekly!$H$2:$H$188,0))</f>
        <v>16620.32209839049</v>
      </c>
      <c r="I2273">
        <f>INDEX(weekly!$F$2:$F$188,MATCH('Marketing Campaigns 22.11.22'!L2273,weekly!$H$2:$H$188,0))</f>
        <v>4674.3885396097885</v>
      </c>
      <c r="J2273">
        <v>0</v>
      </c>
      <c r="K2273">
        <v>0</v>
      </c>
      <c r="L2273" t="str">
        <f t="shared" si="90"/>
        <v>47-11-2023</v>
      </c>
      <c r="M2273">
        <f t="shared" si="91"/>
        <v>2023</v>
      </c>
    </row>
    <row r="2274" spans="1:13" x14ac:dyDescent="0.2">
      <c r="A2274" s="1">
        <f t="shared" si="86"/>
        <v>45250</v>
      </c>
      <c r="B2274">
        <f t="shared" si="89"/>
        <v>47</v>
      </c>
      <c r="C2274">
        <f t="shared" si="87"/>
        <v>11</v>
      </c>
      <c r="D2274">
        <f t="shared" si="88"/>
        <v>4</v>
      </c>
      <c r="E2274" t="s">
        <v>44</v>
      </c>
      <c r="F2274">
        <v>0</v>
      </c>
      <c r="G2274">
        <f>INDEX(weekly!$E$2:$E$188,MATCH('Marketing Campaigns 22.11.22'!L2274,weekly!$H$2:$H$188,0))</f>
        <v>5877.0152790929151</v>
      </c>
      <c r="H2274">
        <f>INDEX(weekly!$D$2:$D$188,MATCH('Marketing Campaigns 22.11.22'!L2274,weekly!$H$2:$H$188,0))</f>
        <v>16620.32209839049</v>
      </c>
      <c r="I2274">
        <f>INDEX(weekly!$F$2:$F$188,MATCH('Marketing Campaigns 22.11.22'!L2274,weekly!$H$2:$H$188,0))</f>
        <v>4674.3885396097885</v>
      </c>
      <c r="J2274">
        <v>0</v>
      </c>
      <c r="K2274">
        <v>0</v>
      </c>
      <c r="L2274" t="str">
        <f t="shared" si="90"/>
        <v>47-11-2023</v>
      </c>
      <c r="M2274">
        <f t="shared" si="91"/>
        <v>2023</v>
      </c>
    </row>
    <row r="2275" spans="1:13" x14ac:dyDescent="0.2">
      <c r="A2275" s="1">
        <f t="shared" si="86"/>
        <v>45250</v>
      </c>
      <c r="B2275">
        <f t="shared" si="89"/>
        <v>47</v>
      </c>
      <c r="C2275">
        <f t="shared" si="87"/>
        <v>11</v>
      </c>
      <c r="D2275">
        <f t="shared" si="88"/>
        <v>4</v>
      </c>
      <c r="E2275" t="s">
        <v>45</v>
      </c>
      <c r="F2275">
        <v>0</v>
      </c>
      <c r="G2275">
        <f>INDEX(weekly!$E$2:$E$188,MATCH('Marketing Campaigns 22.11.22'!L2275,weekly!$H$2:$H$188,0))</f>
        <v>5877.0152790929151</v>
      </c>
      <c r="H2275">
        <f>INDEX(weekly!$D$2:$D$188,MATCH('Marketing Campaigns 22.11.22'!L2275,weekly!$H$2:$H$188,0))</f>
        <v>16620.32209839049</v>
      </c>
      <c r="I2275">
        <f>INDEX(weekly!$F$2:$F$188,MATCH('Marketing Campaigns 22.11.22'!L2275,weekly!$H$2:$H$188,0))</f>
        <v>4674.3885396097885</v>
      </c>
      <c r="J2275">
        <v>0</v>
      </c>
      <c r="K2275">
        <v>0</v>
      </c>
      <c r="L2275" t="str">
        <f t="shared" si="90"/>
        <v>47-11-2023</v>
      </c>
      <c r="M2275">
        <f t="shared" si="91"/>
        <v>2023</v>
      </c>
    </row>
    <row r="2276" spans="1:13" x14ac:dyDescent="0.2">
      <c r="A2276" s="1">
        <f t="shared" si="86"/>
        <v>45250</v>
      </c>
      <c r="B2276">
        <f t="shared" si="89"/>
        <v>47</v>
      </c>
      <c r="C2276">
        <f t="shared" si="87"/>
        <v>11</v>
      </c>
      <c r="D2276">
        <f t="shared" si="88"/>
        <v>4</v>
      </c>
      <c r="E2276" t="s">
        <v>46</v>
      </c>
      <c r="F2276">
        <v>0</v>
      </c>
      <c r="G2276">
        <f>INDEX(weekly!$E$2:$E$188,MATCH('Marketing Campaigns 22.11.22'!L2276,weekly!$H$2:$H$188,0))</f>
        <v>5877.0152790929151</v>
      </c>
      <c r="H2276">
        <f>INDEX(weekly!$D$2:$D$188,MATCH('Marketing Campaigns 22.11.22'!L2276,weekly!$H$2:$H$188,0))</f>
        <v>16620.32209839049</v>
      </c>
      <c r="I2276">
        <f>INDEX(weekly!$F$2:$F$188,MATCH('Marketing Campaigns 22.11.22'!L2276,weekly!$H$2:$H$188,0))</f>
        <v>4674.3885396097885</v>
      </c>
      <c r="J2276">
        <v>0</v>
      </c>
      <c r="K2276">
        <v>0</v>
      </c>
      <c r="L2276" t="str">
        <f t="shared" si="90"/>
        <v>47-11-2023</v>
      </c>
      <c r="M2276">
        <f t="shared" si="91"/>
        <v>2023</v>
      </c>
    </row>
    <row r="2277" spans="1:13" x14ac:dyDescent="0.2">
      <c r="A2277" s="1">
        <f t="shared" si="86"/>
        <v>45250</v>
      </c>
      <c r="B2277">
        <f t="shared" si="89"/>
        <v>47</v>
      </c>
      <c r="C2277">
        <f t="shared" si="87"/>
        <v>11</v>
      </c>
      <c r="D2277">
        <f t="shared" si="88"/>
        <v>4</v>
      </c>
      <c r="E2277" t="s">
        <v>47</v>
      </c>
      <c r="F2277">
        <v>0</v>
      </c>
      <c r="G2277">
        <f>INDEX(weekly!$E$2:$E$188,MATCH('Marketing Campaigns 22.11.22'!L2277,weekly!$H$2:$H$188,0))</f>
        <v>5877.0152790929151</v>
      </c>
      <c r="H2277">
        <f>INDEX(weekly!$D$2:$D$188,MATCH('Marketing Campaigns 22.11.22'!L2277,weekly!$H$2:$H$188,0))</f>
        <v>16620.32209839049</v>
      </c>
      <c r="I2277">
        <f>INDEX(weekly!$F$2:$F$188,MATCH('Marketing Campaigns 22.11.22'!L2277,weekly!$H$2:$H$188,0))</f>
        <v>4674.3885396097885</v>
      </c>
      <c r="J2277">
        <v>0</v>
      </c>
      <c r="K2277">
        <v>0</v>
      </c>
      <c r="L2277" t="str">
        <f t="shared" si="90"/>
        <v>47-11-2023</v>
      </c>
      <c r="M2277">
        <f t="shared" si="91"/>
        <v>2023</v>
      </c>
    </row>
    <row r="2278" spans="1:13" x14ac:dyDescent="0.2">
      <c r="A2278" s="1">
        <f t="shared" si="86"/>
        <v>45250</v>
      </c>
      <c r="B2278">
        <f t="shared" si="89"/>
        <v>47</v>
      </c>
      <c r="C2278">
        <f t="shared" si="87"/>
        <v>11</v>
      </c>
      <c r="D2278">
        <f t="shared" si="88"/>
        <v>4</v>
      </c>
      <c r="E2278" t="s">
        <v>48</v>
      </c>
      <c r="F2278">
        <v>0</v>
      </c>
      <c r="G2278">
        <f>INDEX(weekly!$E$2:$E$188,MATCH('Marketing Campaigns 22.11.22'!L2278,weekly!$H$2:$H$188,0))</f>
        <v>5877.0152790929151</v>
      </c>
      <c r="H2278">
        <f>INDEX(weekly!$D$2:$D$188,MATCH('Marketing Campaigns 22.11.22'!L2278,weekly!$H$2:$H$188,0))</f>
        <v>16620.32209839049</v>
      </c>
      <c r="I2278">
        <f>INDEX(weekly!$F$2:$F$188,MATCH('Marketing Campaigns 22.11.22'!L2278,weekly!$H$2:$H$188,0))</f>
        <v>4674.3885396097885</v>
      </c>
      <c r="J2278">
        <v>0</v>
      </c>
      <c r="K2278">
        <v>0</v>
      </c>
      <c r="L2278" t="str">
        <f t="shared" si="90"/>
        <v>47-11-2023</v>
      </c>
      <c r="M2278">
        <f t="shared" si="91"/>
        <v>2023</v>
      </c>
    </row>
    <row r="2279" spans="1:13" x14ac:dyDescent="0.2">
      <c r="A2279" s="1">
        <f t="shared" si="86"/>
        <v>45250</v>
      </c>
      <c r="B2279">
        <f t="shared" si="89"/>
        <v>47</v>
      </c>
      <c r="C2279">
        <f t="shared" si="87"/>
        <v>11</v>
      </c>
      <c r="D2279">
        <f t="shared" si="88"/>
        <v>4</v>
      </c>
      <c r="E2279" t="s">
        <v>49</v>
      </c>
      <c r="F2279">
        <v>0</v>
      </c>
      <c r="G2279">
        <f>INDEX(weekly!$E$2:$E$188,MATCH('Marketing Campaigns 22.11.22'!L2279,weekly!$H$2:$H$188,0))</f>
        <v>5877.0152790929151</v>
      </c>
      <c r="H2279">
        <f>INDEX(weekly!$D$2:$D$188,MATCH('Marketing Campaigns 22.11.22'!L2279,weekly!$H$2:$H$188,0))</f>
        <v>16620.32209839049</v>
      </c>
      <c r="I2279">
        <f>INDEX(weekly!$F$2:$F$188,MATCH('Marketing Campaigns 22.11.22'!L2279,weekly!$H$2:$H$188,0))</f>
        <v>4674.3885396097885</v>
      </c>
      <c r="J2279">
        <v>0</v>
      </c>
      <c r="K2279">
        <v>0</v>
      </c>
      <c r="L2279" t="str">
        <f t="shared" si="90"/>
        <v>47-11-2023</v>
      </c>
      <c r="M2279">
        <f t="shared" si="91"/>
        <v>2023</v>
      </c>
    </row>
    <row r="2280" spans="1:13" x14ac:dyDescent="0.2">
      <c r="A2280" s="1">
        <f t="shared" si="86"/>
        <v>45250</v>
      </c>
      <c r="B2280">
        <f t="shared" si="89"/>
        <v>47</v>
      </c>
      <c r="C2280">
        <f t="shared" si="87"/>
        <v>11</v>
      </c>
      <c r="D2280">
        <f t="shared" si="88"/>
        <v>4</v>
      </c>
      <c r="E2280" t="s">
        <v>50</v>
      </c>
      <c r="F2280">
        <v>0</v>
      </c>
      <c r="G2280">
        <f>INDEX(weekly!$E$2:$E$188,MATCH('Marketing Campaigns 22.11.22'!L2280,weekly!$H$2:$H$188,0))</f>
        <v>5877.0152790929151</v>
      </c>
      <c r="H2280">
        <f>INDEX(weekly!$D$2:$D$188,MATCH('Marketing Campaigns 22.11.22'!L2280,weekly!$H$2:$H$188,0))</f>
        <v>16620.32209839049</v>
      </c>
      <c r="I2280">
        <f>INDEX(weekly!$F$2:$F$188,MATCH('Marketing Campaigns 22.11.22'!L2280,weekly!$H$2:$H$188,0))</f>
        <v>4674.3885396097885</v>
      </c>
      <c r="J2280">
        <v>0</v>
      </c>
      <c r="K2280">
        <v>0</v>
      </c>
      <c r="L2280" t="str">
        <f t="shared" si="90"/>
        <v>47-11-2023</v>
      </c>
      <c r="M2280">
        <f t="shared" si="91"/>
        <v>2023</v>
      </c>
    </row>
    <row r="2281" spans="1:13" x14ac:dyDescent="0.2">
      <c r="A2281" s="1">
        <f t="shared" si="86"/>
        <v>45250</v>
      </c>
      <c r="B2281">
        <f t="shared" si="89"/>
        <v>47</v>
      </c>
      <c r="C2281">
        <f t="shared" si="87"/>
        <v>11</v>
      </c>
      <c r="D2281">
        <f t="shared" si="88"/>
        <v>4</v>
      </c>
      <c r="E2281" t="s">
        <v>51</v>
      </c>
      <c r="F2281">
        <v>0</v>
      </c>
      <c r="G2281">
        <f>INDEX(weekly!$E$2:$E$188,MATCH('Marketing Campaigns 22.11.22'!L2281,weekly!$H$2:$H$188,0))</f>
        <v>5877.0152790929151</v>
      </c>
      <c r="H2281">
        <f>INDEX(weekly!$D$2:$D$188,MATCH('Marketing Campaigns 22.11.22'!L2281,weekly!$H$2:$H$188,0))</f>
        <v>16620.32209839049</v>
      </c>
      <c r="I2281">
        <f>INDEX(weekly!$F$2:$F$188,MATCH('Marketing Campaigns 22.11.22'!L2281,weekly!$H$2:$H$188,0))</f>
        <v>4674.3885396097885</v>
      </c>
      <c r="J2281">
        <v>0</v>
      </c>
      <c r="K2281">
        <v>0</v>
      </c>
      <c r="L2281" t="str">
        <f t="shared" si="90"/>
        <v>47-11-2023</v>
      </c>
      <c r="M2281">
        <f t="shared" si="91"/>
        <v>2023</v>
      </c>
    </row>
    <row r="2282" spans="1:13" x14ac:dyDescent="0.2">
      <c r="A2282" s="1">
        <f t="shared" si="86"/>
        <v>45250</v>
      </c>
      <c r="B2282">
        <f t="shared" si="89"/>
        <v>47</v>
      </c>
      <c r="C2282">
        <f t="shared" si="87"/>
        <v>11</v>
      </c>
      <c r="D2282">
        <f t="shared" si="88"/>
        <v>4</v>
      </c>
      <c r="E2282" t="s">
        <v>52</v>
      </c>
      <c r="F2282">
        <v>0</v>
      </c>
      <c r="G2282">
        <f>INDEX(weekly!$E$2:$E$188,MATCH('Marketing Campaigns 22.11.22'!L2282,weekly!$H$2:$H$188,0))</f>
        <v>5877.0152790929151</v>
      </c>
      <c r="H2282">
        <f>INDEX(weekly!$D$2:$D$188,MATCH('Marketing Campaigns 22.11.22'!L2282,weekly!$H$2:$H$188,0))</f>
        <v>16620.32209839049</v>
      </c>
      <c r="I2282">
        <f>INDEX(weekly!$F$2:$F$188,MATCH('Marketing Campaigns 22.11.22'!L2282,weekly!$H$2:$H$188,0))</f>
        <v>4674.3885396097885</v>
      </c>
      <c r="J2282">
        <v>0</v>
      </c>
      <c r="K2282">
        <v>0</v>
      </c>
      <c r="L2282" t="str">
        <f t="shared" si="90"/>
        <v>47-11-2023</v>
      </c>
      <c r="M2282">
        <f t="shared" si="91"/>
        <v>2023</v>
      </c>
    </row>
    <row r="2283" spans="1:13" x14ac:dyDescent="0.2">
      <c r="A2283" s="1">
        <f t="shared" si="86"/>
        <v>45257</v>
      </c>
      <c r="B2283">
        <f>IF(E2283="None",B2282+1,B2282)</f>
        <v>48</v>
      </c>
      <c r="C2283">
        <f t="shared" si="87"/>
        <v>11</v>
      </c>
      <c r="D2283">
        <f t="shared" si="88"/>
        <v>4</v>
      </c>
      <c r="E2283" t="s">
        <v>24</v>
      </c>
      <c r="F2283">
        <v>0</v>
      </c>
      <c r="G2283">
        <f>INDEX(weekly!$E$2:$E$188,MATCH('Marketing Campaigns 22.11.22'!L2283,weekly!$H$2:$H$188,0))</f>
        <v>3358.2944451959511</v>
      </c>
      <c r="H2283">
        <f>INDEX(weekly!$D$2:$D$188,MATCH('Marketing Campaigns 22.11.22'!L2283,weekly!$H$2:$H$188,0))</f>
        <v>9497.326913365996</v>
      </c>
      <c r="I2283">
        <f>INDEX(weekly!$F$2:$F$188,MATCH('Marketing Campaigns 22.11.22'!L2283,weekly!$H$2:$H$188,0))</f>
        <v>2671.0791654913073</v>
      </c>
      <c r="J2283">
        <v>0</v>
      </c>
      <c r="K2283">
        <v>0</v>
      </c>
      <c r="L2283" t="str">
        <f t="shared" si="90"/>
        <v>48-11-2023</v>
      </c>
      <c r="M2283">
        <f t="shared" si="91"/>
        <v>2023</v>
      </c>
    </row>
    <row r="2284" spans="1:13" x14ac:dyDescent="0.2">
      <c r="A2284" s="1">
        <f t="shared" si="86"/>
        <v>45257</v>
      </c>
      <c r="B2284">
        <f t="shared" si="89"/>
        <v>48</v>
      </c>
      <c r="C2284">
        <f t="shared" si="87"/>
        <v>11</v>
      </c>
      <c r="D2284">
        <f t="shared" si="88"/>
        <v>4</v>
      </c>
      <c r="E2284" t="s">
        <v>39</v>
      </c>
      <c r="F2284">
        <v>0</v>
      </c>
      <c r="G2284">
        <f>INDEX(weekly!$E$2:$E$188,MATCH('Marketing Campaigns 22.11.22'!L2284,weekly!$H$2:$H$188,0))</f>
        <v>3358.2944451959511</v>
      </c>
      <c r="H2284">
        <f>INDEX(weekly!$D$2:$D$188,MATCH('Marketing Campaigns 22.11.22'!L2284,weekly!$H$2:$H$188,0))</f>
        <v>9497.326913365996</v>
      </c>
      <c r="I2284">
        <f>INDEX(weekly!$F$2:$F$188,MATCH('Marketing Campaigns 22.11.22'!L2284,weekly!$H$2:$H$188,0))</f>
        <v>2671.0791654913073</v>
      </c>
      <c r="J2284">
        <v>0</v>
      </c>
      <c r="K2284">
        <v>0</v>
      </c>
      <c r="L2284" t="str">
        <f t="shared" si="90"/>
        <v>48-11-2023</v>
      </c>
      <c r="M2284">
        <f t="shared" si="91"/>
        <v>2023</v>
      </c>
    </row>
    <row r="2285" spans="1:13" x14ac:dyDescent="0.2">
      <c r="A2285" s="1">
        <f t="shared" si="86"/>
        <v>45257</v>
      </c>
      <c r="B2285">
        <f t="shared" si="89"/>
        <v>48</v>
      </c>
      <c r="C2285">
        <f t="shared" si="87"/>
        <v>11</v>
      </c>
      <c r="D2285">
        <f t="shared" si="88"/>
        <v>4</v>
      </c>
      <c r="E2285" t="s">
        <v>40</v>
      </c>
      <c r="F2285">
        <v>0</v>
      </c>
      <c r="G2285">
        <f>INDEX(weekly!$E$2:$E$188,MATCH('Marketing Campaigns 22.11.22'!L2285,weekly!$H$2:$H$188,0))</f>
        <v>3358.2944451959511</v>
      </c>
      <c r="H2285">
        <f>INDEX(weekly!$D$2:$D$188,MATCH('Marketing Campaigns 22.11.22'!L2285,weekly!$H$2:$H$188,0))</f>
        <v>9497.326913365996</v>
      </c>
      <c r="I2285">
        <f>INDEX(weekly!$F$2:$F$188,MATCH('Marketing Campaigns 22.11.22'!L2285,weekly!$H$2:$H$188,0))</f>
        <v>2671.0791654913073</v>
      </c>
      <c r="J2285">
        <v>0</v>
      </c>
      <c r="K2285">
        <v>0</v>
      </c>
      <c r="L2285" t="str">
        <f t="shared" si="90"/>
        <v>48-11-2023</v>
      </c>
      <c r="M2285">
        <f t="shared" si="91"/>
        <v>2023</v>
      </c>
    </row>
    <row r="2286" spans="1:13" x14ac:dyDescent="0.2">
      <c r="A2286" s="1">
        <f t="shared" si="86"/>
        <v>45257</v>
      </c>
      <c r="B2286">
        <f t="shared" si="89"/>
        <v>48</v>
      </c>
      <c r="C2286">
        <f t="shared" si="87"/>
        <v>11</v>
      </c>
      <c r="D2286">
        <f t="shared" si="88"/>
        <v>4</v>
      </c>
      <c r="E2286" t="s">
        <v>41</v>
      </c>
      <c r="F2286">
        <v>0</v>
      </c>
      <c r="G2286">
        <f>INDEX(weekly!$E$2:$E$188,MATCH('Marketing Campaigns 22.11.22'!L2286,weekly!$H$2:$H$188,0))</f>
        <v>3358.2944451959511</v>
      </c>
      <c r="H2286">
        <f>INDEX(weekly!$D$2:$D$188,MATCH('Marketing Campaigns 22.11.22'!L2286,weekly!$H$2:$H$188,0))</f>
        <v>9497.326913365996</v>
      </c>
      <c r="I2286">
        <f>INDEX(weekly!$F$2:$F$188,MATCH('Marketing Campaigns 22.11.22'!L2286,weekly!$H$2:$H$188,0))</f>
        <v>2671.0791654913073</v>
      </c>
      <c r="J2286">
        <v>0</v>
      </c>
      <c r="K2286">
        <v>0</v>
      </c>
      <c r="L2286" t="str">
        <f t="shared" si="90"/>
        <v>48-11-2023</v>
      </c>
      <c r="M2286">
        <f t="shared" si="91"/>
        <v>2023</v>
      </c>
    </row>
    <row r="2287" spans="1:13" x14ac:dyDescent="0.2">
      <c r="A2287" s="1">
        <f t="shared" si="86"/>
        <v>45257</v>
      </c>
      <c r="B2287">
        <f t="shared" si="89"/>
        <v>48</v>
      </c>
      <c r="C2287">
        <f t="shared" si="87"/>
        <v>11</v>
      </c>
      <c r="D2287">
        <f t="shared" si="88"/>
        <v>4</v>
      </c>
      <c r="E2287" t="s">
        <v>42</v>
      </c>
      <c r="F2287">
        <v>0</v>
      </c>
      <c r="G2287">
        <f>INDEX(weekly!$E$2:$E$188,MATCH('Marketing Campaigns 22.11.22'!L2287,weekly!$H$2:$H$188,0))</f>
        <v>3358.2944451959511</v>
      </c>
      <c r="H2287">
        <f>INDEX(weekly!$D$2:$D$188,MATCH('Marketing Campaigns 22.11.22'!L2287,weekly!$H$2:$H$188,0))</f>
        <v>9497.326913365996</v>
      </c>
      <c r="I2287">
        <f>INDEX(weekly!$F$2:$F$188,MATCH('Marketing Campaigns 22.11.22'!L2287,weekly!$H$2:$H$188,0))</f>
        <v>2671.0791654913073</v>
      </c>
      <c r="J2287">
        <v>0</v>
      </c>
      <c r="K2287">
        <v>0</v>
      </c>
      <c r="L2287" t="str">
        <f t="shared" si="90"/>
        <v>48-11-2023</v>
      </c>
      <c r="M2287">
        <f t="shared" si="91"/>
        <v>2023</v>
      </c>
    </row>
    <row r="2288" spans="1:13" x14ac:dyDescent="0.2">
      <c r="A2288" s="1">
        <f t="shared" si="86"/>
        <v>45257</v>
      </c>
      <c r="B2288">
        <f t="shared" si="89"/>
        <v>48</v>
      </c>
      <c r="C2288">
        <f t="shared" si="87"/>
        <v>11</v>
      </c>
      <c r="D2288">
        <f t="shared" si="88"/>
        <v>4</v>
      </c>
      <c r="E2288" t="s">
        <v>43</v>
      </c>
      <c r="F2288">
        <v>0</v>
      </c>
      <c r="G2288">
        <f>INDEX(weekly!$E$2:$E$188,MATCH('Marketing Campaigns 22.11.22'!L2288,weekly!$H$2:$H$188,0))</f>
        <v>3358.2944451959511</v>
      </c>
      <c r="H2288">
        <f>INDEX(weekly!$D$2:$D$188,MATCH('Marketing Campaigns 22.11.22'!L2288,weekly!$H$2:$H$188,0))</f>
        <v>9497.326913365996</v>
      </c>
      <c r="I2288">
        <f>INDEX(weekly!$F$2:$F$188,MATCH('Marketing Campaigns 22.11.22'!L2288,weekly!$H$2:$H$188,0))</f>
        <v>2671.0791654913073</v>
      </c>
      <c r="J2288">
        <v>0</v>
      </c>
      <c r="K2288">
        <v>0</v>
      </c>
      <c r="L2288" t="str">
        <f t="shared" si="90"/>
        <v>48-11-2023</v>
      </c>
      <c r="M2288">
        <f t="shared" si="91"/>
        <v>2023</v>
      </c>
    </row>
    <row r="2289" spans="1:13" x14ac:dyDescent="0.2">
      <c r="A2289" s="1">
        <f t="shared" ref="A2289:A2352" si="92">DATE(2023, 1, -2) - WEEKDAY(DATE(2023, 1, 3)) + B2289 * 7</f>
        <v>45257</v>
      </c>
      <c r="B2289">
        <f t="shared" si="89"/>
        <v>48</v>
      </c>
      <c r="C2289">
        <f t="shared" ref="C2289:C2327" si="93">MONTH(A2289)</f>
        <v>11</v>
      </c>
      <c r="D2289">
        <f t="shared" ref="D2289:D2352" si="94">CEILING(C2289 / 3,1)</f>
        <v>4</v>
      </c>
      <c r="E2289" t="s">
        <v>44</v>
      </c>
      <c r="F2289">
        <v>0</v>
      </c>
      <c r="G2289">
        <f>INDEX(weekly!$E$2:$E$188,MATCH('Marketing Campaigns 22.11.22'!L2289,weekly!$H$2:$H$188,0))</f>
        <v>3358.2944451959511</v>
      </c>
      <c r="H2289">
        <f>INDEX(weekly!$D$2:$D$188,MATCH('Marketing Campaigns 22.11.22'!L2289,weekly!$H$2:$H$188,0))</f>
        <v>9497.326913365996</v>
      </c>
      <c r="I2289">
        <f>INDEX(weekly!$F$2:$F$188,MATCH('Marketing Campaigns 22.11.22'!L2289,weekly!$H$2:$H$188,0))</f>
        <v>2671.0791654913073</v>
      </c>
      <c r="J2289">
        <v>0</v>
      </c>
      <c r="K2289">
        <v>0</v>
      </c>
      <c r="L2289" t="str">
        <f t="shared" si="90"/>
        <v>48-11-2023</v>
      </c>
      <c r="M2289">
        <f t="shared" si="91"/>
        <v>2023</v>
      </c>
    </row>
    <row r="2290" spans="1:13" x14ac:dyDescent="0.2">
      <c r="A2290" s="1">
        <f t="shared" si="92"/>
        <v>45257</v>
      </c>
      <c r="B2290">
        <f t="shared" si="89"/>
        <v>48</v>
      </c>
      <c r="C2290">
        <f t="shared" si="93"/>
        <v>11</v>
      </c>
      <c r="D2290">
        <f t="shared" si="94"/>
        <v>4</v>
      </c>
      <c r="E2290" t="s">
        <v>45</v>
      </c>
      <c r="F2290">
        <v>0</v>
      </c>
      <c r="G2290">
        <f>INDEX(weekly!$E$2:$E$188,MATCH('Marketing Campaigns 22.11.22'!L2290,weekly!$H$2:$H$188,0))</f>
        <v>3358.2944451959511</v>
      </c>
      <c r="H2290">
        <f>INDEX(weekly!$D$2:$D$188,MATCH('Marketing Campaigns 22.11.22'!L2290,weekly!$H$2:$H$188,0))</f>
        <v>9497.326913365996</v>
      </c>
      <c r="I2290">
        <f>INDEX(weekly!$F$2:$F$188,MATCH('Marketing Campaigns 22.11.22'!L2290,weekly!$H$2:$H$188,0))</f>
        <v>2671.0791654913073</v>
      </c>
      <c r="J2290">
        <v>0</v>
      </c>
      <c r="K2290">
        <v>0</v>
      </c>
      <c r="L2290" t="str">
        <f t="shared" si="90"/>
        <v>48-11-2023</v>
      </c>
      <c r="M2290">
        <f t="shared" si="91"/>
        <v>2023</v>
      </c>
    </row>
    <row r="2291" spans="1:13" x14ac:dyDescent="0.2">
      <c r="A2291" s="1">
        <f t="shared" si="92"/>
        <v>45257</v>
      </c>
      <c r="B2291">
        <f t="shared" si="89"/>
        <v>48</v>
      </c>
      <c r="C2291">
        <f t="shared" si="93"/>
        <v>11</v>
      </c>
      <c r="D2291">
        <f t="shared" si="94"/>
        <v>4</v>
      </c>
      <c r="E2291" t="s">
        <v>46</v>
      </c>
      <c r="F2291">
        <v>0</v>
      </c>
      <c r="G2291">
        <f>INDEX(weekly!$E$2:$E$188,MATCH('Marketing Campaigns 22.11.22'!L2291,weekly!$H$2:$H$188,0))</f>
        <v>3358.2944451959511</v>
      </c>
      <c r="H2291">
        <f>INDEX(weekly!$D$2:$D$188,MATCH('Marketing Campaigns 22.11.22'!L2291,weekly!$H$2:$H$188,0))</f>
        <v>9497.326913365996</v>
      </c>
      <c r="I2291">
        <f>INDEX(weekly!$F$2:$F$188,MATCH('Marketing Campaigns 22.11.22'!L2291,weekly!$H$2:$H$188,0))</f>
        <v>2671.0791654913073</v>
      </c>
      <c r="J2291">
        <v>0</v>
      </c>
      <c r="K2291">
        <v>0</v>
      </c>
      <c r="L2291" t="str">
        <f t="shared" si="90"/>
        <v>48-11-2023</v>
      </c>
      <c r="M2291">
        <f t="shared" si="91"/>
        <v>2023</v>
      </c>
    </row>
    <row r="2292" spans="1:13" x14ac:dyDescent="0.2">
      <c r="A2292" s="1">
        <f t="shared" si="92"/>
        <v>45257</v>
      </c>
      <c r="B2292">
        <f t="shared" si="89"/>
        <v>48</v>
      </c>
      <c r="C2292">
        <f t="shared" si="93"/>
        <v>11</v>
      </c>
      <c r="D2292">
        <f t="shared" si="94"/>
        <v>4</v>
      </c>
      <c r="E2292" t="s">
        <v>47</v>
      </c>
      <c r="F2292">
        <v>0</v>
      </c>
      <c r="G2292">
        <f>INDEX(weekly!$E$2:$E$188,MATCH('Marketing Campaigns 22.11.22'!L2292,weekly!$H$2:$H$188,0))</f>
        <v>3358.2944451959511</v>
      </c>
      <c r="H2292">
        <f>INDEX(weekly!$D$2:$D$188,MATCH('Marketing Campaigns 22.11.22'!L2292,weekly!$H$2:$H$188,0))</f>
        <v>9497.326913365996</v>
      </c>
      <c r="I2292">
        <f>INDEX(weekly!$F$2:$F$188,MATCH('Marketing Campaigns 22.11.22'!L2292,weekly!$H$2:$H$188,0))</f>
        <v>2671.0791654913073</v>
      </c>
      <c r="J2292">
        <v>0</v>
      </c>
      <c r="K2292">
        <v>0</v>
      </c>
      <c r="L2292" t="str">
        <f t="shared" si="90"/>
        <v>48-11-2023</v>
      </c>
      <c r="M2292">
        <f t="shared" si="91"/>
        <v>2023</v>
      </c>
    </row>
    <row r="2293" spans="1:13" x14ac:dyDescent="0.2">
      <c r="A2293" s="1">
        <f t="shared" si="92"/>
        <v>45257</v>
      </c>
      <c r="B2293">
        <f t="shared" si="89"/>
        <v>48</v>
      </c>
      <c r="C2293">
        <f t="shared" si="93"/>
        <v>11</v>
      </c>
      <c r="D2293">
        <f t="shared" si="94"/>
        <v>4</v>
      </c>
      <c r="E2293" t="s">
        <v>48</v>
      </c>
      <c r="F2293">
        <v>0</v>
      </c>
      <c r="G2293">
        <f>INDEX(weekly!$E$2:$E$188,MATCH('Marketing Campaigns 22.11.22'!L2293,weekly!$H$2:$H$188,0))</f>
        <v>3358.2944451959511</v>
      </c>
      <c r="H2293">
        <f>INDEX(weekly!$D$2:$D$188,MATCH('Marketing Campaigns 22.11.22'!L2293,weekly!$H$2:$H$188,0))</f>
        <v>9497.326913365996</v>
      </c>
      <c r="I2293">
        <f>INDEX(weekly!$F$2:$F$188,MATCH('Marketing Campaigns 22.11.22'!L2293,weekly!$H$2:$H$188,0))</f>
        <v>2671.0791654913073</v>
      </c>
      <c r="J2293">
        <v>0</v>
      </c>
      <c r="K2293">
        <v>0</v>
      </c>
      <c r="L2293" t="str">
        <f t="shared" si="90"/>
        <v>48-11-2023</v>
      </c>
      <c r="M2293">
        <f t="shared" si="91"/>
        <v>2023</v>
      </c>
    </row>
    <row r="2294" spans="1:13" x14ac:dyDescent="0.2">
      <c r="A2294" s="1">
        <f t="shared" si="92"/>
        <v>45257</v>
      </c>
      <c r="B2294">
        <f t="shared" si="89"/>
        <v>48</v>
      </c>
      <c r="C2294">
        <f t="shared" si="93"/>
        <v>11</v>
      </c>
      <c r="D2294">
        <f t="shared" si="94"/>
        <v>4</v>
      </c>
      <c r="E2294" t="s">
        <v>49</v>
      </c>
      <c r="F2294">
        <v>0</v>
      </c>
      <c r="G2294">
        <f>INDEX(weekly!$E$2:$E$188,MATCH('Marketing Campaigns 22.11.22'!L2294,weekly!$H$2:$H$188,0))</f>
        <v>3358.2944451959511</v>
      </c>
      <c r="H2294">
        <f>INDEX(weekly!$D$2:$D$188,MATCH('Marketing Campaigns 22.11.22'!L2294,weekly!$H$2:$H$188,0))</f>
        <v>9497.326913365996</v>
      </c>
      <c r="I2294">
        <f>INDEX(weekly!$F$2:$F$188,MATCH('Marketing Campaigns 22.11.22'!L2294,weekly!$H$2:$H$188,0))</f>
        <v>2671.0791654913073</v>
      </c>
      <c r="J2294">
        <v>0</v>
      </c>
      <c r="K2294">
        <v>0</v>
      </c>
      <c r="L2294" t="str">
        <f t="shared" si="90"/>
        <v>48-11-2023</v>
      </c>
      <c r="M2294">
        <f t="shared" si="91"/>
        <v>2023</v>
      </c>
    </row>
    <row r="2295" spans="1:13" x14ac:dyDescent="0.2">
      <c r="A2295" s="1">
        <f t="shared" si="92"/>
        <v>45257</v>
      </c>
      <c r="B2295">
        <f t="shared" si="89"/>
        <v>48</v>
      </c>
      <c r="C2295">
        <f t="shared" si="93"/>
        <v>11</v>
      </c>
      <c r="D2295">
        <f t="shared" si="94"/>
        <v>4</v>
      </c>
      <c r="E2295" t="s">
        <v>50</v>
      </c>
      <c r="F2295">
        <v>0</v>
      </c>
      <c r="G2295">
        <f>INDEX(weekly!$E$2:$E$188,MATCH('Marketing Campaigns 22.11.22'!L2295,weekly!$H$2:$H$188,0))</f>
        <v>3358.2944451959511</v>
      </c>
      <c r="H2295">
        <f>INDEX(weekly!$D$2:$D$188,MATCH('Marketing Campaigns 22.11.22'!L2295,weekly!$H$2:$H$188,0))</f>
        <v>9497.326913365996</v>
      </c>
      <c r="I2295">
        <f>INDEX(weekly!$F$2:$F$188,MATCH('Marketing Campaigns 22.11.22'!L2295,weekly!$H$2:$H$188,0))</f>
        <v>2671.0791654913073</v>
      </c>
      <c r="J2295">
        <v>0</v>
      </c>
      <c r="K2295">
        <v>0</v>
      </c>
      <c r="L2295" t="str">
        <f t="shared" si="90"/>
        <v>48-11-2023</v>
      </c>
      <c r="M2295">
        <f t="shared" si="91"/>
        <v>2023</v>
      </c>
    </row>
    <row r="2296" spans="1:13" x14ac:dyDescent="0.2">
      <c r="A2296" s="1">
        <f t="shared" si="92"/>
        <v>45257</v>
      </c>
      <c r="B2296">
        <f t="shared" si="89"/>
        <v>48</v>
      </c>
      <c r="C2296">
        <f t="shared" si="93"/>
        <v>11</v>
      </c>
      <c r="D2296">
        <f t="shared" si="94"/>
        <v>4</v>
      </c>
      <c r="E2296" t="s">
        <v>51</v>
      </c>
      <c r="F2296">
        <v>0</v>
      </c>
      <c r="G2296">
        <f>INDEX(weekly!$E$2:$E$188,MATCH('Marketing Campaigns 22.11.22'!L2296,weekly!$H$2:$H$188,0))</f>
        <v>3358.2944451959511</v>
      </c>
      <c r="H2296">
        <f>INDEX(weekly!$D$2:$D$188,MATCH('Marketing Campaigns 22.11.22'!L2296,weekly!$H$2:$H$188,0))</f>
        <v>9497.326913365996</v>
      </c>
      <c r="I2296">
        <f>INDEX(weekly!$F$2:$F$188,MATCH('Marketing Campaigns 22.11.22'!L2296,weekly!$H$2:$H$188,0))</f>
        <v>2671.0791654913073</v>
      </c>
      <c r="J2296">
        <v>0</v>
      </c>
      <c r="K2296">
        <v>0</v>
      </c>
      <c r="L2296" t="str">
        <f t="shared" si="90"/>
        <v>48-11-2023</v>
      </c>
      <c r="M2296">
        <f t="shared" si="91"/>
        <v>2023</v>
      </c>
    </row>
    <row r="2297" spans="1:13" x14ac:dyDescent="0.2">
      <c r="A2297" s="1">
        <f t="shared" si="92"/>
        <v>45257</v>
      </c>
      <c r="B2297">
        <f t="shared" si="89"/>
        <v>48</v>
      </c>
      <c r="C2297">
        <f t="shared" si="93"/>
        <v>11</v>
      </c>
      <c r="D2297">
        <f t="shared" si="94"/>
        <v>4</v>
      </c>
      <c r="E2297" t="s">
        <v>52</v>
      </c>
      <c r="F2297">
        <v>0</v>
      </c>
      <c r="G2297">
        <f>INDEX(weekly!$E$2:$E$188,MATCH('Marketing Campaigns 22.11.22'!L2297,weekly!$H$2:$H$188,0))</f>
        <v>3358.2944451959511</v>
      </c>
      <c r="H2297">
        <f>INDEX(weekly!$D$2:$D$188,MATCH('Marketing Campaigns 22.11.22'!L2297,weekly!$H$2:$H$188,0))</f>
        <v>9497.326913365996</v>
      </c>
      <c r="I2297">
        <f>INDEX(weekly!$F$2:$F$188,MATCH('Marketing Campaigns 22.11.22'!L2297,weekly!$H$2:$H$188,0))</f>
        <v>2671.0791654913073</v>
      </c>
      <c r="J2297">
        <v>0</v>
      </c>
      <c r="K2297">
        <v>0</v>
      </c>
      <c r="L2297" t="str">
        <f t="shared" si="90"/>
        <v>48-11-2023</v>
      </c>
      <c r="M2297">
        <f t="shared" si="91"/>
        <v>2023</v>
      </c>
    </row>
    <row r="2298" spans="1:13" x14ac:dyDescent="0.2">
      <c r="A2298" s="1">
        <f t="shared" si="92"/>
        <v>45264</v>
      </c>
      <c r="B2298">
        <f>IF(E2298="None",B2297+1,B2297)</f>
        <v>49</v>
      </c>
      <c r="C2298">
        <f t="shared" si="93"/>
        <v>12</v>
      </c>
      <c r="D2298">
        <f t="shared" si="94"/>
        <v>4</v>
      </c>
      <c r="E2298" t="s">
        <v>24</v>
      </c>
      <c r="F2298">
        <v>0</v>
      </c>
      <c r="G2298">
        <f>INDEX(weekly!$E$2:$E$188,MATCH('Marketing Campaigns 22.11.22'!L2298,weekly!$H$2:$H$188,0))</f>
        <v>4917.001415006649</v>
      </c>
      <c r="H2298">
        <f>INDEX(weekly!$D$2:$D$188,MATCH('Marketing Campaigns 22.11.22'!L2298,weekly!$H$2:$H$188,0))</f>
        <v>17033.093028109241</v>
      </c>
      <c r="I2298">
        <f>INDEX(weekly!$F$2:$F$188,MATCH('Marketing Campaigns 22.11.22'!L2298,weekly!$H$2:$H$188,0))</f>
        <v>4653.9170698112484</v>
      </c>
      <c r="J2298">
        <v>0</v>
      </c>
      <c r="K2298">
        <v>0</v>
      </c>
      <c r="L2298" t="str">
        <f t="shared" si="90"/>
        <v>49-12-2023</v>
      </c>
      <c r="M2298">
        <f t="shared" si="91"/>
        <v>2023</v>
      </c>
    </row>
    <row r="2299" spans="1:13" x14ac:dyDescent="0.2">
      <c r="A2299" s="1">
        <f t="shared" si="92"/>
        <v>45264</v>
      </c>
      <c r="B2299">
        <f t="shared" si="89"/>
        <v>49</v>
      </c>
      <c r="C2299">
        <f t="shared" si="93"/>
        <v>12</v>
      </c>
      <c r="D2299">
        <f t="shared" si="94"/>
        <v>4</v>
      </c>
      <c r="E2299" t="s">
        <v>39</v>
      </c>
      <c r="F2299">
        <v>0</v>
      </c>
      <c r="G2299">
        <f>INDEX(weekly!$E$2:$E$188,MATCH('Marketing Campaigns 22.11.22'!L2299,weekly!$H$2:$H$188,0))</f>
        <v>4917.001415006649</v>
      </c>
      <c r="H2299">
        <f>INDEX(weekly!$D$2:$D$188,MATCH('Marketing Campaigns 22.11.22'!L2299,weekly!$H$2:$H$188,0))</f>
        <v>17033.093028109241</v>
      </c>
      <c r="I2299">
        <f>INDEX(weekly!$F$2:$F$188,MATCH('Marketing Campaigns 22.11.22'!L2299,weekly!$H$2:$H$188,0))</f>
        <v>4653.9170698112484</v>
      </c>
      <c r="J2299">
        <v>0</v>
      </c>
      <c r="K2299">
        <v>0</v>
      </c>
      <c r="L2299" t="str">
        <f t="shared" si="90"/>
        <v>49-12-2023</v>
      </c>
      <c r="M2299">
        <f t="shared" si="91"/>
        <v>2023</v>
      </c>
    </row>
    <row r="2300" spans="1:13" x14ac:dyDescent="0.2">
      <c r="A2300" s="1">
        <f t="shared" si="92"/>
        <v>45264</v>
      </c>
      <c r="B2300">
        <f t="shared" si="89"/>
        <v>49</v>
      </c>
      <c r="C2300">
        <f t="shared" si="93"/>
        <v>12</v>
      </c>
      <c r="D2300">
        <f t="shared" si="94"/>
        <v>4</v>
      </c>
      <c r="E2300" t="s">
        <v>40</v>
      </c>
      <c r="F2300">
        <v>0</v>
      </c>
      <c r="G2300">
        <f>INDEX(weekly!$E$2:$E$188,MATCH('Marketing Campaigns 22.11.22'!L2300,weekly!$H$2:$H$188,0))</f>
        <v>4917.001415006649</v>
      </c>
      <c r="H2300">
        <f>INDEX(weekly!$D$2:$D$188,MATCH('Marketing Campaigns 22.11.22'!L2300,weekly!$H$2:$H$188,0))</f>
        <v>17033.093028109241</v>
      </c>
      <c r="I2300">
        <f>INDEX(weekly!$F$2:$F$188,MATCH('Marketing Campaigns 22.11.22'!L2300,weekly!$H$2:$H$188,0))</f>
        <v>4653.9170698112484</v>
      </c>
      <c r="J2300">
        <v>0</v>
      </c>
      <c r="K2300">
        <v>0</v>
      </c>
      <c r="L2300" t="str">
        <f t="shared" si="90"/>
        <v>49-12-2023</v>
      </c>
      <c r="M2300">
        <f t="shared" si="91"/>
        <v>2023</v>
      </c>
    </row>
    <row r="2301" spans="1:13" x14ac:dyDescent="0.2">
      <c r="A2301" s="1">
        <f t="shared" si="92"/>
        <v>45264</v>
      </c>
      <c r="B2301">
        <f t="shared" si="89"/>
        <v>49</v>
      </c>
      <c r="C2301">
        <f t="shared" si="93"/>
        <v>12</v>
      </c>
      <c r="D2301">
        <f t="shared" si="94"/>
        <v>4</v>
      </c>
      <c r="E2301" t="s">
        <v>41</v>
      </c>
      <c r="F2301">
        <v>0</v>
      </c>
      <c r="G2301">
        <f>INDEX(weekly!$E$2:$E$188,MATCH('Marketing Campaigns 22.11.22'!L2301,weekly!$H$2:$H$188,0))</f>
        <v>4917.001415006649</v>
      </c>
      <c r="H2301">
        <f>INDEX(weekly!$D$2:$D$188,MATCH('Marketing Campaigns 22.11.22'!L2301,weekly!$H$2:$H$188,0))</f>
        <v>17033.093028109241</v>
      </c>
      <c r="I2301">
        <f>INDEX(weekly!$F$2:$F$188,MATCH('Marketing Campaigns 22.11.22'!L2301,weekly!$H$2:$H$188,0))</f>
        <v>4653.9170698112484</v>
      </c>
      <c r="J2301">
        <v>0</v>
      </c>
      <c r="K2301">
        <v>0</v>
      </c>
      <c r="L2301" t="str">
        <f t="shared" si="90"/>
        <v>49-12-2023</v>
      </c>
      <c r="M2301">
        <f t="shared" si="91"/>
        <v>2023</v>
      </c>
    </row>
    <row r="2302" spans="1:13" x14ac:dyDescent="0.2">
      <c r="A2302" s="1">
        <f t="shared" si="92"/>
        <v>45264</v>
      </c>
      <c r="B2302">
        <f t="shared" si="89"/>
        <v>49</v>
      </c>
      <c r="C2302">
        <f t="shared" si="93"/>
        <v>12</v>
      </c>
      <c r="D2302">
        <f t="shared" si="94"/>
        <v>4</v>
      </c>
      <c r="E2302" t="s">
        <v>42</v>
      </c>
      <c r="F2302">
        <v>0</v>
      </c>
      <c r="G2302">
        <f>INDEX(weekly!$E$2:$E$188,MATCH('Marketing Campaigns 22.11.22'!L2302,weekly!$H$2:$H$188,0))</f>
        <v>4917.001415006649</v>
      </c>
      <c r="H2302">
        <f>INDEX(weekly!$D$2:$D$188,MATCH('Marketing Campaigns 22.11.22'!L2302,weekly!$H$2:$H$188,0))</f>
        <v>17033.093028109241</v>
      </c>
      <c r="I2302">
        <f>INDEX(weekly!$F$2:$F$188,MATCH('Marketing Campaigns 22.11.22'!L2302,weekly!$H$2:$H$188,0))</f>
        <v>4653.9170698112484</v>
      </c>
      <c r="J2302">
        <v>0</v>
      </c>
      <c r="K2302">
        <v>0</v>
      </c>
      <c r="L2302" t="str">
        <f t="shared" si="90"/>
        <v>49-12-2023</v>
      </c>
      <c r="M2302">
        <f t="shared" si="91"/>
        <v>2023</v>
      </c>
    </row>
    <row r="2303" spans="1:13" x14ac:dyDescent="0.2">
      <c r="A2303" s="1">
        <f t="shared" si="92"/>
        <v>45264</v>
      </c>
      <c r="B2303">
        <f t="shared" si="89"/>
        <v>49</v>
      </c>
      <c r="C2303">
        <f t="shared" si="93"/>
        <v>12</v>
      </c>
      <c r="D2303">
        <f t="shared" si="94"/>
        <v>4</v>
      </c>
      <c r="E2303" t="s">
        <v>43</v>
      </c>
      <c r="F2303">
        <v>0</v>
      </c>
      <c r="G2303">
        <f>INDEX(weekly!$E$2:$E$188,MATCH('Marketing Campaigns 22.11.22'!L2303,weekly!$H$2:$H$188,0))</f>
        <v>4917.001415006649</v>
      </c>
      <c r="H2303">
        <f>INDEX(weekly!$D$2:$D$188,MATCH('Marketing Campaigns 22.11.22'!L2303,weekly!$H$2:$H$188,0))</f>
        <v>17033.093028109241</v>
      </c>
      <c r="I2303">
        <f>INDEX(weekly!$F$2:$F$188,MATCH('Marketing Campaigns 22.11.22'!L2303,weekly!$H$2:$H$188,0))</f>
        <v>4653.9170698112484</v>
      </c>
      <c r="J2303">
        <v>0</v>
      </c>
      <c r="K2303">
        <v>0</v>
      </c>
      <c r="L2303" t="str">
        <f t="shared" si="90"/>
        <v>49-12-2023</v>
      </c>
      <c r="M2303">
        <f t="shared" si="91"/>
        <v>2023</v>
      </c>
    </row>
    <row r="2304" spans="1:13" x14ac:dyDescent="0.2">
      <c r="A2304" s="1">
        <f t="shared" si="92"/>
        <v>45264</v>
      </c>
      <c r="B2304">
        <f t="shared" ref="B2304:B2327" si="95">IF(E2304="None",B2303+1,B2303)</f>
        <v>49</v>
      </c>
      <c r="C2304">
        <f t="shared" si="93"/>
        <v>12</v>
      </c>
      <c r="D2304">
        <f t="shared" si="94"/>
        <v>4</v>
      </c>
      <c r="E2304" t="s">
        <v>44</v>
      </c>
      <c r="F2304">
        <v>0</v>
      </c>
      <c r="G2304">
        <f>INDEX(weekly!$E$2:$E$188,MATCH('Marketing Campaigns 22.11.22'!L2304,weekly!$H$2:$H$188,0))</f>
        <v>4917.001415006649</v>
      </c>
      <c r="H2304">
        <f>INDEX(weekly!$D$2:$D$188,MATCH('Marketing Campaigns 22.11.22'!L2304,weekly!$H$2:$H$188,0))</f>
        <v>17033.093028109241</v>
      </c>
      <c r="I2304">
        <f>INDEX(weekly!$F$2:$F$188,MATCH('Marketing Campaigns 22.11.22'!L2304,weekly!$H$2:$H$188,0))</f>
        <v>4653.9170698112484</v>
      </c>
      <c r="J2304">
        <v>0</v>
      </c>
      <c r="K2304">
        <v>0</v>
      </c>
      <c r="L2304" t="str">
        <f t="shared" si="90"/>
        <v>49-12-2023</v>
      </c>
      <c r="M2304">
        <f t="shared" si="91"/>
        <v>2023</v>
      </c>
    </row>
    <row r="2305" spans="1:13" x14ac:dyDescent="0.2">
      <c r="A2305" s="1">
        <f t="shared" si="92"/>
        <v>45264</v>
      </c>
      <c r="B2305">
        <f t="shared" si="95"/>
        <v>49</v>
      </c>
      <c r="C2305">
        <f t="shared" si="93"/>
        <v>12</v>
      </c>
      <c r="D2305">
        <f t="shared" si="94"/>
        <v>4</v>
      </c>
      <c r="E2305" t="s">
        <v>45</v>
      </c>
      <c r="F2305">
        <v>0</v>
      </c>
      <c r="G2305">
        <f>INDEX(weekly!$E$2:$E$188,MATCH('Marketing Campaigns 22.11.22'!L2305,weekly!$H$2:$H$188,0))</f>
        <v>4917.001415006649</v>
      </c>
      <c r="H2305">
        <f>INDEX(weekly!$D$2:$D$188,MATCH('Marketing Campaigns 22.11.22'!L2305,weekly!$H$2:$H$188,0))</f>
        <v>17033.093028109241</v>
      </c>
      <c r="I2305">
        <f>INDEX(weekly!$F$2:$F$188,MATCH('Marketing Campaigns 22.11.22'!L2305,weekly!$H$2:$H$188,0))</f>
        <v>4653.9170698112484</v>
      </c>
      <c r="J2305">
        <v>0</v>
      </c>
      <c r="K2305">
        <v>0</v>
      </c>
      <c r="L2305" t="str">
        <f t="shared" si="90"/>
        <v>49-12-2023</v>
      </c>
      <c r="M2305">
        <f t="shared" si="91"/>
        <v>2023</v>
      </c>
    </row>
    <row r="2306" spans="1:13" x14ac:dyDescent="0.2">
      <c r="A2306" s="1">
        <f t="shared" si="92"/>
        <v>45264</v>
      </c>
      <c r="B2306">
        <f t="shared" si="95"/>
        <v>49</v>
      </c>
      <c r="C2306">
        <f t="shared" si="93"/>
        <v>12</v>
      </c>
      <c r="D2306">
        <f t="shared" si="94"/>
        <v>4</v>
      </c>
      <c r="E2306" t="s">
        <v>46</v>
      </c>
      <c r="F2306">
        <v>0</v>
      </c>
      <c r="G2306">
        <f>INDEX(weekly!$E$2:$E$188,MATCH('Marketing Campaigns 22.11.22'!L2306,weekly!$H$2:$H$188,0))</f>
        <v>4917.001415006649</v>
      </c>
      <c r="H2306">
        <f>INDEX(weekly!$D$2:$D$188,MATCH('Marketing Campaigns 22.11.22'!L2306,weekly!$H$2:$H$188,0))</f>
        <v>17033.093028109241</v>
      </c>
      <c r="I2306">
        <f>INDEX(weekly!$F$2:$F$188,MATCH('Marketing Campaigns 22.11.22'!L2306,weekly!$H$2:$H$188,0))</f>
        <v>4653.9170698112484</v>
      </c>
      <c r="J2306">
        <v>0</v>
      </c>
      <c r="K2306">
        <v>0</v>
      </c>
      <c r="L2306" t="str">
        <f t="shared" si="90"/>
        <v>49-12-2023</v>
      </c>
      <c r="M2306">
        <f t="shared" si="91"/>
        <v>2023</v>
      </c>
    </row>
    <row r="2307" spans="1:13" x14ac:dyDescent="0.2">
      <c r="A2307" s="1">
        <f t="shared" si="92"/>
        <v>45264</v>
      </c>
      <c r="B2307">
        <f t="shared" si="95"/>
        <v>49</v>
      </c>
      <c r="C2307">
        <f t="shared" si="93"/>
        <v>12</v>
      </c>
      <c r="D2307">
        <f t="shared" si="94"/>
        <v>4</v>
      </c>
      <c r="E2307" t="s">
        <v>47</v>
      </c>
      <c r="F2307">
        <v>0</v>
      </c>
      <c r="G2307">
        <f>INDEX(weekly!$E$2:$E$188,MATCH('Marketing Campaigns 22.11.22'!L2307,weekly!$H$2:$H$188,0))</f>
        <v>4917.001415006649</v>
      </c>
      <c r="H2307">
        <f>INDEX(weekly!$D$2:$D$188,MATCH('Marketing Campaigns 22.11.22'!L2307,weekly!$H$2:$H$188,0))</f>
        <v>17033.093028109241</v>
      </c>
      <c r="I2307">
        <f>INDEX(weekly!$F$2:$F$188,MATCH('Marketing Campaigns 22.11.22'!L2307,weekly!$H$2:$H$188,0))</f>
        <v>4653.9170698112484</v>
      </c>
      <c r="J2307">
        <v>0</v>
      </c>
      <c r="K2307">
        <v>0</v>
      </c>
      <c r="L2307" t="str">
        <f t="shared" si="90"/>
        <v>49-12-2023</v>
      </c>
      <c r="M2307">
        <f t="shared" si="91"/>
        <v>2023</v>
      </c>
    </row>
    <row r="2308" spans="1:13" x14ac:dyDescent="0.2">
      <c r="A2308" s="1">
        <f t="shared" si="92"/>
        <v>45264</v>
      </c>
      <c r="B2308">
        <f t="shared" si="95"/>
        <v>49</v>
      </c>
      <c r="C2308">
        <f t="shared" si="93"/>
        <v>12</v>
      </c>
      <c r="D2308">
        <f t="shared" si="94"/>
        <v>4</v>
      </c>
      <c r="E2308" t="s">
        <v>48</v>
      </c>
      <c r="F2308">
        <v>0</v>
      </c>
      <c r="G2308">
        <f>INDEX(weekly!$E$2:$E$188,MATCH('Marketing Campaigns 22.11.22'!L2308,weekly!$H$2:$H$188,0))</f>
        <v>4917.001415006649</v>
      </c>
      <c r="H2308">
        <f>INDEX(weekly!$D$2:$D$188,MATCH('Marketing Campaigns 22.11.22'!L2308,weekly!$H$2:$H$188,0))</f>
        <v>17033.093028109241</v>
      </c>
      <c r="I2308">
        <f>INDEX(weekly!$F$2:$F$188,MATCH('Marketing Campaigns 22.11.22'!L2308,weekly!$H$2:$H$188,0))</f>
        <v>4653.9170698112484</v>
      </c>
      <c r="J2308">
        <v>0</v>
      </c>
      <c r="K2308">
        <v>0</v>
      </c>
      <c r="L2308" t="str">
        <f t="shared" ref="L2308:L2357" si="96">B2308&amp;"-"&amp;C2308&amp;"-"&amp;M2308</f>
        <v>49-12-2023</v>
      </c>
      <c r="M2308">
        <f t="shared" ref="M2308:M2357" si="97">YEAR(A2308)</f>
        <v>2023</v>
      </c>
    </row>
    <row r="2309" spans="1:13" x14ac:dyDescent="0.2">
      <c r="A2309" s="1">
        <f t="shared" si="92"/>
        <v>45264</v>
      </c>
      <c r="B2309">
        <f t="shared" si="95"/>
        <v>49</v>
      </c>
      <c r="C2309">
        <f t="shared" si="93"/>
        <v>12</v>
      </c>
      <c r="D2309">
        <f t="shared" si="94"/>
        <v>4</v>
      </c>
      <c r="E2309" t="s">
        <v>49</v>
      </c>
      <c r="F2309">
        <v>0</v>
      </c>
      <c r="G2309">
        <f>INDEX(weekly!$E$2:$E$188,MATCH('Marketing Campaigns 22.11.22'!L2309,weekly!$H$2:$H$188,0))</f>
        <v>4917.001415006649</v>
      </c>
      <c r="H2309">
        <f>INDEX(weekly!$D$2:$D$188,MATCH('Marketing Campaigns 22.11.22'!L2309,weekly!$H$2:$H$188,0))</f>
        <v>17033.093028109241</v>
      </c>
      <c r="I2309">
        <f>INDEX(weekly!$F$2:$F$188,MATCH('Marketing Campaigns 22.11.22'!L2309,weekly!$H$2:$H$188,0))</f>
        <v>4653.9170698112484</v>
      </c>
      <c r="J2309">
        <v>0</v>
      </c>
      <c r="K2309">
        <v>0</v>
      </c>
      <c r="L2309" t="str">
        <f t="shared" si="96"/>
        <v>49-12-2023</v>
      </c>
      <c r="M2309">
        <f t="shared" si="97"/>
        <v>2023</v>
      </c>
    </row>
    <row r="2310" spans="1:13" x14ac:dyDescent="0.2">
      <c r="A2310" s="1">
        <f t="shared" si="92"/>
        <v>45264</v>
      </c>
      <c r="B2310">
        <f t="shared" si="95"/>
        <v>49</v>
      </c>
      <c r="C2310">
        <f t="shared" si="93"/>
        <v>12</v>
      </c>
      <c r="D2310">
        <f t="shared" si="94"/>
        <v>4</v>
      </c>
      <c r="E2310" t="s">
        <v>50</v>
      </c>
      <c r="F2310">
        <v>0</v>
      </c>
      <c r="G2310">
        <f>INDEX(weekly!$E$2:$E$188,MATCH('Marketing Campaigns 22.11.22'!L2310,weekly!$H$2:$H$188,0))</f>
        <v>4917.001415006649</v>
      </c>
      <c r="H2310">
        <f>INDEX(weekly!$D$2:$D$188,MATCH('Marketing Campaigns 22.11.22'!L2310,weekly!$H$2:$H$188,0))</f>
        <v>17033.093028109241</v>
      </c>
      <c r="I2310">
        <f>INDEX(weekly!$F$2:$F$188,MATCH('Marketing Campaigns 22.11.22'!L2310,weekly!$H$2:$H$188,0))</f>
        <v>4653.9170698112484</v>
      </c>
      <c r="J2310">
        <v>0</v>
      </c>
      <c r="K2310">
        <v>0</v>
      </c>
      <c r="L2310" t="str">
        <f t="shared" si="96"/>
        <v>49-12-2023</v>
      </c>
      <c r="M2310">
        <f t="shared" si="97"/>
        <v>2023</v>
      </c>
    </row>
    <row r="2311" spans="1:13" x14ac:dyDescent="0.2">
      <c r="A2311" s="1">
        <f t="shared" si="92"/>
        <v>45264</v>
      </c>
      <c r="B2311">
        <f t="shared" si="95"/>
        <v>49</v>
      </c>
      <c r="C2311">
        <f t="shared" si="93"/>
        <v>12</v>
      </c>
      <c r="D2311">
        <f t="shared" si="94"/>
        <v>4</v>
      </c>
      <c r="E2311" t="s">
        <v>51</v>
      </c>
      <c r="F2311">
        <v>0</v>
      </c>
      <c r="G2311">
        <f>INDEX(weekly!$E$2:$E$188,MATCH('Marketing Campaigns 22.11.22'!L2311,weekly!$H$2:$H$188,0))</f>
        <v>4917.001415006649</v>
      </c>
      <c r="H2311">
        <f>INDEX(weekly!$D$2:$D$188,MATCH('Marketing Campaigns 22.11.22'!L2311,weekly!$H$2:$H$188,0))</f>
        <v>17033.093028109241</v>
      </c>
      <c r="I2311">
        <f>INDEX(weekly!$F$2:$F$188,MATCH('Marketing Campaigns 22.11.22'!L2311,weekly!$H$2:$H$188,0))</f>
        <v>4653.9170698112484</v>
      </c>
      <c r="J2311">
        <v>0</v>
      </c>
      <c r="K2311">
        <v>0</v>
      </c>
      <c r="L2311" t="str">
        <f t="shared" si="96"/>
        <v>49-12-2023</v>
      </c>
      <c r="M2311">
        <f t="shared" si="97"/>
        <v>2023</v>
      </c>
    </row>
    <row r="2312" spans="1:13" x14ac:dyDescent="0.2">
      <c r="A2312" s="1">
        <f t="shared" si="92"/>
        <v>45264</v>
      </c>
      <c r="B2312">
        <f t="shared" si="95"/>
        <v>49</v>
      </c>
      <c r="C2312">
        <f t="shared" si="93"/>
        <v>12</v>
      </c>
      <c r="D2312">
        <f t="shared" si="94"/>
        <v>4</v>
      </c>
      <c r="E2312" t="s">
        <v>52</v>
      </c>
      <c r="F2312">
        <v>0</v>
      </c>
      <c r="G2312">
        <f>INDEX(weekly!$E$2:$E$188,MATCH('Marketing Campaigns 22.11.22'!L2312,weekly!$H$2:$H$188,0))</f>
        <v>4917.001415006649</v>
      </c>
      <c r="H2312">
        <f>INDEX(weekly!$D$2:$D$188,MATCH('Marketing Campaigns 22.11.22'!L2312,weekly!$H$2:$H$188,0))</f>
        <v>17033.093028109241</v>
      </c>
      <c r="I2312">
        <f>INDEX(weekly!$F$2:$F$188,MATCH('Marketing Campaigns 22.11.22'!L2312,weekly!$H$2:$H$188,0))</f>
        <v>4653.9170698112484</v>
      </c>
      <c r="J2312">
        <v>0</v>
      </c>
      <c r="K2312">
        <v>0</v>
      </c>
      <c r="L2312" t="str">
        <f t="shared" si="96"/>
        <v>49-12-2023</v>
      </c>
      <c r="M2312">
        <f t="shared" si="97"/>
        <v>2023</v>
      </c>
    </row>
    <row r="2313" spans="1:13" x14ac:dyDescent="0.2">
      <c r="A2313" s="1">
        <f t="shared" si="92"/>
        <v>45271</v>
      </c>
      <c r="B2313">
        <f>IF(E2313="None",B2312+1,B2312)</f>
        <v>50</v>
      </c>
      <c r="C2313">
        <f t="shared" si="93"/>
        <v>12</v>
      </c>
      <c r="D2313">
        <f t="shared" si="94"/>
        <v>4</v>
      </c>
      <c r="E2313" t="s">
        <v>24</v>
      </c>
      <c r="F2313">
        <v>0</v>
      </c>
      <c r="G2313">
        <f>INDEX(weekly!$E$2:$E$188,MATCH('Marketing Campaigns 22.11.22'!L2313,weekly!$H$2:$H$188,0))</f>
        <v>4917.001415006649</v>
      </c>
      <c r="H2313">
        <f>INDEX(weekly!$D$2:$D$188,MATCH('Marketing Campaigns 22.11.22'!L2313,weekly!$H$2:$H$188,0))</f>
        <v>17033.093028109241</v>
      </c>
      <c r="I2313">
        <f>INDEX(weekly!$F$2:$F$188,MATCH('Marketing Campaigns 22.11.22'!L2313,weekly!$H$2:$H$188,0))</f>
        <v>4653.9170698112484</v>
      </c>
      <c r="J2313">
        <v>0</v>
      </c>
      <c r="K2313">
        <v>0</v>
      </c>
      <c r="L2313" t="str">
        <f t="shared" si="96"/>
        <v>50-12-2023</v>
      </c>
      <c r="M2313">
        <f t="shared" si="97"/>
        <v>2023</v>
      </c>
    </row>
    <row r="2314" spans="1:13" x14ac:dyDescent="0.2">
      <c r="A2314" s="1">
        <f t="shared" si="92"/>
        <v>45271</v>
      </c>
      <c r="B2314">
        <f t="shared" si="95"/>
        <v>50</v>
      </c>
      <c r="C2314">
        <f t="shared" si="93"/>
        <v>12</v>
      </c>
      <c r="D2314">
        <f t="shared" si="94"/>
        <v>4</v>
      </c>
      <c r="E2314" t="s">
        <v>39</v>
      </c>
      <c r="F2314">
        <v>0</v>
      </c>
      <c r="G2314">
        <f>INDEX(weekly!$E$2:$E$188,MATCH('Marketing Campaigns 22.11.22'!L2314,weekly!$H$2:$H$188,0))</f>
        <v>4917.001415006649</v>
      </c>
      <c r="H2314">
        <f>INDEX(weekly!$D$2:$D$188,MATCH('Marketing Campaigns 22.11.22'!L2314,weekly!$H$2:$H$188,0))</f>
        <v>17033.093028109241</v>
      </c>
      <c r="I2314">
        <f>INDEX(weekly!$F$2:$F$188,MATCH('Marketing Campaigns 22.11.22'!L2314,weekly!$H$2:$H$188,0))</f>
        <v>4653.9170698112484</v>
      </c>
      <c r="J2314">
        <v>0</v>
      </c>
      <c r="K2314">
        <v>0</v>
      </c>
      <c r="L2314" t="str">
        <f t="shared" si="96"/>
        <v>50-12-2023</v>
      </c>
      <c r="M2314">
        <f t="shared" si="97"/>
        <v>2023</v>
      </c>
    </row>
    <row r="2315" spans="1:13" x14ac:dyDescent="0.2">
      <c r="A2315" s="1">
        <f t="shared" si="92"/>
        <v>45271</v>
      </c>
      <c r="B2315">
        <f t="shared" si="95"/>
        <v>50</v>
      </c>
      <c r="C2315">
        <f t="shared" si="93"/>
        <v>12</v>
      </c>
      <c r="D2315">
        <f t="shared" si="94"/>
        <v>4</v>
      </c>
      <c r="E2315" t="s">
        <v>40</v>
      </c>
      <c r="F2315">
        <v>0</v>
      </c>
      <c r="G2315">
        <f>INDEX(weekly!$E$2:$E$188,MATCH('Marketing Campaigns 22.11.22'!L2315,weekly!$H$2:$H$188,0))</f>
        <v>4917.001415006649</v>
      </c>
      <c r="H2315">
        <f>INDEX(weekly!$D$2:$D$188,MATCH('Marketing Campaigns 22.11.22'!L2315,weekly!$H$2:$H$188,0))</f>
        <v>17033.093028109241</v>
      </c>
      <c r="I2315">
        <f>INDEX(weekly!$F$2:$F$188,MATCH('Marketing Campaigns 22.11.22'!L2315,weekly!$H$2:$H$188,0))</f>
        <v>4653.9170698112484</v>
      </c>
      <c r="J2315">
        <v>0</v>
      </c>
      <c r="K2315">
        <v>0</v>
      </c>
      <c r="L2315" t="str">
        <f t="shared" si="96"/>
        <v>50-12-2023</v>
      </c>
      <c r="M2315">
        <f t="shared" si="97"/>
        <v>2023</v>
      </c>
    </row>
    <row r="2316" spans="1:13" x14ac:dyDescent="0.2">
      <c r="A2316" s="1">
        <f t="shared" si="92"/>
        <v>45271</v>
      </c>
      <c r="B2316">
        <f t="shared" si="95"/>
        <v>50</v>
      </c>
      <c r="C2316">
        <f t="shared" si="93"/>
        <v>12</v>
      </c>
      <c r="D2316">
        <f t="shared" si="94"/>
        <v>4</v>
      </c>
      <c r="E2316" t="s">
        <v>41</v>
      </c>
      <c r="F2316">
        <v>0</v>
      </c>
      <c r="G2316">
        <f>INDEX(weekly!$E$2:$E$188,MATCH('Marketing Campaigns 22.11.22'!L2316,weekly!$H$2:$H$188,0))</f>
        <v>4917.001415006649</v>
      </c>
      <c r="H2316">
        <f>INDEX(weekly!$D$2:$D$188,MATCH('Marketing Campaigns 22.11.22'!L2316,weekly!$H$2:$H$188,0))</f>
        <v>17033.093028109241</v>
      </c>
      <c r="I2316">
        <f>INDEX(weekly!$F$2:$F$188,MATCH('Marketing Campaigns 22.11.22'!L2316,weekly!$H$2:$H$188,0))</f>
        <v>4653.9170698112484</v>
      </c>
      <c r="J2316">
        <v>0</v>
      </c>
      <c r="K2316">
        <v>0</v>
      </c>
      <c r="L2316" t="str">
        <f t="shared" si="96"/>
        <v>50-12-2023</v>
      </c>
      <c r="M2316">
        <f t="shared" si="97"/>
        <v>2023</v>
      </c>
    </row>
    <row r="2317" spans="1:13" x14ac:dyDescent="0.2">
      <c r="A2317" s="1">
        <f t="shared" si="92"/>
        <v>45271</v>
      </c>
      <c r="B2317">
        <f t="shared" si="95"/>
        <v>50</v>
      </c>
      <c r="C2317">
        <f t="shared" si="93"/>
        <v>12</v>
      </c>
      <c r="D2317">
        <f t="shared" si="94"/>
        <v>4</v>
      </c>
      <c r="E2317" t="s">
        <v>42</v>
      </c>
      <c r="F2317">
        <v>0</v>
      </c>
      <c r="G2317">
        <f>INDEX(weekly!$E$2:$E$188,MATCH('Marketing Campaigns 22.11.22'!L2317,weekly!$H$2:$H$188,0))</f>
        <v>4917.001415006649</v>
      </c>
      <c r="H2317">
        <f>INDEX(weekly!$D$2:$D$188,MATCH('Marketing Campaigns 22.11.22'!L2317,weekly!$H$2:$H$188,0))</f>
        <v>17033.093028109241</v>
      </c>
      <c r="I2317">
        <f>INDEX(weekly!$F$2:$F$188,MATCH('Marketing Campaigns 22.11.22'!L2317,weekly!$H$2:$H$188,0))</f>
        <v>4653.9170698112484</v>
      </c>
      <c r="J2317">
        <v>0</v>
      </c>
      <c r="K2317">
        <v>0</v>
      </c>
      <c r="L2317" t="str">
        <f t="shared" si="96"/>
        <v>50-12-2023</v>
      </c>
      <c r="M2317">
        <f t="shared" si="97"/>
        <v>2023</v>
      </c>
    </row>
    <row r="2318" spans="1:13" x14ac:dyDescent="0.2">
      <c r="A2318" s="1">
        <f t="shared" si="92"/>
        <v>45271</v>
      </c>
      <c r="B2318">
        <f t="shared" si="95"/>
        <v>50</v>
      </c>
      <c r="C2318">
        <f t="shared" si="93"/>
        <v>12</v>
      </c>
      <c r="D2318">
        <f t="shared" si="94"/>
        <v>4</v>
      </c>
      <c r="E2318" t="s">
        <v>43</v>
      </c>
      <c r="F2318">
        <v>0</v>
      </c>
      <c r="G2318">
        <f>INDEX(weekly!$E$2:$E$188,MATCH('Marketing Campaigns 22.11.22'!L2318,weekly!$H$2:$H$188,0))</f>
        <v>4917.001415006649</v>
      </c>
      <c r="H2318">
        <f>INDEX(weekly!$D$2:$D$188,MATCH('Marketing Campaigns 22.11.22'!L2318,weekly!$H$2:$H$188,0))</f>
        <v>17033.093028109241</v>
      </c>
      <c r="I2318">
        <f>INDEX(weekly!$F$2:$F$188,MATCH('Marketing Campaigns 22.11.22'!L2318,weekly!$H$2:$H$188,0))</f>
        <v>4653.9170698112484</v>
      </c>
      <c r="J2318">
        <v>0</v>
      </c>
      <c r="K2318">
        <v>0</v>
      </c>
      <c r="L2318" t="str">
        <f t="shared" si="96"/>
        <v>50-12-2023</v>
      </c>
      <c r="M2318">
        <f t="shared" si="97"/>
        <v>2023</v>
      </c>
    </row>
    <row r="2319" spans="1:13" x14ac:dyDescent="0.2">
      <c r="A2319" s="1">
        <f t="shared" si="92"/>
        <v>45271</v>
      </c>
      <c r="B2319">
        <f t="shared" si="95"/>
        <v>50</v>
      </c>
      <c r="C2319">
        <f t="shared" si="93"/>
        <v>12</v>
      </c>
      <c r="D2319">
        <f t="shared" si="94"/>
        <v>4</v>
      </c>
      <c r="E2319" t="s">
        <v>44</v>
      </c>
      <c r="F2319">
        <v>0</v>
      </c>
      <c r="G2319">
        <f>INDEX(weekly!$E$2:$E$188,MATCH('Marketing Campaigns 22.11.22'!L2319,weekly!$H$2:$H$188,0))</f>
        <v>4917.001415006649</v>
      </c>
      <c r="H2319">
        <f>INDEX(weekly!$D$2:$D$188,MATCH('Marketing Campaigns 22.11.22'!L2319,weekly!$H$2:$H$188,0))</f>
        <v>17033.093028109241</v>
      </c>
      <c r="I2319">
        <f>INDEX(weekly!$F$2:$F$188,MATCH('Marketing Campaigns 22.11.22'!L2319,weekly!$H$2:$H$188,0))</f>
        <v>4653.9170698112484</v>
      </c>
      <c r="J2319">
        <v>0</v>
      </c>
      <c r="K2319">
        <v>0</v>
      </c>
      <c r="L2319" t="str">
        <f t="shared" si="96"/>
        <v>50-12-2023</v>
      </c>
      <c r="M2319">
        <f t="shared" si="97"/>
        <v>2023</v>
      </c>
    </row>
    <row r="2320" spans="1:13" x14ac:dyDescent="0.2">
      <c r="A2320" s="1">
        <f t="shared" si="92"/>
        <v>45271</v>
      </c>
      <c r="B2320">
        <f t="shared" si="95"/>
        <v>50</v>
      </c>
      <c r="C2320">
        <f t="shared" si="93"/>
        <v>12</v>
      </c>
      <c r="D2320">
        <f t="shared" si="94"/>
        <v>4</v>
      </c>
      <c r="E2320" t="s">
        <v>45</v>
      </c>
      <c r="F2320">
        <v>0</v>
      </c>
      <c r="G2320">
        <f>INDEX(weekly!$E$2:$E$188,MATCH('Marketing Campaigns 22.11.22'!L2320,weekly!$H$2:$H$188,0))</f>
        <v>4917.001415006649</v>
      </c>
      <c r="H2320">
        <f>INDEX(weekly!$D$2:$D$188,MATCH('Marketing Campaigns 22.11.22'!L2320,weekly!$H$2:$H$188,0))</f>
        <v>17033.093028109241</v>
      </c>
      <c r="I2320">
        <f>INDEX(weekly!$F$2:$F$188,MATCH('Marketing Campaigns 22.11.22'!L2320,weekly!$H$2:$H$188,0))</f>
        <v>4653.9170698112484</v>
      </c>
      <c r="J2320">
        <v>0</v>
      </c>
      <c r="K2320">
        <v>0</v>
      </c>
      <c r="L2320" t="str">
        <f t="shared" si="96"/>
        <v>50-12-2023</v>
      </c>
      <c r="M2320">
        <f t="shared" si="97"/>
        <v>2023</v>
      </c>
    </row>
    <row r="2321" spans="1:13" x14ac:dyDescent="0.2">
      <c r="A2321" s="1">
        <f t="shared" si="92"/>
        <v>45271</v>
      </c>
      <c r="B2321">
        <f t="shared" si="95"/>
        <v>50</v>
      </c>
      <c r="C2321">
        <f t="shared" si="93"/>
        <v>12</v>
      </c>
      <c r="D2321">
        <f t="shared" si="94"/>
        <v>4</v>
      </c>
      <c r="E2321" t="s">
        <v>46</v>
      </c>
      <c r="F2321">
        <v>0</v>
      </c>
      <c r="G2321">
        <f>INDEX(weekly!$E$2:$E$188,MATCH('Marketing Campaigns 22.11.22'!L2321,weekly!$H$2:$H$188,0))</f>
        <v>4917.001415006649</v>
      </c>
      <c r="H2321">
        <f>INDEX(weekly!$D$2:$D$188,MATCH('Marketing Campaigns 22.11.22'!L2321,weekly!$H$2:$H$188,0))</f>
        <v>17033.093028109241</v>
      </c>
      <c r="I2321">
        <f>INDEX(weekly!$F$2:$F$188,MATCH('Marketing Campaigns 22.11.22'!L2321,weekly!$H$2:$H$188,0))</f>
        <v>4653.9170698112484</v>
      </c>
      <c r="J2321">
        <v>0</v>
      </c>
      <c r="K2321">
        <v>0</v>
      </c>
      <c r="L2321" t="str">
        <f t="shared" si="96"/>
        <v>50-12-2023</v>
      </c>
      <c r="M2321">
        <f t="shared" si="97"/>
        <v>2023</v>
      </c>
    </row>
    <row r="2322" spans="1:13" x14ac:dyDescent="0.2">
      <c r="A2322" s="1">
        <f t="shared" si="92"/>
        <v>45271</v>
      </c>
      <c r="B2322">
        <f t="shared" si="95"/>
        <v>50</v>
      </c>
      <c r="C2322">
        <f t="shared" si="93"/>
        <v>12</v>
      </c>
      <c r="D2322">
        <f t="shared" si="94"/>
        <v>4</v>
      </c>
      <c r="E2322" t="s">
        <v>47</v>
      </c>
      <c r="F2322">
        <v>0</v>
      </c>
      <c r="G2322">
        <f>INDEX(weekly!$E$2:$E$188,MATCH('Marketing Campaigns 22.11.22'!L2322,weekly!$H$2:$H$188,0))</f>
        <v>4917.001415006649</v>
      </c>
      <c r="H2322">
        <f>INDEX(weekly!$D$2:$D$188,MATCH('Marketing Campaigns 22.11.22'!L2322,weekly!$H$2:$H$188,0))</f>
        <v>17033.093028109241</v>
      </c>
      <c r="I2322">
        <f>INDEX(weekly!$F$2:$F$188,MATCH('Marketing Campaigns 22.11.22'!L2322,weekly!$H$2:$H$188,0))</f>
        <v>4653.9170698112484</v>
      </c>
      <c r="J2322">
        <v>0</v>
      </c>
      <c r="K2322">
        <v>0</v>
      </c>
      <c r="L2322" t="str">
        <f t="shared" si="96"/>
        <v>50-12-2023</v>
      </c>
      <c r="M2322">
        <f t="shared" si="97"/>
        <v>2023</v>
      </c>
    </row>
    <row r="2323" spans="1:13" x14ac:dyDescent="0.2">
      <c r="A2323" s="1">
        <f t="shared" si="92"/>
        <v>45271</v>
      </c>
      <c r="B2323">
        <f t="shared" si="95"/>
        <v>50</v>
      </c>
      <c r="C2323">
        <f t="shared" si="93"/>
        <v>12</v>
      </c>
      <c r="D2323">
        <f t="shared" si="94"/>
        <v>4</v>
      </c>
      <c r="E2323" t="s">
        <v>48</v>
      </c>
      <c r="F2323">
        <v>0</v>
      </c>
      <c r="G2323">
        <f>INDEX(weekly!$E$2:$E$188,MATCH('Marketing Campaigns 22.11.22'!L2323,weekly!$H$2:$H$188,0))</f>
        <v>4917.001415006649</v>
      </c>
      <c r="H2323">
        <f>INDEX(weekly!$D$2:$D$188,MATCH('Marketing Campaigns 22.11.22'!L2323,weekly!$H$2:$H$188,0))</f>
        <v>17033.093028109241</v>
      </c>
      <c r="I2323">
        <f>INDEX(weekly!$F$2:$F$188,MATCH('Marketing Campaigns 22.11.22'!L2323,weekly!$H$2:$H$188,0))</f>
        <v>4653.9170698112484</v>
      </c>
      <c r="J2323">
        <v>0</v>
      </c>
      <c r="K2323">
        <v>0</v>
      </c>
      <c r="L2323" t="str">
        <f t="shared" si="96"/>
        <v>50-12-2023</v>
      </c>
      <c r="M2323">
        <f t="shared" si="97"/>
        <v>2023</v>
      </c>
    </row>
    <row r="2324" spans="1:13" x14ac:dyDescent="0.2">
      <c r="A2324" s="1">
        <f t="shared" si="92"/>
        <v>45271</v>
      </c>
      <c r="B2324">
        <f t="shared" si="95"/>
        <v>50</v>
      </c>
      <c r="C2324">
        <f t="shared" si="93"/>
        <v>12</v>
      </c>
      <c r="D2324">
        <f t="shared" si="94"/>
        <v>4</v>
      </c>
      <c r="E2324" t="s">
        <v>49</v>
      </c>
      <c r="F2324">
        <v>0</v>
      </c>
      <c r="G2324">
        <f>INDEX(weekly!$E$2:$E$188,MATCH('Marketing Campaigns 22.11.22'!L2324,weekly!$H$2:$H$188,0))</f>
        <v>4917.001415006649</v>
      </c>
      <c r="H2324">
        <f>INDEX(weekly!$D$2:$D$188,MATCH('Marketing Campaigns 22.11.22'!L2324,weekly!$H$2:$H$188,0))</f>
        <v>17033.093028109241</v>
      </c>
      <c r="I2324">
        <f>INDEX(weekly!$F$2:$F$188,MATCH('Marketing Campaigns 22.11.22'!L2324,weekly!$H$2:$H$188,0))</f>
        <v>4653.9170698112484</v>
      </c>
      <c r="J2324">
        <v>0</v>
      </c>
      <c r="K2324">
        <v>0</v>
      </c>
      <c r="L2324" t="str">
        <f t="shared" si="96"/>
        <v>50-12-2023</v>
      </c>
      <c r="M2324">
        <f t="shared" si="97"/>
        <v>2023</v>
      </c>
    </row>
    <row r="2325" spans="1:13" x14ac:dyDescent="0.2">
      <c r="A2325" s="1">
        <f t="shared" si="92"/>
        <v>45271</v>
      </c>
      <c r="B2325">
        <f t="shared" si="95"/>
        <v>50</v>
      </c>
      <c r="C2325">
        <f t="shared" si="93"/>
        <v>12</v>
      </c>
      <c r="D2325">
        <f t="shared" si="94"/>
        <v>4</v>
      </c>
      <c r="E2325" t="s">
        <v>50</v>
      </c>
      <c r="F2325">
        <v>0</v>
      </c>
      <c r="G2325">
        <f>INDEX(weekly!$E$2:$E$188,MATCH('Marketing Campaigns 22.11.22'!L2325,weekly!$H$2:$H$188,0))</f>
        <v>4917.001415006649</v>
      </c>
      <c r="H2325">
        <f>INDEX(weekly!$D$2:$D$188,MATCH('Marketing Campaigns 22.11.22'!L2325,weekly!$H$2:$H$188,0))</f>
        <v>17033.093028109241</v>
      </c>
      <c r="I2325">
        <f>INDEX(weekly!$F$2:$F$188,MATCH('Marketing Campaigns 22.11.22'!L2325,weekly!$H$2:$H$188,0))</f>
        <v>4653.9170698112484</v>
      </c>
      <c r="J2325">
        <v>0</v>
      </c>
      <c r="K2325">
        <v>0</v>
      </c>
      <c r="L2325" t="str">
        <f t="shared" si="96"/>
        <v>50-12-2023</v>
      </c>
      <c r="M2325">
        <f t="shared" si="97"/>
        <v>2023</v>
      </c>
    </row>
    <row r="2326" spans="1:13" x14ac:dyDescent="0.2">
      <c r="A2326" s="1">
        <f t="shared" si="92"/>
        <v>45271</v>
      </c>
      <c r="B2326">
        <f t="shared" si="95"/>
        <v>50</v>
      </c>
      <c r="C2326">
        <f t="shared" si="93"/>
        <v>12</v>
      </c>
      <c r="D2326">
        <f t="shared" si="94"/>
        <v>4</v>
      </c>
      <c r="E2326" t="s">
        <v>51</v>
      </c>
      <c r="F2326">
        <v>0</v>
      </c>
      <c r="G2326">
        <f>INDEX(weekly!$E$2:$E$188,MATCH('Marketing Campaigns 22.11.22'!L2326,weekly!$H$2:$H$188,0))</f>
        <v>4917.001415006649</v>
      </c>
      <c r="H2326">
        <f>INDEX(weekly!$D$2:$D$188,MATCH('Marketing Campaigns 22.11.22'!L2326,weekly!$H$2:$H$188,0))</f>
        <v>17033.093028109241</v>
      </c>
      <c r="I2326">
        <f>INDEX(weekly!$F$2:$F$188,MATCH('Marketing Campaigns 22.11.22'!L2326,weekly!$H$2:$H$188,0))</f>
        <v>4653.9170698112484</v>
      </c>
      <c r="J2326">
        <v>0</v>
      </c>
      <c r="K2326">
        <v>0</v>
      </c>
      <c r="L2326" t="str">
        <f t="shared" si="96"/>
        <v>50-12-2023</v>
      </c>
      <c r="M2326">
        <f t="shared" si="97"/>
        <v>2023</v>
      </c>
    </row>
    <row r="2327" spans="1:13" x14ac:dyDescent="0.2">
      <c r="A2327" s="1">
        <f t="shared" si="92"/>
        <v>45271</v>
      </c>
      <c r="B2327">
        <f t="shared" si="95"/>
        <v>50</v>
      </c>
      <c r="C2327">
        <f t="shared" si="93"/>
        <v>12</v>
      </c>
      <c r="D2327">
        <f t="shared" si="94"/>
        <v>4</v>
      </c>
      <c r="E2327" t="s">
        <v>52</v>
      </c>
      <c r="F2327">
        <v>0</v>
      </c>
      <c r="G2327">
        <f>INDEX(weekly!$E$2:$E$188,MATCH('Marketing Campaigns 22.11.22'!L2327,weekly!$H$2:$H$188,0))</f>
        <v>4917.001415006649</v>
      </c>
      <c r="H2327">
        <f>INDEX(weekly!$D$2:$D$188,MATCH('Marketing Campaigns 22.11.22'!L2327,weekly!$H$2:$H$188,0))</f>
        <v>17033.093028109241</v>
      </c>
      <c r="I2327">
        <f>INDEX(weekly!$F$2:$F$188,MATCH('Marketing Campaigns 22.11.22'!L2327,weekly!$H$2:$H$188,0))</f>
        <v>4653.9170698112484</v>
      </c>
      <c r="J2327">
        <v>0</v>
      </c>
      <c r="K2327">
        <v>0</v>
      </c>
      <c r="L2327" t="str">
        <f t="shared" si="96"/>
        <v>50-12-2023</v>
      </c>
      <c r="M2327">
        <f t="shared" si="97"/>
        <v>2023</v>
      </c>
    </row>
    <row r="2328" spans="1:13" x14ac:dyDescent="0.2">
      <c r="A2328" s="1">
        <f t="shared" si="92"/>
        <v>45278</v>
      </c>
      <c r="B2328">
        <f>IF(E2328="None",B2327+1,B2327)</f>
        <v>51</v>
      </c>
      <c r="C2328">
        <f t="shared" ref="C2328:C2357" si="98">MONTH(A2328)</f>
        <v>12</v>
      </c>
      <c r="D2328">
        <f t="shared" si="94"/>
        <v>4</v>
      </c>
      <c r="E2328" t="s">
        <v>24</v>
      </c>
      <c r="F2328">
        <v>0</v>
      </c>
      <c r="G2328">
        <f>INDEX(weekly!$E$2:$E$188,MATCH('Marketing Campaigns 22.11.22'!L2328,weekly!$H$2:$H$188,0))</f>
        <v>4917.001415006649</v>
      </c>
      <c r="H2328">
        <f>INDEX(weekly!$D$2:$D$188,MATCH('Marketing Campaigns 22.11.22'!L2328,weekly!$H$2:$H$188,0))</f>
        <v>17033.093028109241</v>
      </c>
      <c r="I2328">
        <f>INDEX(weekly!$F$2:$F$188,MATCH('Marketing Campaigns 22.11.22'!L2328,weekly!$H$2:$H$188,0))</f>
        <v>4653.9170698112484</v>
      </c>
      <c r="J2328">
        <v>0</v>
      </c>
      <c r="K2328">
        <v>0</v>
      </c>
      <c r="L2328" t="str">
        <f t="shared" si="96"/>
        <v>51-12-2023</v>
      </c>
      <c r="M2328">
        <f t="shared" si="97"/>
        <v>2023</v>
      </c>
    </row>
    <row r="2329" spans="1:13" x14ac:dyDescent="0.2">
      <c r="A2329" s="1">
        <f t="shared" si="92"/>
        <v>45278</v>
      </c>
      <c r="B2329">
        <f t="shared" ref="B2329:B2357" si="99">IF(E2329="None",B2328+1,B2328)</f>
        <v>51</v>
      </c>
      <c r="C2329">
        <f t="shared" si="98"/>
        <v>12</v>
      </c>
      <c r="D2329">
        <f t="shared" si="94"/>
        <v>4</v>
      </c>
      <c r="E2329" t="s">
        <v>39</v>
      </c>
      <c r="F2329">
        <v>0</v>
      </c>
      <c r="G2329">
        <f>INDEX(weekly!$E$2:$E$188,MATCH('Marketing Campaigns 22.11.22'!L2329,weekly!$H$2:$H$188,0))</f>
        <v>4917.001415006649</v>
      </c>
      <c r="H2329">
        <f>INDEX(weekly!$D$2:$D$188,MATCH('Marketing Campaigns 22.11.22'!L2329,weekly!$H$2:$H$188,0))</f>
        <v>17033.093028109241</v>
      </c>
      <c r="I2329">
        <f>INDEX(weekly!$F$2:$F$188,MATCH('Marketing Campaigns 22.11.22'!L2329,weekly!$H$2:$H$188,0))</f>
        <v>4653.9170698112484</v>
      </c>
      <c r="J2329">
        <v>0</v>
      </c>
      <c r="K2329">
        <v>0</v>
      </c>
      <c r="L2329" t="str">
        <f t="shared" si="96"/>
        <v>51-12-2023</v>
      </c>
      <c r="M2329">
        <f t="shared" si="97"/>
        <v>2023</v>
      </c>
    </row>
    <row r="2330" spans="1:13" x14ac:dyDescent="0.2">
      <c r="A2330" s="1">
        <f t="shared" si="92"/>
        <v>45278</v>
      </c>
      <c r="B2330">
        <f t="shared" si="99"/>
        <v>51</v>
      </c>
      <c r="C2330">
        <f t="shared" si="98"/>
        <v>12</v>
      </c>
      <c r="D2330">
        <f t="shared" si="94"/>
        <v>4</v>
      </c>
      <c r="E2330" t="s">
        <v>40</v>
      </c>
      <c r="F2330">
        <v>0</v>
      </c>
      <c r="G2330">
        <f>INDEX(weekly!$E$2:$E$188,MATCH('Marketing Campaigns 22.11.22'!L2330,weekly!$H$2:$H$188,0))</f>
        <v>4917.001415006649</v>
      </c>
      <c r="H2330">
        <f>INDEX(weekly!$D$2:$D$188,MATCH('Marketing Campaigns 22.11.22'!L2330,weekly!$H$2:$H$188,0))</f>
        <v>17033.093028109241</v>
      </c>
      <c r="I2330">
        <f>INDEX(weekly!$F$2:$F$188,MATCH('Marketing Campaigns 22.11.22'!L2330,weekly!$H$2:$H$188,0))</f>
        <v>4653.9170698112484</v>
      </c>
      <c r="J2330">
        <v>0</v>
      </c>
      <c r="K2330">
        <v>0</v>
      </c>
      <c r="L2330" t="str">
        <f t="shared" si="96"/>
        <v>51-12-2023</v>
      </c>
      <c r="M2330">
        <f t="shared" si="97"/>
        <v>2023</v>
      </c>
    </row>
    <row r="2331" spans="1:13" x14ac:dyDescent="0.2">
      <c r="A2331" s="1">
        <f t="shared" si="92"/>
        <v>45278</v>
      </c>
      <c r="B2331">
        <f t="shared" si="99"/>
        <v>51</v>
      </c>
      <c r="C2331">
        <f t="shared" si="98"/>
        <v>12</v>
      </c>
      <c r="D2331">
        <f t="shared" si="94"/>
        <v>4</v>
      </c>
      <c r="E2331" t="s">
        <v>41</v>
      </c>
      <c r="F2331">
        <v>0</v>
      </c>
      <c r="G2331">
        <f>INDEX(weekly!$E$2:$E$188,MATCH('Marketing Campaigns 22.11.22'!L2331,weekly!$H$2:$H$188,0))</f>
        <v>4917.001415006649</v>
      </c>
      <c r="H2331">
        <f>INDEX(weekly!$D$2:$D$188,MATCH('Marketing Campaigns 22.11.22'!L2331,weekly!$H$2:$H$188,0))</f>
        <v>17033.093028109241</v>
      </c>
      <c r="I2331">
        <f>INDEX(weekly!$F$2:$F$188,MATCH('Marketing Campaigns 22.11.22'!L2331,weekly!$H$2:$H$188,0))</f>
        <v>4653.9170698112484</v>
      </c>
      <c r="J2331">
        <v>0</v>
      </c>
      <c r="K2331">
        <v>0</v>
      </c>
      <c r="L2331" t="str">
        <f t="shared" si="96"/>
        <v>51-12-2023</v>
      </c>
      <c r="M2331">
        <f t="shared" si="97"/>
        <v>2023</v>
      </c>
    </row>
    <row r="2332" spans="1:13" x14ac:dyDescent="0.2">
      <c r="A2332" s="1">
        <f t="shared" si="92"/>
        <v>45278</v>
      </c>
      <c r="B2332">
        <f t="shared" si="99"/>
        <v>51</v>
      </c>
      <c r="C2332">
        <f t="shared" si="98"/>
        <v>12</v>
      </c>
      <c r="D2332">
        <f t="shared" si="94"/>
        <v>4</v>
      </c>
      <c r="E2332" t="s">
        <v>42</v>
      </c>
      <c r="F2332">
        <v>0</v>
      </c>
      <c r="G2332">
        <f>INDEX(weekly!$E$2:$E$188,MATCH('Marketing Campaigns 22.11.22'!L2332,weekly!$H$2:$H$188,0))</f>
        <v>4917.001415006649</v>
      </c>
      <c r="H2332">
        <f>INDEX(weekly!$D$2:$D$188,MATCH('Marketing Campaigns 22.11.22'!L2332,weekly!$H$2:$H$188,0))</f>
        <v>17033.093028109241</v>
      </c>
      <c r="I2332">
        <f>INDEX(weekly!$F$2:$F$188,MATCH('Marketing Campaigns 22.11.22'!L2332,weekly!$H$2:$H$188,0))</f>
        <v>4653.9170698112484</v>
      </c>
      <c r="J2332">
        <v>0</v>
      </c>
      <c r="K2332">
        <v>0</v>
      </c>
      <c r="L2332" t="str">
        <f t="shared" si="96"/>
        <v>51-12-2023</v>
      </c>
      <c r="M2332">
        <f t="shared" si="97"/>
        <v>2023</v>
      </c>
    </row>
    <row r="2333" spans="1:13" x14ac:dyDescent="0.2">
      <c r="A2333" s="1">
        <f t="shared" si="92"/>
        <v>45278</v>
      </c>
      <c r="B2333">
        <f t="shared" si="99"/>
        <v>51</v>
      </c>
      <c r="C2333">
        <f t="shared" si="98"/>
        <v>12</v>
      </c>
      <c r="D2333">
        <f t="shared" si="94"/>
        <v>4</v>
      </c>
      <c r="E2333" t="s">
        <v>43</v>
      </c>
      <c r="F2333">
        <v>0</v>
      </c>
      <c r="G2333">
        <f>INDEX(weekly!$E$2:$E$188,MATCH('Marketing Campaigns 22.11.22'!L2333,weekly!$H$2:$H$188,0))</f>
        <v>4917.001415006649</v>
      </c>
      <c r="H2333">
        <f>INDEX(weekly!$D$2:$D$188,MATCH('Marketing Campaigns 22.11.22'!L2333,weekly!$H$2:$H$188,0))</f>
        <v>17033.093028109241</v>
      </c>
      <c r="I2333">
        <f>INDEX(weekly!$F$2:$F$188,MATCH('Marketing Campaigns 22.11.22'!L2333,weekly!$H$2:$H$188,0))</f>
        <v>4653.9170698112484</v>
      </c>
      <c r="J2333">
        <v>0</v>
      </c>
      <c r="K2333">
        <v>0</v>
      </c>
      <c r="L2333" t="str">
        <f t="shared" si="96"/>
        <v>51-12-2023</v>
      </c>
      <c r="M2333">
        <f t="shared" si="97"/>
        <v>2023</v>
      </c>
    </row>
    <row r="2334" spans="1:13" x14ac:dyDescent="0.2">
      <c r="A2334" s="1">
        <f t="shared" si="92"/>
        <v>45278</v>
      </c>
      <c r="B2334">
        <f t="shared" si="99"/>
        <v>51</v>
      </c>
      <c r="C2334">
        <f t="shared" si="98"/>
        <v>12</v>
      </c>
      <c r="D2334">
        <f t="shared" si="94"/>
        <v>4</v>
      </c>
      <c r="E2334" t="s">
        <v>44</v>
      </c>
      <c r="F2334">
        <v>0</v>
      </c>
      <c r="G2334">
        <f>INDEX(weekly!$E$2:$E$188,MATCH('Marketing Campaigns 22.11.22'!L2334,weekly!$H$2:$H$188,0))</f>
        <v>4917.001415006649</v>
      </c>
      <c r="H2334">
        <f>INDEX(weekly!$D$2:$D$188,MATCH('Marketing Campaigns 22.11.22'!L2334,weekly!$H$2:$H$188,0))</f>
        <v>17033.093028109241</v>
      </c>
      <c r="I2334">
        <f>INDEX(weekly!$F$2:$F$188,MATCH('Marketing Campaigns 22.11.22'!L2334,weekly!$H$2:$H$188,0))</f>
        <v>4653.9170698112484</v>
      </c>
      <c r="J2334">
        <v>0</v>
      </c>
      <c r="K2334">
        <v>0</v>
      </c>
      <c r="L2334" t="str">
        <f t="shared" si="96"/>
        <v>51-12-2023</v>
      </c>
      <c r="M2334">
        <f t="shared" si="97"/>
        <v>2023</v>
      </c>
    </row>
    <row r="2335" spans="1:13" x14ac:dyDescent="0.2">
      <c r="A2335" s="1">
        <f t="shared" si="92"/>
        <v>45278</v>
      </c>
      <c r="B2335">
        <f t="shared" si="99"/>
        <v>51</v>
      </c>
      <c r="C2335">
        <f t="shared" si="98"/>
        <v>12</v>
      </c>
      <c r="D2335">
        <f t="shared" si="94"/>
        <v>4</v>
      </c>
      <c r="E2335" t="s">
        <v>45</v>
      </c>
      <c r="F2335">
        <v>0</v>
      </c>
      <c r="G2335">
        <f>INDEX(weekly!$E$2:$E$188,MATCH('Marketing Campaigns 22.11.22'!L2335,weekly!$H$2:$H$188,0))</f>
        <v>4917.001415006649</v>
      </c>
      <c r="H2335">
        <f>INDEX(weekly!$D$2:$D$188,MATCH('Marketing Campaigns 22.11.22'!L2335,weekly!$H$2:$H$188,0))</f>
        <v>17033.093028109241</v>
      </c>
      <c r="I2335">
        <f>INDEX(weekly!$F$2:$F$188,MATCH('Marketing Campaigns 22.11.22'!L2335,weekly!$H$2:$H$188,0))</f>
        <v>4653.9170698112484</v>
      </c>
      <c r="J2335">
        <v>0</v>
      </c>
      <c r="K2335">
        <v>0</v>
      </c>
      <c r="L2335" t="str">
        <f t="shared" si="96"/>
        <v>51-12-2023</v>
      </c>
      <c r="M2335">
        <f t="shared" si="97"/>
        <v>2023</v>
      </c>
    </row>
    <row r="2336" spans="1:13" x14ac:dyDescent="0.2">
      <c r="A2336" s="1">
        <f t="shared" si="92"/>
        <v>45278</v>
      </c>
      <c r="B2336">
        <f t="shared" si="99"/>
        <v>51</v>
      </c>
      <c r="C2336">
        <f t="shared" si="98"/>
        <v>12</v>
      </c>
      <c r="D2336">
        <f t="shared" si="94"/>
        <v>4</v>
      </c>
      <c r="E2336" t="s">
        <v>46</v>
      </c>
      <c r="F2336">
        <v>0</v>
      </c>
      <c r="G2336">
        <f>INDEX(weekly!$E$2:$E$188,MATCH('Marketing Campaigns 22.11.22'!L2336,weekly!$H$2:$H$188,0))</f>
        <v>4917.001415006649</v>
      </c>
      <c r="H2336">
        <f>INDEX(weekly!$D$2:$D$188,MATCH('Marketing Campaigns 22.11.22'!L2336,weekly!$H$2:$H$188,0))</f>
        <v>17033.093028109241</v>
      </c>
      <c r="I2336">
        <f>INDEX(weekly!$F$2:$F$188,MATCH('Marketing Campaigns 22.11.22'!L2336,weekly!$H$2:$H$188,0))</f>
        <v>4653.9170698112484</v>
      </c>
      <c r="J2336">
        <v>0</v>
      </c>
      <c r="K2336">
        <v>0</v>
      </c>
      <c r="L2336" t="str">
        <f t="shared" si="96"/>
        <v>51-12-2023</v>
      </c>
      <c r="M2336">
        <f t="shared" si="97"/>
        <v>2023</v>
      </c>
    </row>
    <row r="2337" spans="1:13" x14ac:dyDescent="0.2">
      <c r="A2337" s="1">
        <f t="shared" si="92"/>
        <v>45278</v>
      </c>
      <c r="B2337">
        <f t="shared" si="99"/>
        <v>51</v>
      </c>
      <c r="C2337">
        <f t="shared" si="98"/>
        <v>12</v>
      </c>
      <c r="D2337">
        <f t="shared" si="94"/>
        <v>4</v>
      </c>
      <c r="E2337" t="s">
        <v>47</v>
      </c>
      <c r="F2337">
        <v>0</v>
      </c>
      <c r="G2337">
        <f>INDEX(weekly!$E$2:$E$188,MATCH('Marketing Campaigns 22.11.22'!L2337,weekly!$H$2:$H$188,0))</f>
        <v>4917.001415006649</v>
      </c>
      <c r="H2337">
        <f>INDEX(weekly!$D$2:$D$188,MATCH('Marketing Campaigns 22.11.22'!L2337,weekly!$H$2:$H$188,0))</f>
        <v>17033.093028109241</v>
      </c>
      <c r="I2337">
        <f>INDEX(weekly!$F$2:$F$188,MATCH('Marketing Campaigns 22.11.22'!L2337,weekly!$H$2:$H$188,0))</f>
        <v>4653.9170698112484</v>
      </c>
      <c r="J2337">
        <v>0</v>
      </c>
      <c r="K2337">
        <v>0</v>
      </c>
      <c r="L2337" t="str">
        <f t="shared" si="96"/>
        <v>51-12-2023</v>
      </c>
      <c r="M2337">
        <f t="shared" si="97"/>
        <v>2023</v>
      </c>
    </row>
    <row r="2338" spans="1:13" x14ac:dyDescent="0.2">
      <c r="A2338" s="1">
        <f t="shared" si="92"/>
        <v>45278</v>
      </c>
      <c r="B2338">
        <f t="shared" si="99"/>
        <v>51</v>
      </c>
      <c r="C2338">
        <f t="shared" si="98"/>
        <v>12</v>
      </c>
      <c r="D2338">
        <f t="shared" si="94"/>
        <v>4</v>
      </c>
      <c r="E2338" t="s">
        <v>48</v>
      </c>
      <c r="F2338">
        <v>0</v>
      </c>
      <c r="G2338">
        <f>INDEX(weekly!$E$2:$E$188,MATCH('Marketing Campaigns 22.11.22'!L2338,weekly!$H$2:$H$188,0))</f>
        <v>4917.001415006649</v>
      </c>
      <c r="H2338">
        <f>INDEX(weekly!$D$2:$D$188,MATCH('Marketing Campaigns 22.11.22'!L2338,weekly!$H$2:$H$188,0))</f>
        <v>17033.093028109241</v>
      </c>
      <c r="I2338">
        <f>INDEX(weekly!$F$2:$F$188,MATCH('Marketing Campaigns 22.11.22'!L2338,weekly!$H$2:$H$188,0))</f>
        <v>4653.9170698112484</v>
      </c>
      <c r="J2338">
        <v>0</v>
      </c>
      <c r="K2338">
        <v>0</v>
      </c>
      <c r="L2338" t="str">
        <f t="shared" si="96"/>
        <v>51-12-2023</v>
      </c>
      <c r="M2338">
        <f t="shared" si="97"/>
        <v>2023</v>
      </c>
    </row>
    <row r="2339" spans="1:13" x14ac:dyDescent="0.2">
      <c r="A2339" s="1">
        <f t="shared" si="92"/>
        <v>45278</v>
      </c>
      <c r="B2339">
        <f t="shared" si="99"/>
        <v>51</v>
      </c>
      <c r="C2339">
        <f t="shared" si="98"/>
        <v>12</v>
      </c>
      <c r="D2339">
        <f t="shared" si="94"/>
        <v>4</v>
      </c>
      <c r="E2339" t="s">
        <v>49</v>
      </c>
      <c r="F2339">
        <v>0</v>
      </c>
      <c r="G2339">
        <f>INDEX(weekly!$E$2:$E$188,MATCH('Marketing Campaigns 22.11.22'!L2339,weekly!$H$2:$H$188,0))</f>
        <v>4917.001415006649</v>
      </c>
      <c r="H2339">
        <f>INDEX(weekly!$D$2:$D$188,MATCH('Marketing Campaigns 22.11.22'!L2339,weekly!$H$2:$H$188,0))</f>
        <v>17033.093028109241</v>
      </c>
      <c r="I2339">
        <f>INDEX(weekly!$F$2:$F$188,MATCH('Marketing Campaigns 22.11.22'!L2339,weekly!$H$2:$H$188,0))</f>
        <v>4653.9170698112484</v>
      </c>
      <c r="J2339">
        <v>0</v>
      </c>
      <c r="K2339">
        <v>0</v>
      </c>
      <c r="L2339" t="str">
        <f t="shared" si="96"/>
        <v>51-12-2023</v>
      </c>
      <c r="M2339">
        <f t="shared" si="97"/>
        <v>2023</v>
      </c>
    </row>
    <row r="2340" spans="1:13" x14ac:dyDescent="0.2">
      <c r="A2340" s="1">
        <f t="shared" si="92"/>
        <v>45278</v>
      </c>
      <c r="B2340">
        <f t="shared" si="99"/>
        <v>51</v>
      </c>
      <c r="C2340">
        <f t="shared" si="98"/>
        <v>12</v>
      </c>
      <c r="D2340">
        <f t="shared" si="94"/>
        <v>4</v>
      </c>
      <c r="E2340" t="s">
        <v>50</v>
      </c>
      <c r="F2340">
        <v>0</v>
      </c>
      <c r="G2340">
        <f>INDEX(weekly!$E$2:$E$188,MATCH('Marketing Campaigns 22.11.22'!L2340,weekly!$H$2:$H$188,0))</f>
        <v>4917.001415006649</v>
      </c>
      <c r="H2340">
        <f>INDEX(weekly!$D$2:$D$188,MATCH('Marketing Campaigns 22.11.22'!L2340,weekly!$H$2:$H$188,0))</f>
        <v>17033.093028109241</v>
      </c>
      <c r="I2340">
        <f>INDEX(weekly!$F$2:$F$188,MATCH('Marketing Campaigns 22.11.22'!L2340,weekly!$H$2:$H$188,0))</f>
        <v>4653.9170698112484</v>
      </c>
      <c r="J2340">
        <v>0</v>
      </c>
      <c r="K2340">
        <v>0</v>
      </c>
      <c r="L2340" t="str">
        <f t="shared" si="96"/>
        <v>51-12-2023</v>
      </c>
      <c r="M2340">
        <f t="shared" si="97"/>
        <v>2023</v>
      </c>
    </row>
    <row r="2341" spans="1:13" x14ac:dyDescent="0.2">
      <c r="A2341" s="1">
        <f t="shared" si="92"/>
        <v>45278</v>
      </c>
      <c r="B2341">
        <f t="shared" si="99"/>
        <v>51</v>
      </c>
      <c r="C2341">
        <f t="shared" si="98"/>
        <v>12</v>
      </c>
      <c r="D2341">
        <f t="shared" si="94"/>
        <v>4</v>
      </c>
      <c r="E2341" t="s">
        <v>51</v>
      </c>
      <c r="F2341">
        <v>0</v>
      </c>
      <c r="G2341">
        <f>INDEX(weekly!$E$2:$E$188,MATCH('Marketing Campaigns 22.11.22'!L2341,weekly!$H$2:$H$188,0))</f>
        <v>4917.001415006649</v>
      </c>
      <c r="H2341">
        <f>INDEX(weekly!$D$2:$D$188,MATCH('Marketing Campaigns 22.11.22'!L2341,weekly!$H$2:$H$188,0))</f>
        <v>17033.093028109241</v>
      </c>
      <c r="I2341">
        <f>INDEX(weekly!$F$2:$F$188,MATCH('Marketing Campaigns 22.11.22'!L2341,weekly!$H$2:$H$188,0))</f>
        <v>4653.9170698112484</v>
      </c>
      <c r="J2341">
        <v>0</v>
      </c>
      <c r="K2341">
        <v>0</v>
      </c>
      <c r="L2341" t="str">
        <f t="shared" si="96"/>
        <v>51-12-2023</v>
      </c>
      <c r="M2341">
        <f t="shared" si="97"/>
        <v>2023</v>
      </c>
    </row>
    <row r="2342" spans="1:13" x14ac:dyDescent="0.2">
      <c r="A2342" s="1">
        <f t="shared" si="92"/>
        <v>45278</v>
      </c>
      <c r="B2342">
        <f t="shared" si="99"/>
        <v>51</v>
      </c>
      <c r="C2342">
        <f t="shared" si="98"/>
        <v>12</v>
      </c>
      <c r="D2342">
        <f t="shared" si="94"/>
        <v>4</v>
      </c>
      <c r="E2342" t="s">
        <v>52</v>
      </c>
      <c r="F2342">
        <v>0</v>
      </c>
      <c r="G2342">
        <f>INDEX(weekly!$E$2:$E$188,MATCH('Marketing Campaigns 22.11.22'!L2342,weekly!$H$2:$H$188,0))</f>
        <v>4917.001415006649</v>
      </c>
      <c r="H2342">
        <f>INDEX(weekly!$D$2:$D$188,MATCH('Marketing Campaigns 22.11.22'!L2342,weekly!$H$2:$H$188,0))</f>
        <v>17033.093028109241</v>
      </c>
      <c r="I2342">
        <f>INDEX(weekly!$F$2:$F$188,MATCH('Marketing Campaigns 22.11.22'!L2342,weekly!$H$2:$H$188,0))</f>
        <v>4653.9170698112484</v>
      </c>
      <c r="J2342">
        <v>0</v>
      </c>
      <c r="K2342">
        <v>0</v>
      </c>
      <c r="L2342" t="str">
        <f t="shared" si="96"/>
        <v>51-12-2023</v>
      </c>
      <c r="M2342">
        <f t="shared" si="97"/>
        <v>2023</v>
      </c>
    </row>
    <row r="2343" spans="1:13" x14ac:dyDescent="0.2">
      <c r="A2343" s="1">
        <f t="shared" si="92"/>
        <v>45285</v>
      </c>
      <c r="B2343">
        <f>IF(E2343="None",B2342+1,B2342)</f>
        <v>52</v>
      </c>
      <c r="C2343">
        <f t="shared" si="98"/>
        <v>12</v>
      </c>
      <c r="D2343">
        <f t="shared" si="94"/>
        <v>4</v>
      </c>
      <c r="E2343" t="s">
        <v>24</v>
      </c>
      <c r="F2343">
        <v>0</v>
      </c>
      <c r="G2343">
        <f>INDEX(weekly!$E$2:$E$188,MATCH('Marketing Campaigns 22.11.22'!L2343,weekly!$H$2:$H$188,0))</f>
        <v>4917.001415006649</v>
      </c>
      <c r="H2343">
        <f>INDEX(weekly!$D$2:$D$188,MATCH('Marketing Campaigns 22.11.22'!L2343,weekly!$H$2:$H$188,0))</f>
        <v>17033.093028109241</v>
      </c>
      <c r="I2343">
        <f>INDEX(weekly!$F$2:$F$188,MATCH('Marketing Campaigns 22.11.22'!L2343,weekly!$H$2:$H$188,0))</f>
        <v>4653.9170698112484</v>
      </c>
      <c r="J2343">
        <v>0</v>
      </c>
      <c r="K2343">
        <v>0</v>
      </c>
      <c r="L2343" t="str">
        <f t="shared" si="96"/>
        <v>52-12-2023</v>
      </c>
      <c r="M2343">
        <f t="shared" si="97"/>
        <v>2023</v>
      </c>
    </row>
    <row r="2344" spans="1:13" x14ac:dyDescent="0.2">
      <c r="A2344" s="1">
        <f t="shared" si="92"/>
        <v>45285</v>
      </c>
      <c r="B2344">
        <f t="shared" si="99"/>
        <v>52</v>
      </c>
      <c r="C2344">
        <f t="shared" si="98"/>
        <v>12</v>
      </c>
      <c r="D2344">
        <f t="shared" si="94"/>
        <v>4</v>
      </c>
      <c r="E2344" t="s">
        <v>39</v>
      </c>
      <c r="F2344">
        <v>0</v>
      </c>
      <c r="G2344">
        <f>INDEX(weekly!$E$2:$E$188,MATCH('Marketing Campaigns 22.11.22'!L2344,weekly!$H$2:$H$188,0))</f>
        <v>4917.001415006649</v>
      </c>
      <c r="H2344">
        <f>INDEX(weekly!$D$2:$D$188,MATCH('Marketing Campaigns 22.11.22'!L2344,weekly!$H$2:$H$188,0))</f>
        <v>17033.093028109241</v>
      </c>
      <c r="I2344">
        <f>INDEX(weekly!$F$2:$F$188,MATCH('Marketing Campaigns 22.11.22'!L2344,weekly!$H$2:$H$188,0))</f>
        <v>4653.9170698112484</v>
      </c>
      <c r="J2344">
        <v>0</v>
      </c>
      <c r="K2344">
        <v>0</v>
      </c>
      <c r="L2344" t="str">
        <f t="shared" si="96"/>
        <v>52-12-2023</v>
      </c>
      <c r="M2344">
        <f t="shared" si="97"/>
        <v>2023</v>
      </c>
    </row>
    <row r="2345" spans="1:13" x14ac:dyDescent="0.2">
      <c r="A2345" s="1">
        <f t="shared" si="92"/>
        <v>45285</v>
      </c>
      <c r="B2345">
        <f t="shared" si="99"/>
        <v>52</v>
      </c>
      <c r="C2345">
        <f t="shared" si="98"/>
        <v>12</v>
      </c>
      <c r="D2345">
        <f t="shared" si="94"/>
        <v>4</v>
      </c>
      <c r="E2345" t="s">
        <v>40</v>
      </c>
      <c r="F2345">
        <v>0</v>
      </c>
      <c r="G2345">
        <f>INDEX(weekly!$E$2:$E$188,MATCH('Marketing Campaigns 22.11.22'!L2345,weekly!$H$2:$H$188,0))</f>
        <v>4917.001415006649</v>
      </c>
      <c r="H2345">
        <f>INDEX(weekly!$D$2:$D$188,MATCH('Marketing Campaigns 22.11.22'!L2345,weekly!$H$2:$H$188,0))</f>
        <v>17033.093028109241</v>
      </c>
      <c r="I2345">
        <f>INDEX(weekly!$F$2:$F$188,MATCH('Marketing Campaigns 22.11.22'!L2345,weekly!$H$2:$H$188,0))</f>
        <v>4653.9170698112484</v>
      </c>
      <c r="J2345">
        <v>0</v>
      </c>
      <c r="K2345">
        <v>0</v>
      </c>
      <c r="L2345" t="str">
        <f t="shared" si="96"/>
        <v>52-12-2023</v>
      </c>
      <c r="M2345">
        <f t="shared" si="97"/>
        <v>2023</v>
      </c>
    </row>
    <row r="2346" spans="1:13" x14ac:dyDescent="0.2">
      <c r="A2346" s="1">
        <f t="shared" si="92"/>
        <v>45285</v>
      </c>
      <c r="B2346">
        <f t="shared" si="99"/>
        <v>52</v>
      </c>
      <c r="C2346">
        <f t="shared" si="98"/>
        <v>12</v>
      </c>
      <c r="D2346">
        <f t="shared" si="94"/>
        <v>4</v>
      </c>
      <c r="E2346" t="s">
        <v>41</v>
      </c>
      <c r="F2346">
        <v>0</v>
      </c>
      <c r="G2346">
        <f>INDEX(weekly!$E$2:$E$188,MATCH('Marketing Campaigns 22.11.22'!L2346,weekly!$H$2:$H$188,0))</f>
        <v>4917.001415006649</v>
      </c>
      <c r="H2346">
        <f>INDEX(weekly!$D$2:$D$188,MATCH('Marketing Campaigns 22.11.22'!L2346,weekly!$H$2:$H$188,0))</f>
        <v>17033.093028109241</v>
      </c>
      <c r="I2346">
        <f>INDEX(weekly!$F$2:$F$188,MATCH('Marketing Campaigns 22.11.22'!L2346,weekly!$H$2:$H$188,0))</f>
        <v>4653.9170698112484</v>
      </c>
      <c r="J2346">
        <v>0</v>
      </c>
      <c r="K2346">
        <v>0</v>
      </c>
      <c r="L2346" t="str">
        <f t="shared" si="96"/>
        <v>52-12-2023</v>
      </c>
      <c r="M2346">
        <f t="shared" si="97"/>
        <v>2023</v>
      </c>
    </row>
    <row r="2347" spans="1:13" x14ac:dyDescent="0.2">
      <c r="A2347" s="1">
        <f t="shared" si="92"/>
        <v>45285</v>
      </c>
      <c r="B2347">
        <f t="shared" si="99"/>
        <v>52</v>
      </c>
      <c r="C2347">
        <f t="shared" si="98"/>
        <v>12</v>
      </c>
      <c r="D2347">
        <f t="shared" si="94"/>
        <v>4</v>
      </c>
      <c r="E2347" t="s">
        <v>42</v>
      </c>
      <c r="F2347">
        <v>0</v>
      </c>
      <c r="G2347">
        <f>INDEX(weekly!$E$2:$E$188,MATCH('Marketing Campaigns 22.11.22'!L2347,weekly!$H$2:$H$188,0))</f>
        <v>4917.001415006649</v>
      </c>
      <c r="H2347">
        <f>INDEX(weekly!$D$2:$D$188,MATCH('Marketing Campaigns 22.11.22'!L2347,weekly!$H$2:$H$188,0))</f>
        <v>17033.093028109241</v>
      </c>
      <c r="I2347">
        <f>INDEX(weekly!$F$2:$F$188,MATCH('Marketing Campaigns 22.11.22'!L2347,weekly!$H$2:$H$188,0))</f>
        <v>4653.9170698112484</v>
      </c>
      <c r="J2347">
        <v>0</v>
      </c>
      <c r="K2347">
        <v>0</v>
      </c>
      <c r="L2347" t="str">
        <f t="shared" si="96"/>
        <v>52-12-2023</v>
      </c>
      <c r="M2347">
        <f t="shared" si="97"/>
        <v>2023</v>
      </c>
    </row>
    <row r="2348" spans="1:13" x14ac:dyDescent="0.2">
      <c r="A2348" s="1">
        <f t="shared" si="92"/>
        <v>45285</v>
      </c>
      <c r="B2348">
        <f t="shared" si="99"/>
        <v>52</v>
      </c>
      <c r="C2348">
        <f t="shared" si="98"/>
        <v>12</v>
      </c>
      <c r="D2348">
        <f t="shared" si="94"/>
        <v>4</v>
      </c>
      <c r="E2348" t="s">
        <v>43</v>
      </c>
      <c r="F2348">
        <v>0</v>
      </c>
      <c r="G2348">
        <f>INDEX(weekly!$E$2:$E$188,MATCH('Marketing Campaigns 22.11.22'!L2348,weekly!$H$2:$H$188,0))</f>
        <v>4917.001415006649</v>
      </c>
      <c r="H2348">
        <f>INDEX(weekly!$D$2:$D$188,MATCH('Marketing Campaigns 22.11.22'!L2348,weekly!$H$2:$H$188,0))</f>
        <v>17033.093028109241</v>
      </c>
      <c r="I2348">
        <f>INDEX(weekly!$F$2:$F$188,MATCH('Marketing Campaigns 22.11.22'!L2348,weekly!$H$2:$H$188,0))</f>
        <v>4653.9170698112484</v>
      </c>
      <c r="J2348">
        <v>0</v>
      </c>
      <c r="K2348">
        <v>0</v>
      </c>
      <c r="L2348" t="str">
        <f t="shared" si="96"/>
        <v>52-12-2023</v>
      </c>
      <c r="M2348">
        <f t="shared" si="97"/>
        <v>2023</v>
      </c>
    </row>
    <row r="2349" spans="1:13" x14ac:dyDescent="0.2">
      <c r="A2349" s="1">
        <f t="shared" si="92"/>
        <v>45285</v>
      </c>
      <c r="B2349">
        <f t="shared" si="99"/>
        <v>52</v>
      </c>
      <c r="C2349">
        <f t="shared" si="98"/>
        <v>12</v>
      </c>
      <c r="D2349">
        <f t="shared" si="94"/>
        <v>4</v>
      </c>
      <c r="E2349" t="s">
        <v>44</v>
      </c>
      <c r="F2349">
        <v>0</v>
      </c>
      <c r="G2349">
        <f>INDEX(weekly!$E$2:$E$188,MATCH('Marketing Campaigns 22.11.22'!L2349,weekly!$H$2:$H$188,0))</f>
        <v>4917.001415006649</v>
      </c>
      <c r="H2349">
        <f>INDEX(weekly!$D$2:$D$188,MATCH('Marketing Campaigns 22.11.22'!L2349,weekly!$H$2:$H$188,0))</f>
        <v>17033.093028109241</v>
      </c>
      <c r="I2349">
        <f>INDEX(weekly!$F$2:$F$188,MATCH('Marketing Campaigns 22.11.22'!L2349,weekly!$H$2:$H$188,0))</f>
        <v>4653.9170698112484</v>
      </c>
      <c r="J2349">
        <v>0</v>
      </c>
      <c r="K2349">
        <v>0</v>
      </c>
      <c r="L2349" t="str">
        <f t="shared" si="96"/>
        <v>52-12-2023</v>
      </c>
      <c r="M2349">
        <f t="shared" si="97"/>
        <v>2023</v>
      </c>
    </row>
    <row r="2350" spans="1:13" x14ac:dyDescent="0.2">
      <c r="A2350" s="1">
        <f t="shared" si="92"/>
        <v>45285</v>
      </c>
      <c r="B2350">
        <f t="shared" si="99"/>
        <v>52</v>
      </c>
      <c r="C2350">
        <f t="shared" si="98"/>
        <v>12</v>
      </c>
      <c r="D2350">
        <f t="shared" si="94"/>
        <v>4</v>
      </c>
      <c r="E2350" t="s">
        <v>45</v>
      </c>
      <c r="F2350">
        <v>0</v>
      </c>
      <c r="G2350">
        <f>INDEX(weekly!$E$2:$E$188,MATCH('Marketing Campaigns 22.11.22'!L2350,weekly!$H$2:$H$188,0))</f>
        <v>4917.001415006649</v>
      </c>
      <c r="H2350">
        <f>INDEX(weekly!$D$2:$D$188,MATCH('Marketing Campaigns 22.11.22'!L2350,weekly!$H$2:$H$188,0))</f>
        <v>17033.093028109241</v>
      </c>
      <c r="I2350">
        <f>INDEX(weekly!$F$2:$F$188,MATCH('Marketing Campaigns 22.11.22'!L2350,weekly!$H$2:$H$188,0))</f>
        <v>4653.9170698112484</v>
      </c>
      <c r="J2350">
        <v>0</v>
      </c>
      <c r="K2350">
        <v>0</v>
      </c>
      <c r="L2350" t="str">
        <f t="shared" si="96"/>
        <v>52-12-2023</v>
      </c>
      <c r="M2350">
        <f t="shared" si="97"/>
        <v>2023</v>
      </c>
    </row>
    <row r="2351" spans="1:13" x14ac:dyDescent="0.2">
      <c r="A2351" s="1">
        <f t="shared" si="92"/>
        <v>45285</v>
      </c>
      <c r="B2351">
        <f t="shared" si="99"/>
        <v>52</v>
      </c>
      <c r="C2351">
        <f t="shared" si="98"/>
        <v>12</v>
      </c>
      <c r="D2351">
        <f t="shared" si="94"/>
        <v>4</v>
      </c>
      <c r="E2351" t="s">
        <v>46</v>
      </c>
      <c r="F2351">
        <v>0</v>
      </c>
      <c r="G2351">
        <f>INDEX(weekly!$E$2:$E$188,MATCH('Marketing Campaigns 22.11.22'!L2351,weekly!$H$2:$H$188,0))</f>
        <v>4917.001415006649</v>
      </c>
      <c r="H2351">
        <f>INDEX(weekly!$D$2:$D$188,MATCH('Marketing Campaigns 22.11.22'!L2351,weekly!$H$2:$H$188,0))</f>
        <v>17033.093028109241</v>
      </c>
      <c r="I2351">
        <f>INDEX(weekly!$F$2:$F$188,MATCH('Marketing Campaigns 22.11.22'!L2351,weekly!$H$2:$H$188,0))</f>
        <v>4653.9170698112484</v>
      </c>
      <c r="J2351">
        <v>0</v>
      </c>
      <c r="K2351">
        <v>0</v>
      </c>
      <c r="L2351" t="str">
        <f t="shared" si="96"/>
        <v>52-12-2023</v>
      </c>
      <c r="M2351">
        <f t="shared" si="97"/>
        <v>2023</v>
      </c>
    </row>
    <row r="2352" spans="1:13" x14ac:dyDescent="0.2">
      <c r="A2352" s="1">
        <f t="shared" si="92"/>
        <v>45285</v>
      </c>
      <c r="B2352">
        <f t="shared" si="99"/>
        <v>52</v>
      </c>
      <c r="C2352">
        <f t="shared" si="98"/>
        <v>12</v>
      </c>
      <c r="D2352">
        <f t="shared" si="94"/>
        <v>4</v>
      </c>
      <c r="E2352" t="s">
        <v>47</v>
      </c>
      <c r="F2352">
        <v>0</v>
      </c>
      <c r="G2352">
        <f>INDEX(weekly!$E$2:$E$188,MATCH('Marketing Campaigns 22.11.22'!L2352,weekly!$H$2:$H$188,0))</f>
        <v>4917.001415006649</v>
      </c>
      <c r="H2352">
        <f>INDEX(weekly!$D$2:$D$188,MATCH('Marketing Campaigns 22.11.22'!L2352,weekly!$H$2:$H$188,0))</f>
        <v>17033.093028109241</v>
      </c>
      <c r="I2352">
        <f>INDEX(weekly!$F$2:$F$188,MATCH('Marketing Campaigns 22.11.22'!L2352,weekly!$H$2:$H$188,0))</f>
        <v>4653.9170698112484</v>
      </c>
      <c r="J2352">
        <v>0</v>
      </c>
      <c r="K2352">
        <v>0</v>
      </c>
      <c r="L2352" t="str">
        <f t="shared" si="96"/>
        <v>52-12-2023</v>
      </c>
      <c r="M2352">
        <f t="shared" si="97"/>
        <v>2023</v>
      </c>
    </row>
    <row r="2353" spans="1:13" x14ac:dyDescent="0.2">
      <c r="A2353" s="1">
        <f t="shared" ref="A2353:A2357" si="100">DATE(2023, 1, -2) - WEEKDAY(DATE(2023, 1, 3)) + B2353 * 7</f>
        <v>45285</v>
      </c>
      <c r="B2353">
        <f t="shared" si="99"/>
        <v>52</v>
      </c>
      <c r="C2353">
        <f t="shared" si="98"/>
        <v>12</v>
      </c>
      <c r="D2353">
        <f t="shared" ref="D2353:D2357" si="101">CEILING(C2353 / 3,1)</f>
        <v>4</v>
      </c>
      <c r="E2353" t="s">
        <v>48</v>
      </c>
      <c r="F2353">
        <v>0</v>
      </c>
      <c r="G2353">
        <f>INDEX(weekly!$E$2:$E$188,MATCH('Marketing Campaigns 22.11.22'!L2353,weekly!$H$2:$H$188,0))</f>
        <v>4917.001415006649</v>
      </c>
      <c r="H2353">
        <f>INDEX(weekly!$D$2:$D$188,MATCH('Marketing Campaigns 22.11.22'!L2353,weekly!$H$2:$H$188,0))</f>
        <v>17033.093028109241</v>
      </c>
      <c r="I2353">
        <f>INDEX(weekly!$F$2:$F$188,MATCH('Marketing Campaigns 22.11.22'!L2353,weekly!$H$2:$H$188,0))</f>
        <v>4653.9170698112484</v>
      </c>
      <c r="J2353">
        <v>0</v>
      </c>
      <c r="K2353">
        <v>0</v>
      </c>
      <c r="L2353" t="str">
        <f t="shared" si="96"/>
        <v>52-12-2023</v>
      </c>
      <c r="M2353">
        <f t="shared" si="97"/>
        <v>2023</v>
      </c>
    </row>
    <row r="2354" spans="1:13" x14ac:dyDescent="0.2">
      <c r="A2354" s="1">
        <f t="shared" si="100"/>
        <v>45285</v>
      </c>
      <c r="B2354">
        <f t="shared" si="99"/>
        <v>52</v>
      </c>
      <c r="C2354">
        <f t="shared" si="98"/>
        <v>12</v>
      </c>
      <c r="D2354">
        <f t="shared" si="101"/>
        <v>4</v>
      </c>
      <c r="E2354" t="s">
        <v>49</v>
      </c>
      <c r="F2354">
        <v>0</v>
      </c>
      <c r="G2354">
        <f>INDEX(weekly!$E$2:$E$188,MATCH('Marketing Campaigns 22.11.22'!L2354,weekly!$H$2:$H$188,0))</f>
        <v>4917.001415006649</v>
      </c>
      <c r="H2354">
        <f>INDEX(weekly!$D$2:$D$188,MATCH('Marketing Campaigns 22.11.22'!L2354,weekly!$H$2:$H$188,0))</f>
        <v>17033.093028109241</v>
      </c>
      <c r="I2354">
        <f>INDEX(weekly!$F$2:$F$188,MATCH('Marketing Campaigns 22.11.22'!L2354,weekly!$H$2:$H$188,0))</f>
        <v>4653.9170698112484</v>
      </c>
      <c r="J2354">
        <v>0</v>
      </c>
      <c r="K2354">
        <v>0</v>
      </c>
      <c r="L2354" t="str">
        <f t="shared" si="96"/>
        <v>52-12-2023</v>
      </c>
      <c r="M2354">
        <f t="shared" si="97"/>
        <v>2023</v>
      </c>
    </row>
    <row r="2355" spans="1:13" x14ac:dyDescent="0.2">
      <c r="A2355" s="1">
        <f t="shared" si="100"/>
        <v>45285</v>
      </c>
      <c r="B2355">
        <f t="shared" si="99"/>
        <v>52</v>
      </c>
      <c r="C2355">
        <f t="shared" si="98"/>
        <v>12</v>
      </c>
      <c r="D2355">
        <f t="shared" si="101"/>
        <v>4</v>
      </c>
      <c r="E2355" t="s">
        <v>50</v>
      </c>
      <c r="F2355">
        <v>0</v>
      </c>
      <c r="G2355">
        <f>INDEX(weekly!$E$2:$E$188,MATCH('Marketing Campaigns 22.11.22'!L2355,weekly!$H$2:$H$188,0))</f>
        <v>4917.001415006649</v>
      </c>
      <c r="H2355">
        <f>INDEX(weekly!$D$2:$D$188,MATCH('Marketing Campaigns 22.11.22'!L2355,weekly!$H$2:$H$188,0))</f>
        <v>17033.093028109241</v>
      </c>
      <c r="I2355">
        <f>INDEX(weekly!$F$2:$F$188,MATCH('Marketing Campaigns 22.11.22'!L2355,weekly!$H$2:$H$188,0))</f>
        <v>4653.9170698112484</v>
      </c>
      <c r="J2355">
        <v>0</v>
      </c>
      <c r="K2355">
        <v>0</v>
      </c>
      <c r="L2355" t="str">
        <f t="shared" si="96"/>
        <v>52-12-2023</v>
      </c>
      <c r="M2355">
        <f t="shared" si="97"/>
        <v>2023</v>
      </c>
    </row>
    <row r="2356" spans="1:13" x14ac:dyDescent="0.2">
      <c r="A2356" s="1">
        <f t="shared" si="100"/>
        <v>45285</v>
      </c>
      <c r="B2356">
        <f t="shared" si="99"/>
        <v>52</v>
      </c>
      <c r="C2356">
        <f t="shared" si="98"/>
        <v>12</v>
      </c>
      <c r="D2356">
        <f t="shared" si="101"/>
        <v>4</v>
      </c>
      <c r="E2356" t="s">
        <v>51</v>
      </c>
      <c r="F2356">
        <v>0</v>
      </c>
      <c r="G2356">
        <f>INDEX(weekly!$E$2:$E$188,MATCH('Marketing Campaigns 22.11.22'!L2356,weekly!$H$2:$H$188,0))</f>
        <v>4917.001415006649</v>
      </c>
      <c r="H2356">
        <f>INDEX(weekly!$D$2:$D$188,MATCH('Marketing Campaigns 22.11.22'!L2356,weekly!$H$2:$H$188,0))</f>
        <v>17033.093028109241</v>
      </c>
      <c r="I2356">
        <f>INDEX(weekly!$F$2:$F$188,MATCH('Marketing Campaigns 22.11.22'!L2356,weekly!$H$2:$H$188,0))</f>
        <v>4653.9170698112484</v>
      </c>
      <c r="J2356">
        <v>0</v>
      </c>
      <c r="K2356">
        <v>0</v>
      </c>
      <c r="L2356" t="str">
        <f t="shared" si="96"/>
        <v>52-12-2023</v>
      </c>
      <c r="M2356">
        <f t="shared" si="97"/>
        <v>2023</v>
      </c>
    </row>
    <row r="2357" spans="1:13" x14ac:dyDescent="0.2">
      <c r="A2357" s="1">
        <f t="shared" si="100"/>
        <v>45285</v>
      </c>
      <c r="B2357">
        <f t="shared" si="99"/>
        <v>52</v>
      </c>
      <c r="C2357">
        <f t="shared" si="98"/>
        <v>12</v>
      </c>
      <c r="D2357">
        <f t="shared" si="101"/>
        <v>4</v>
      </c>
      <c r="E2357" t="s">
        <v>52</v>
      </c>
      <c r="F2357">
        <v>0</v>
      </c>
      <c r="G2357">
        <f>INDEX(weekly!$E$2:$E$188,MATCH('Marketing Campaigns 22.11.22'!L2357,weekly!$H$2:$H$188,0))</f>
        <v>4917.001415006649</v>
      </c>
      <c r="H2357">
        <f>INDEX(weekly!$D$2:$D$188,MATCH('Marketing Campaigns 22.11.22'!L2357,weekly!$H$2:$H$188,0))</f>
        <v>17033.093028109241</v>
      </c>
      <c r="I2357">
        <f>INDEX(weekly!$F$2:$F$188,MATCH('Marketing Campaigns 22.11.22'!L2357,weekly!$H$2:$H$188,0))</f>
        <v>4653.9170698112484</v>
      </c>
      <c r="J2357">
        <v>0</v>
      </c>
      <c r="K2357">
        <v>0</v>
      </c>
      <c r="L2357" t="str">
        <f t="shared" si="96"/>
        <v>52-12-2023</v>
      </c>
      <c r="M2357">
        <f t="shared" si="97"/>
        <v>2023</v>
      </c>
    </row>
  </sheetData>
  <autoFilter ref="A2:K1967" xr:uid="{3980E741-F0F9-F942-969E-401402691718}"/>
  <mergeCells count="2">
    <mergeCell ref="A1:F1"/>
    <mergeCell ref="J1:K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2383-EA62-5948-BF97-AA7840D1535A}">
  <dimension ref="A1:I30"/>
  <sheetViews>
    <sheetView workbookViewId="0">
      <selection activeCell="B14" sqref="B14"/>
    </sheetView>
  </sheetViews>
  <sheetFormatPr baseColWidth="10" defaultRowHeight="16" x14ac:dyDescent="0.2"/>
  <cols>
    <col min="1" max="1" width="8.1640625" bestFit="1" customWidth="1"/>
    <col min="2" max="2" width="12.5" bestFit="1" customWidth="1"/>
    <col min="3" max="3" width="14.33203125" bestFit="1" customWidth="1"/>
    <col min="4" max="4" width="14.33203125" customWidth="1"/>
    <col min="5" max="5" width="6.5" bestFit="1" customWidth="1"/>
    <col min="6" max="6" width="5.1640625" bestFit="1" customWidth="1"/>
    <col min="7" max="7" width="10.33203125" bestFit="1" customWidth="1"/>
  </cols>
  <sheetData>
    <row r="1" spans="1:9" x14ac:dyDescent="0.2">
      <c r="A1" s="7" t="s">
        <v>25</v>
      </c>
      <c r="B1" t="s">
        <v>26</v>
      </c>
      <c r="C1" t="s">
        <v>27</v>
      </c>
      <c r="D1" t="s">
        <v>35</v>
      </c>
      <c r="E1" t="s">
        <v>28</v>
      </c>
      <c r="F1" t="s">
        <v>29</v>
      </c>
      <c r="G1" s="8" t="s">
        <v>30</v>
      </c>
    </row>
    <row r="2" spans="1:9" x14ac:dyDescent="0.2">
      <c r="A2" s="9">
        <v>44409</v>
      </c>
      <c r="B2" s="13">
        <v>1813</v>
      </c>
      <c r="C2" s="13">
        <v>4720.17</v>
      </c>
      <c r="D2" s="13">
        <v>0</v>
      </c>
      <c r="E2">
        <f t="shared" ref="E2:E30" si="0">MONTH(A2)</f>
        <v>8</v>
      </c>
      <c r="F2">
        <f t="shared" ref="F2:F30" si="1">YEAR(A2)</f>
        <v>2021</v>
      </c>
      <c r="G2" t="str">
        <f t="shared" ref="G2:G30" si="2">E2&amp;F2</f>
        <v>82021</v>
      </c>
      <c r="I2" s="16"/>
    </row>
    <row r="3" spans="1:9" x14ac:dyDescent="0.2">
      <c r="A3" s="9">
        <v>44440</v>
      </c>
      <c r="B3" s="13">
        <v>5089</v>
      </c>
      <c r="C3" s="13">
        <v>7134</v>
      </c>
      <c r="D3" s="13">
        <v>0</v>
      </c>
      <c r="E3">
        <f t="shared" si="0"/>
        <v>9</v>
      </c>
      <c r="F3">
        <f t="shared" si="1"/>
        <v>2021</v>
      </c>
      <c r="G3" t="str">
        <f t="shared" si="2"/>
        <v>92021</v>
      </c>
    </row>
    <row r="4" spans="1:9" x14ac:dyDescent="0.2">
      <c r="A4" s="9">
        <v>44470</v>
      </c>
      <c r="B4" s="13">
        <v>3547</v>
      </c>
      <c r="C4" s="13">
        <v>19008.990000000002</v>
      </c>
      <c r="D4" s="13">
        <v>0</v>
      </c>
      <c r="E4">
        <f t="shared" si="0"/>
        <v>10</v>
      </c>
      <c r="F4">
        <f t="shared" si="1"/>
        <v>2021</v>
      </c>
      <c r="G4" t="str">
        <f t="shared" si="2"/>
        <v>102021</v>
      </c>
    </row>
    <row r="5" spans="1:9" x14ac:dyDescent="0.2">
      <c r="A5" s="9">
        <v>44501</v>
      </c>
      <c r="B5" s="13">
        <v>2687</v>
      </c>
      <c r="C5" s="13">
        <v>25508</v>
      </c>
      <c r="D5" s="13">
        <v>0</v>
      </c>
      <c r="E5">
        <f t="shared" si="0"/>
        <v>11</v>
      </c>
      <c r="F5">
        <f t="shared" si="1"/>
        <v>2021</v>
      </c>
      <c r="G5" t="str">
        <f t="shared" si="2"/>
        <v>112021</v>
      </c>
    </row>
    <row r="6" spans="1:9" x14ac:dyDescent="0.2">
      <c r="A6" s="9">
        <v>44531</v>
      </c>
      <c r="B6" s="13">
        <v>2998</v>
      </c>
      <c r="C6" s="13">
        <v>14357.28</v>
      </c>
      <c r="D6" s="13">
        <v>0</v>
      </c>
      <c r="E6">
        <f t="shared" si="0"/>
        <v>12</v>
      </c>
      <c r="F6">
        <f t="shared" si="1"/>
        <v>2021</v>
      </c>
      <c r="G6" t="str">
        <f t="shared" si="2"/>
        <v>122021</v>
      </c>
    </row>
    <row r="7" spans="1:9" x14ac:dyDescent="0.2">
      <c r="A7" s="9">
        <v>44562</v>
      </c>
      <c r="B7" s="13">
        <v>3515</v>
      </c>
      <c r="C7" s="13">
        <v>22889.31</v>
      </c>
      <c r="D7" s="13">
        <v>0</v>
      </c>
      <c r="E7">
        <f t="shared" si="0"/>
        <v>1</v>
      </c>
      <c r="F7">
        <f t="shared" si="1"/>
        <v>2022</v>
      </c>
      <c r="G7" t="str">
        <f t="shared" si="2"/>
        <v>12022</v>
      </c>
    </row>
    <row r="8" spans="1:9" x14ac:dyDescent="0.2">
      <c r="A8" s="9">
        <v>44593</v>
      </c>
      <c r="B8" s="13">
        <v>10879</v>
      </c>
      <c r="C8" s="13">
        <v>25600.37</v>
      </c>
      <c r="D8" s="13">
        <v>0</v>
      </c>
      <c r="E8">
        <f t="shared" si="0"/>
        <v>2</v>
      </c>
      <c r="F8">
        <f t="shared" si="1"/>
        <v>2022</v>
      </c>
      <c r="G8" t="str">
        <f t="shared" si="2"/>
        <v>22022</v>
      </c>
    </row>
    <row r="9" spans="1:9" x14ac:dyDescent="0.2">
      <c r="A9" s="9">
        <v>44621</v>
      </c>
      <c r="B9" s="13">
        <v>19084</v>
      </c>
      <c r="C9" s="13">
        <v>25764.03</v>
      </c>
      <c r="D9" s="13">
        <v>0</v>
      </c>
      <c r="E9">
        <f t="shared" si="0"/>
        <v>3</v>
      </c>
      <c r="F9">
        <f t="shared" si="1"/>
        <v>2022</v>
      </c>
      <c r="G9" t="str">
        <f t="shared" si="2"/>
        <v>32022</v>
      </c>
    </row>
    <row r="10" spans="1:9" x14ac:dyDescent="0.2">
      <c r="A10" s="9">
        <v>44652</v>
      </c>
      <c r="B10" s="13">
        <v>25388</v>
      </c>
      <c r="C10" s="13">
        <v>25521</v>
      </c>
      <c r="D10" s="13">
        <v>4129</v>
      </c>
      <c r="E10">
        <f t="shared" si="0"/>
        <v>4</v>
      </c>
      <c r="F10">
        <f t="shared" si="1"/>
        <v>2022</v>
      </c>
      <c r="G10" t="str">
        <f t="shared" si="2"/>
        <v>42022</v>
      </c>
    </row>
    <row r="11" spans="1:9" x14ac:dyDescent="0.2">
      <c r="A11" s="9">
        <v>44682</v>
      </c>
      <c r="B11" s="13">
        <v>36425</v>
      </c>
      <c r="C11" s="13">
        <v>29226</v>
      </c>
      <c r="D11" s="13">
        <v>19536</v>
      </c>
      <c r="E11">
        <f t="shared" si="0"/>
        <v>5</v>
      </c>
      <c r="F11">
        <f t="shared" si="1"/>
        <v>2022</v>
      </c>
      <c r="G11" t="str">
        <f t="shared" si="2"/>
        <v>52022</v>
      </c>
    </row>
    <row r="12" spans="1:9" x14ac:dyDescent="0.2">
      <c r="A12" s="9">
        <v>44713</v>
      </c>
      <c r="B12" s="13">
        <v>40310</v>
      </c>
      <c r="C12" s="13">
        <v>20652.349999999999</v>
      </c>
      <c r="D12" s="13">
        <v>22461.919999999998</v>
      </c>
      <c r="E12">
        <f t="shared" si="0"/>
        <v>6</v>
      </c>
      <c r="F12">
        <f t="shared" si="1"/>
        <v>2022</v>
      </c>
      <c r="G12" t="str">
        <f t="shared" si="2"/>
        <v>62022</v>
      </c>
    </row>
    <row r="13" spans="1:9" x14ac:dyDescent="0.2">
      <c r="A13" s="9">
        <v>44743</v>
      </c>
      <c r="B13" s="14">
        <v>46895</v>
      </c>
      <c r="C13" s="14">
        <v>24102.240000000002</v>
      </c>
      <c r="D13" s="13">
        <v>17717.89</v>
      </c>
      <c r="E13">
        <f t="shared" si="0"/>
        <v>7</v>
      </c>
      <c r="F13">
        <f t="shared" si="1"/>
        <v>2022</v>
      </c>
      <c r="G13" t="str">
        <f t="shared" si="2"/>
        <v>72022</v>
      </c>
    </row>
    <row r="14" spans="1:9" x14ac:dyDescent="0.2">
      <c r="A14" s="9">
        <v>44774</v>
      </c>
      <c r="B14" s="14">
        <v>47261</v>
      </c>
      <c r="C14" s="14">
        <v>22084.58</v>
      </c>
      <c r="D14" s="13">
        <v>16150</v>
      </c>
      <c r="E14">
        <f t="shared" si="0"/>
        <v>8</v>
      </c>
      <c r="F14">
        <f t="shared" si="1"/>
        <v>2022</v>
      </c>
      <c r="G14" t="str">
        <f t="shared" si="2"/>
        <v>82022</v>
      </c>
    </row>
    <row r="15" spans="1:9" x14ac:dyDescent="0.2">
      <c r="A15" s="9">
        <v>44805</v>
      </c>
      <c r="B15" s="13">
        <v>41564</v>
      </c>
      <c r="C15" s="13">
        <v>26644</v>
      </c>
      <c r="D15" s="13">
        <v>15650</v>
      </c>
      <c r="E15">
        <f t="shared" si="0"/>
        <v>9</v>
      </c>
      <c r="F15">
        <f t="shared" si="1"/>
        <v>2022</v>
      </c>
      <c r="G15" t="str">
        <f t="shared" si="2"/>
        <v>92022</v>
      </c>
    </row>
    <row r="16" spans="1:9" x14ac:dyDescent="0.2">
      <c r="A16" s="9">
        <v>44835</v>
      </c>
      <c r="B16" s="13">
        <v>46212</v>
      </c>
      <c r="C16" s="13">
        <v>31166</v>
      </c>
      <c r="D16" s="13">
        <v>7356</v>
      </c>
      <c r="E16">
        <f t="shared" si="0"/>
        <v>10</v>
      </c>
      <c r="F16">
        <f t="shared" si="1"/>
        <v>2022</v>
      </c>
      <c r="G16" t="str">
        <f t="shared" si="2"/>
        <v>102022</v>
      </c>
    </row>
    <row r="17" spans="1:9" x14ac:dyDescent="0.2">
      <c r="A17" s="9">
        <v>44866</v>
      </c>
      <c r="B17" s="13">
        <v>41590</v>
      </c>
      <c r="C17" s="13">
        <v>18382</v>
      </c>
      <c r="D17" s="13">
        <v>9600</v>
      </c>
      <c r="E17">
        <f t="shared" si="0"/>
        <v>11</v>
      </c>
      <c r="F17">
        <f t="shared" si="1"/>
        <v>2022</v>
      </c>
      <c r="G17" t="str">
        <f t="shared" si="2"/>
        <v>112022</v>
      </c>
    </row>
    <row r="18" spans="1:9" x14ac:dyDescent="0.2">
      <c r="A18" s="9">
        <v>44896</v>
      </c>
      <c r="B18" s="13">
        <v>45828.98</v>
      </c>
      <c r="C18" s="13">
        <v>17640</v>
      </c>
      <c r="D18" s="13">
        <v>10176</v>
      </c>
      <c r="E18">
        <f t="shared" si="0"/>
        <v>12</v>
      </c>
      <c r="F18">
        <f t="shared" si="1"/>
        <v>2022</v>
      </c>
      <c r="G18" t="str">
        <f t="shared" si="2"/>
        <v>122022</v>
      </c>
    </row>
    <row r="19" spans="1:9" x14ac:dyDescent="0.2">
      <c r="A19" s="9">
        <v>44927</v>
      </c>
      <c r="B19" s="13">
        <v>53298.52</v>
      </c>
      <c r="C19" s="13">
        <v>24795.26</v>
      </c>
      <c r="D19" s="13">
        <v>29466</v>
      </c>
      <c r="E19">
        <f t="shared" si="0"/>
        <v>1</v>
      </c>
      <c r="F19">
        <f t="shared" si="1"/>
        <v>2023</v>
      </c>
      <c r="G19" t="str">
        <f t="shared" si="2"/>
        <v>12023</v>
      </c>
    </row>
    <row r="20" spans="1:9" x14ac:dyDescent="0.2">
      <c r="A20" s="9">
        <v>44958</v>
      </c>
      <c r="B20" s="13">
        <v>53375</v>
      </c>
      <c r="C20" s="13">
        <v>24223.54</v>
      </c>
      <c r="D20" s="13">
        <v>26553.1</v>
      </c>
      <c r="E20">
        <f t="shared" si="0"/>
        <v>2</v>
      </c>
      <c r="F20">
        <f t="shared" si="1"/>
        <v>2023</v>
      </c>
      <c r="G20" t="str">
        <f t="shared" si="2"/>
        <v>22023</v>
      </c>
    </row>
    <row r="21" spans="1:9" x14ac:dyDescent="0.2">
      <c r="A21" s="9">
        <v>44986</v>
      </c>
      <c r="B21" s="13">
        <v>45541.08</v>
      </c>
      <c r="C21" s="15">
        <v>25893</v>
      </c>
      <c r="D21" s="13">
        <v>14285.57</v>
      </c>
      <c r="E21">
        <f t="shared" si="0"/>
        <v>3</v>
      </c>
      <c r="F21">
        <f t="shared" si="1"/>
        <v>2023</v>
      </c>
      <c r="G21" t="str">
        <f t="shared" si="2"/>
        <v>32023</v>
      </c>
      <c r="H21" s="12"/>
      <c r="I21" s="12"/>
    </row>
    <row r="22" spans="1:9" x14ac:dyDescent="0.2">
      <c r="A22" s="9">
        <v>45017</v>
      </c>
      <c r="B22" s="13">
        <v>60000</v>
      </c>
      <c r="C22" s="13">
        <v>30000</v>
      </c>
      <c r="D22" s="13">
        <v>11300</v>
      </c>
      <c r="E22">
        <f t="shared" si="0"/>
        <v>4</v>
      </c>
      <c r="F22">
        <f t="shared" si="1"/>
        <v>2023</v>
      </c>
      <c r="G22" t="str">
        <f t="shared" si="2"/>
        <v>42023</v>
      </c>
      <c r="H22" s="12"/>
      <c r="I22" s="12"/>
    </row>
    <row r="23" spans="1:9" x14ac:dyDescent="0.2">
      <c r="A23" s="9">
        <v>45047</v>
      </c>
      <c r="B23" s="13">
        <v>60000</v>
      </c>
      <c r="C23" s="13">
        <v>30000</v>
      </c>
      <c r="D23" s="13">
        <v>15000</v>
      </c>
      <c r="E23">
        <f t="shared" si="0"/>
        <v>5</v>
      </c>
      <c r="F23">
        <f t="shared" si="1"/>
        <v>2023</v>
      </c>
      <c r="G23" t="str">
        <f t="shared" si="2"/>
        <v>52023</v>
      </c>
      <c r="H23" s="12"/>
      <c r="I23" s="12"/>
    </row>
    <row r="24" spans="1:9" x14ac:dyDescent="0.2">
      <c r="A24" s="9">
        <v>45078</v>
      </c>
      <c r="B24" s="13">
        <f>_xlfn.FORECAST.ETS($A24,B$2:B$23,$A$2:$A$23,12,1,1)</f>
        <v>71073.36855322335</v>
      </c>
      <c r="C24" s="13">
        <f t="shared" ref="C24:D30" si="3">_xlfn.FORECAST.ETS($A24,C$2:C$23,$A$2:$A$23,12,1,1)</f>
        <v>23158.443475601489</v>
      </c>
      <c r="D24" s="13">
        <f>_xlfn.FORECAST.ETS($A24,D$2:D$23,$A$2:$A$23,12,1,1)</f>
        <v>32959.836610884733</v>
      </c>
      <c r="E24">
        <f t="shared" si="0"/>
        <v>6</v>
      </c>
      <c r="F24">
        <f t="shared" si="1"/>
        <v>2023</v>
      </c>
      <c r="G24" t="str">
        <f t="shared" si="2"/>
        <v>62023</v>
      </c>
    </row>
    <row r="25" spans="1:9" x14ac:dyDescent="0.2">
      <c r="A25" s="9">
        <v>45108</v>
      </c>
      <c r="B25" s="13">
        <f t="shared" ref="B25:B30" si="4">_xlfn.FORECAST.ETS($A25,B$2:B$23,$A$2:$A$23,12,1,1)</f>
        <v>76657.258826439822</v>
      </c>
      <c r="C25" s="13">
        <f t="shared" si="3"/>
        <v>26293.030843867735</v>
      </c>
      <c r="D25" s="13">
        <f t="shared" si="3"/>
        <v>28135.661631213618</v>
      </c>
      <c r="E25">
        <f t="shared" si="0"/>
        <v>7</v>
      </c>
      <c r="F25">
        <f t="shared" si="1"/>
        <v>2023</v>
      </c>
      <c r="G25" t="str">
        <f t="shared" si="2"/>
        <v>72023</v>
      </c>
    </row>
    <row r="26" spans="1:9" x14ac:dyDescent="0.2">
      <c r="A26" s="9">
        <v>45139</v>
      </c>
      <c r="B26" s="13">
        <f t="shared" si="4"/>
        <v>76991.884982768112</v>
      </c>
      <c r="C26" s="13">
        <f t="shared" si="3"/>
        <v>24300.328673679094</v>
      </c>
      <c r="D26" s="13">
        <f t="shared" si="3"/>
        <v>26570.540075586774</v>
      </c>
      <c r="E26">
        <f t="shared" si="0"/>
        <v>8</v>
      </c>
      <c r="F26">
        <f t="shared" si="1"/>
        <v>2023</v>
      </c>
      <c r="G26" t="str">
        <f t="shared" si="2"/>
        <v>82023</v>
      </c>
    </row>
    <row r="27" spans="1:9" x14ac:dyDescent="0.2">
      <c r="A27" s="9">
        <v>45170</v>
      </c>
      <c r="B27" s="13">
        <f t="shared" si="4"/>
        <v>71272.577009805333</v>
      </c>
      <c r="C27" s="13">
        <f t="shared" si="3"/>
        <v>28486.720979707981</v>
      </c>
      <c r="D27" s="13">
        <f t="shared" si="3"/>
        <v>26073.818573355551</v>
      </c>
      <c r="E27">
        <f t="shared" si="0"/>
        <v>9</v>
      </c>
      <c r="F27">
        <f t="shared" si="1"/>
        <v>2023</v>
      </c>
      <c r="G27" t="str">
        <f t="shared" si="2"/>
        <v>92023</v>
      </c>
    </row>
    <row r="28" spans="1:9" x14ac:dyDescent="0.2">
      <c r="A28" s="9">
        <v>45200</v>
      </c>
      <c r="B28" s="13">
        <f t="shared" si="4"/>
        <v>75878.621219469787</v>
      </c>
      <c r="C28" s="13">
        <f t="shared" si="3"/>
        <v>34489.476034356114</v>
      </c>
      <c r="D28" s="13">
        <f t="shared" si="3"/>
        <v>17790.750068888203</v>
      </c>
      <c r="E28">
        <f t="shared" si="0"/>
        <v>10</v>
      </c>
      <c r="F28">
        <f t="shared" si="1"/>
        <v>2023</v>
      </c>
      <c r="G28" t="str">
        <f t="shared" si="2"/>
        <v>102023</v>
      </c>
    </row>
    <row r="29" spans="1:9" x14ac:dyDescent="0.2">
      <c r="A29" s="9">
        <v>45231</v>
      </c>
      <c r="B29" s="13">
        <f t="shared" si="4"/>
        <v>71229.951850244965</v>
      </c>
      <c r="C29" s="13">
        <f t="shared" si="3"/>
        <v>25187.208338969634</v>
      </c>
      <c r="D29" s="13">
        <f t="shared" si="3"/>
        <v>20033.093741184806</v>
      </c>
      <c r="E29">
        <f t="shared" si="0"/>
        <v>11</v>
      </c>
      <c r="F29">
        <f t="shared" si="1"/>
        <v>2023</v>
      </c>
      <c r="G29" t="str">
        <f t="shared" si="2"/>
        <v>112023</v>
      </c>
    </row>
    <row r="30" spans="1:9" x14ac:dyDescent="0.2">
      <c r="A30" s="9">
        <v>45261</v>
      </c>
      <c r="B30" s="13">
        <f t="shared" si="4"/>
        <v>75432.269124483792</v>
      </c>
      <c r="C30" s="13">
        <f t="shared" si="3"/>
        <v>21775.291980743736</v>
      </c>
      <c r="D30" s="13">
        <f t="shared" si="3"/>
        <v>20610.204166306954</v>
      </c>
      <c r="E30">
        <f t="shared" si="0"/>
        <v>12</v>
      </c>
      <c r="F30">
        <f t="shared" si="1"/>
        <v>2023</v>
      </c>
      <c r="G30" t="str">
        <f t="shared" si="2"/>
        <v>122023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2988-818C-824D-A5A8-1A758A5B05C6}">
  <dimension ref="A1:N1096"/>
  <sheetViews>
    <sheetView topLeftCell="A506" workbookViewId="0">
      <selection activeCell="R14" sqref="R14"/>
    </sheetView>
  </sheetViews>
  <sheetFormatPr baseColWidth="10" defaultRowHeight="16" x14ac:dyDescent="0.2"/>
  <cols>
    <col min="1" max="1" width="8.1640625" bestFit="1" customWidth="1"/>
    <col min="2" max="2" width="12.1640625" bestFit="1" customWidth="1"/>
    <col min="3" max="3" width="13.33203125" bestFit="1" customWidth="1"/>
    <col min="4" max="4" width="10.33203125" bestFit="1" customWidth="1"/>
    <col min="5" max="5" width="8" bestFit="1" customWidth="1"/>
    <col min="6" max="6" width="6.33203125" bestFit="1" customWidth="1"/>
    <col min="7" max="7" width="5.1640625" bestFit="1" customWidth="1"/>
    <col min="8" max="8" width="10.33203125" bestFit="1" customWidth="1"/>
    <col min="9" max="9" width="12.83203125" bestFit="1" customWidth="1"/>
    <col min="10" max="10" width="12.1640625" bestFit="1" customWidth="1"/>
    <col min="11" max="11" width="13.33203125" bestFit="1" customWidth="1"/>
    <col min="12" max="12" width="12.1640625" bestFit="1" customWidth="1"/>
  </cols>
  <sheetData>
    <row r="1" spans="1:14" x14ac:dyDescent="0.2">
      <c r="A1" t="s">
        <v>31</v>
      </c>
      <c r="B1" s="8" t="s">
        <v>26</v>
      </c>
      <c r="C1" s="8" t="s">
        <v>27</v>
      </c>
      <c r="D1" s="8" t="s">
        <v>36</v>
      </c>
      <c r="E1" s="8" t="s">
        <v>32</v>
      </c>
      <c r="F1" s="8" t="s">
        <v>28</v>
      </c>
      <c r="G1" s="8" t="s">
        <v>29</v>
      </c>
      <c r="H1" s="8" t="s">
        <v>30</v>
      </c>
      <c r="I1" s="8" t="s">
        <v>33</v>
      </c>
      <c r="J1" s="10" t="s">
        <v>26</v>
      </c>
      <c r="K1" s="10" t="s">
        <v>27</v>
      </c>
      <c r="L1" s="8" t="s">
        <v>36</v>
      </c>
      <c r="M1" s="8" t="s">
        <v>34</v>
      </c>
      <c r="N1" s="8" t="s">
        <v>37</v>
      </c>
    </row>
    <row r="2" spans="1:14" x14ac:dyDescent="0.2">
      <c r="A2" s="1">
        <v>44197</v>
      </c>
      <c r="B2">
        <f>IFERROR(INDEX('planning dogs-n-tiger'!B$1:B$30,MATCH($H2,'planning dogs-n-tiger'!$G$1:$G$42,0)),0)</f>
        <v>0</v>
      </c>
      <c r="C2">
        <f>IFERROR(INDEX('planning dogs-n-tiger'!C$1:C$30,MATCH($H2,'planning dogs-n-tiger'!$G$1:$G$42,0)),0)</f>
        <v>0</v>
      </c>
      <c r="D2">
        <f>IFERROR(INDEX('planning dogs-n-tiger'!D$1:D$30,MATCH($H2,'planning dogs-n-tiger'!$G$1:$G$42,0)),0)</f>
        <v>0</v>
      </c>
      <c r="E2">
        <f t="shared" ref="E2:E65" si="0">_xlfn.ISOWEEKNUM(A2)</f>
        <v>53</v>
      </c>
      <c r="F2">
        <f t="shared" ref="F2:F65" si="1">MONTH(A2)</f>
        <v>1</v>
      </c>
      <c r="G2">
        <f t="shared" ref="G2:G65" si="2">YEAR(A2)</f>
        <v>2021</v>
      </c>
      <c r="H2" t="str">
        <f>F2&amp;G2</f>
        <v>12021</v>
      </c>
      <c r="I2">
        <f>DAY(EOMONTH(DATE(G2,F2,0),1))</f>
        <v>31</v>
      </c>
      <c r="J2">
        <f t="shared" ref="J2:J65" si="3">B2/$I2</f>
        <v>0</v>
      </c>
      <c r="K2">
        <f t="shared" ref="K2:K65" si="4">C2/$I2</f>
        <v>0</v>
      </c>
      <c r="L2">
        <f t="shared" ref="L2:L65" si="5">D2/$I2</f>
        <v>0</v>
      </c>
      <c r="M2" t="str">
        <f>E2&amp;G2</f>
        <v>532021</v>
      </c>
      <c r="N2" t="str">
        <f>E2&amp;"-"&amp;F2&amp;"-"&amp;G2</f>
        <v>53-1-2021</v>
      </c>
    </row>
    <row r="3" spans="1:14" x14ac:dyDescent="0.2">
      <c r="A3" s="1">
        <v>44198</v>
      </c>
      <c r="B3">
        <f>IFERROR(INDEX('planning dogs-n-tiger'!B$1:B$30,MATCH($H3,'planning dogs-n-tiger'!$G$1:$G$42,0)),0)</f>
        <v>0</v>
      </c>
      <c r="C3">
        <f>IFERROR(INDEX('planning dogs-n-tiger'!C$1:C$30,MATCH($H3,'planning dogs-n-tiger'!$G$1:$G$42,0)),0)</f>
        <v>0</v>
      </c>
      <c r="D3">
        <f>IFERROR(INDEX('planning dogs-n-tiger'!D$1:D$30,MATCH($H3,'planning dogs-n-tiger'!$G$1:$G$42,0)),0)</f>
        <v>0</v>
      </c>
      <c r="E3">
        <f t="shared" si="0"/>
        <v>53</v>
      </c>
      <c r="F3">
        <f t="shared" si="1"/>
        <v>1</v>
      </c>
      <c r="G3">
        <f t="shared" si="2"/>
        <v>2021</v>
      </c>
      <c r="H3" t="str">
        <f t="shared" ref="H3:H66" si="6">F3&amp;G3</f>
        <v>12021</v>
      </c>
      <c r="I3">
        <f t="shared" ref="I3:I66" si="7">DAY(EOMONTH(DATE(G3,F3,0),1))</f>
        <v>31</v>
      </c>
      <c r="J3">
        <f t="shared" si="3"/>
        <v>0</v>
      </c>
      <c r="K3">
        <f t="shared" si="4"/>
        <v>0</v>
      </c>
      <c r="L3">
        <f t="shared" si="5"/>
        <v>0</v>
      </c>
      <c r="M3" t="str">
        <f t="shared" ref="M3:M66" si="8">E3&amp;G3</f>
        <v>532021</v>
      </c>
      <c r="N3" t="str">
        <f t="shared" ref="N3:N66" si="9">E3&amp;"-"&amp;F3&amp;"-"&amp;G3</f>
        <v>53-1-2021</v>
      </c>
    </row>
    <row r="4" spans="1:14" x14ac:dyDescent="0.2">
      <c r="A4" s="1">
        <v>44199</v>
      </c>
      <c r="B4">
        <f>IFERROR(INDEX('planning dogs-n-tiger'!B$1:B$30,MATCH($H4,'planning dogs-n-tiger'!$G$1:$G$42,0)),0)</f>
        <v>0</v>
      </c>
      <c r="C4">
        <f>IFERROR(INDEX('planning dogs-n-tiger'!C$1:C$30,MATCH($H4,'planning dogs-n-tiger'!$G$1:$G$42,0)),0)</f>
        <v>0</v>
      </c>
      <c r="D4">
        <f>IFERROR(INDEX('planning dogs-n-tiger'!D$1:D$30,MATCH($H4,'planning dogs-n-tiger'!$G$1:$G$42,0)),0)</f>
        <v>0</v>
      </c>
      <c r="E4">
        <f t="shared" si="0"/>
        <v>53</v>
      </c>
      <c r="F4">
        <f t="shared" si="1"/>
        <v>1</v>
      </c>
      <c r="G4">
        <f t="shared" si="2"/>
        <v>2021</v>
      </c>
      <c r="H4" t="str">
        <f t="shared" si="6"/>
        <v>12021</v>
      </c>
      <c r="I4">
        <f t="shared" si="7"/>
        <v>31</v>
      </c>
      <c r="J4">
        <f t="shared" si="3"/>
        <v>0</v>
      </c>
      <c r="K4">
        <f t="shared" si="4"/>
        <v>0</v>
      </c>
      <c r="L4">
        <f t="shared" si="5"/>
        <v>0</v>
      </c>
      <c r="M4" t="str">
        <f t="shared" si="8"/>
        <v>532021</v>
      </c>
      <c r="N4" t="str">
        <f t="shared" si="9"/>
        <v>53-1-2021</v>
      </c>
    </row>
    <row r="5" spans="1:14" x14ac:dyDescent="0.2">
      <c r="A5" s="1">
        <v>44200</v>
      </c>
      <c r="B5">
        <f>IFERROR(INDEX('planning dogs-n-tiger'!B$1:B$30,MATCH($H5,'planning dogs-n-tiger'!$G$1:$G$42,0)),0)</f>
        <v>0</v>
      </c>
      <c r="C5">
        <f>IFERROR(INDEX('planning dogs-n-tiger'!C$1:C$30,MATCH($H5,'planning dogs-n-tiger'!$G$1:$G$42,0)),0)</f>
        <v>0</v>
      </c>
      <c r="D5">
        <f>IFERROR(INDEX('planning dogs-n-tiger'!D$1:D$30,MATCH($H5,'planning dogs-n-tiger'!$G$1:$G$42,0)),0)</f>
        <v>0</v>
      </c>
      <c r="E5">
        <f t="shared" si="0"/>
        <v>1</v>
      </c>
      <c r="F5">
        <f t="shared" si="1"/>
        <v>1</v>
      </c>
      <c r="G5">
        <f t="shared" si="2"/>
        <v>2021</v>
      </c>
      <c r="H5" t="str">
        <f t="shared" si="6"/>
        <v>12021</v>
      </c>
      <c r="I5">
        <f t="shared" si="7"/>
        <v>31</v>
      </c>
      <c r="J5">
        <f t="shared" si="3"/>
        <v>0</v>
      </c>
      <c r="K5">
        <f t="shared" si="4"/>
        <v>0</v>
      </c>
      <c r="L5">
        <f t="shared" si="5"/>
        <v>0</v>
      </c>
      <c r="M5" t="str">
        <f t="shared" si="8"/>
        <v>12021</v>
      </c>
      <c r="N5" t="str">
        <f t="shared" si="9"/>
        <v>1-1-2021</v>
      </c>
    </row>
    <row r="6" spans="1:14" x14ac:dyDescent="0.2">
      <c r="A6" s="1">
        <v>44201</v>
      </c>
      <c r="B6">
        <f>IFERROR(INDEX('planning dogs-n-tiger'!B$1:B$30,MATCH($H6,'planning dogs-n-tiger'!$G$1:$G$42,0)),0)</f>
        <v>0</v>
      </c>
      <c r="C6">
        <f>IFERROR(INDEX('planning dogs-n-tiger'!C$1:C$30,MATCH($H6,'planning dogs-n-tiger'!$G$1:$G$42,0)),0)</f>
        <v>0</v>
      </c>
      <c r="D6">
        <f>IFERROR(INDEX('planning dogs-n-tiger'!D$1:D$30,MATCH($H6,'planning dogs-n-tiger'!$G$1:$G$42,0)),0)</f>
        <v>0</v>
      </c>
      <c r="E6">
        <f t="shared" si="0"/>
        <v>1</v>
      </c>
      <c r="F6">
        <f t="shared" si="1"/>
        <v>1</v>
      </c>
      <c r="G6">
        <f t="shared" si="2"/>
        <v>2021</v>
      </c>
      <c r="H6" t="str">
        <f t="shared" si="6"/>
        <v>12021</v>
      </c>
      <c r="I6">
        <f t="shared" si="7"/>
        <v>31</v>
      </c>
      <c r="J6">
        <f t="shared" si="3"/>
        <v>0</v>
      </c>
      <c r="K6">
        <f t="shared" si="4"/>
        <v>0</v>
      </c>
      <c r="L6">
        <f t="shared" si="5"/>
        <v>0</v>
      </c>
      <c r="M6" t="str">
        <f t="shared" si="8"/>
        <v>12021</v>
      </c>
      <c r="N6" t="str">
        <f t="shared" si="9"/>
        <v>1-1-2021</v>
      </c>
    </row>
    <row r="7" spans="1:14" x14ac:dyDescent="0.2">
      <c r="A7" s="1">
        <v>44202</v>
      </c>
      <c r="B7">
        <f>IFERROR(INDEX('planning dogs-n-tiger'!B$1:B$30,MATCH($H7,'planning dogs-n-tiger'!$G$1:$G$42,0)),0)</f>
        <v>0</v>
      </c>
      <c r="C7">
        <f>IFERROR(INDEX('planning dogs-n-tiger'!C$1:C$30,MATCH($H7,'planning dogs-n-tiger'!$G$1:$G$42,0)),0)</f>
        <v>0</v>
      </c>
      <c r="D7">
        <f>IFERROR(INDEX('planning dogs-n-tiger'!D$1:D$30,MATCH($H7,'planning dogs-n-tiger'!$G$1:$G$42,0)),0)</f>
        <v>0</v>
      </c>
      <c r="E7">
        <f t="shared" si="0"/>
        <v>1</v>
      </c>
      <c r="F7">
        <f t="shared" si="1"/>
        <v>1</v>
      </c>
      <c r="G7">
        <f t="shared" si="2"/>
        <v>2021</v>
      </c>
      <c r="H7" t="str">
        <f t="shared" si="6"/>
        <v>12021</v>
      </c>
      <c r="I7">
        <f t="shared" si="7"/>
        <v>31</v>
      </c>
      <c r="J7">
        <f t="shared" si="3"/>
        <v>0</v>
      </c>
      <c r="K7">
        <f t="shared" si="4"/>
        <v>0</v>
      </c>
      <c r="L7">
        <f t="shared" si="5"/>
        <v>0</v>
      </c>
      <c r="M7" t="str">
        <f t="shared" si="8"/>
        <v>12021</v>
      </c>
      <c r="N7" t="str">
        <f t="shared" si="9"/>
        <v>1-1-2021</v>
      </c>
    </row>
    <row r="8" spans="1:14" x14ac:dyDescent="0.2">
      <c r="A8" s="1">
        <v>44203</v>
      </c>
      <c r="B8">
        <f>IFERROR(INDEX('planning dogs-n-tiger'!B$1:B$30,MATCH($H8,'planning dogs-n-tiger'!$G$1:$G$42,0)),0)</f>
        <v>0</v>
      </c>
      <c r="C8">
        <f>IFERROR(INDEX('planning dogs-n-tiger'!C$1:C$30,MATCH($H8,'planning dogs-n-tiger'!$G$1:$G$42,0)),0)</f>
        <v>0</v>
      </c>
      <c r="D8">
        <f>IFERROR(INDEX('planning dogs-n-tiger'!D$1:D$30,MATCH($H8,'planning dogs-n-tiger'!$G$1:$G$42,0)),0)</f>
        <v>0</v>
      </c>
      <c r="E8">
        <f t="shared" si="0"/>
        <v>1</v>
      </c>
      <c r="F8">
        <f t="shared" si="1"/>
        <v>1</v>
      </c>
      <c r="G8">
        <f t="shared" si="2"/>
        <v>2021</v>
      </c>
      <c r="H8" t="str">
        <f t="shared" si="6"/>
        <v>12021</v>
      </c>
      <c r="I8">
        <f t="shared" si="7"/>
        <v>31</v>
      </c>
      <c r="J8">
        <f t="shared" si="3"/>
        <v>0</v>
      </c>
      <c r="K8">
        <f t="shared" si="4"/>
        <v>0</v>
      </c>
      <c r="L8">
        <f t="shared" si="5"/>
        <v>0</v>
      </c>
      <c r="M8" t="str">
        <f t="shared" si="8"/>
        <v>12021</v>
      </c>
      <c r="N8" t="str">
        <f t="shared" si="9"/>
        <v>1-1-2021</v>
      </c>
    </row>
    <row r="9" spans="1:14" x14ac:dyDescent="0.2">
      <c r="A9" s="1">
        <v>44204</v>
      </c>
      <c r="B9">
        <f>IFERROR(INDEX('planning dogs-n-tiger'!B$1:B$30,MATCH($H9,'planning dogs-n-tiger'!$G$1:$G$42,0)),0)</f>
        <v>0</v>
      </c>
      <c r="C9">
        <f>IFERROR(INDEX('planning dogs-n-tiger'!C$1:C$30,MATCH($H9,'planning dogs-n-tiger'!$G$1:$G$42,0)),0)</f>
        <v>0</v>
      </c>
      <c r="D9">
        <f>IFERROR(INDEX('planning dogs-n-tiger'!D$1:D$30,MATCH($H9,'planning dogs-n-tiger'!$G$1:$G$42,0)),0)</f>
        <v>0</v>
      </c>
      <c r="E9">
        <f t="shared" si="0"/>
        <v>1</v>
      </c>
      <c r="F9">
        <f t="shared" si="1"/>
        <v>1</v>
      </c>
      <c r="G9">
        <f t="shared" si="2"/>
        <v>2021</v>
      </c>
      <c r="H9" t="str">
        <f t="shared" si="6"/>
        <v>12021</v>
      </c>
      <c r="I9">
        <f t="shared" si="7"/>
        <v>31</v>
      </c>
      <c r="J9">
        <f t="shared" si="3"/>
        <v>0</v>
      </c>
      <c r="K9">
        <f t="shared" si="4"/>
        <v>0</v>
      </c>
      <c r="L9">
        <f t="shared" si="5"/>
        <v>0</v>
      </c>
      <c r="M9" t="str">
        <f t="shared" si="8"/>
        <v>12021</v>
      </c>
      <c r="N9" t="str">
        <f t="shared" si="9"/>
        <v>1-1-2021</v>
      </c>
    </row>
    <row r="10" spans="1:14" x14ac:dyDescent="0.2">
      <c r="A10" s="1">
        <v>44205</v>
      </c>
      <c r="B10">
        <f>IFERROR(INDEX('planning dogs-n-tiger'!B$1:B$30,MATCH($H10,'planning dogs-n-tiger'!$G$1:$G$42,0)),0)</f>
        <v>0</v>
      </c>
      <c r="C10">
        <f>IFERROR(INDEX('planning dogs-n-tiger'!C$1:C$30,MATCH($H10,'planning dogs-n-tiger'!$G$1:$G$42,0)),0)</f>
        <v>0</v>
      </c>
      <c r="D10">
        <f>IFERROR(INDEX('planning dogs-n-tiger'!D$1:D$30,MATCH($H10,'planning dogs-n-tiger'!$G$1:$G$42,0)),0)</f>
        <v>0</v>
      </c>
      <c r="E10">
        <f t="shared" si="0"/>
        <v>1</v>
      </c>
      <c r="F10">
        <f t="shared" si="1"/>
        <v>1</v>
      </c>
      <c r="G10">
        <f t="shared" si="2"/>
        <v>2021</v>
      </c>
      <c r="H10" t="str">
        <f t="shared" si="6"/>
        <v>12021</v>
      </c>
      <c r="I10">
        <f t="shared" si="7"/>
        <v>31</v>
      </c>
      <c r="J10">
        <f t="shared" si="3"/>
        <v>0</v>
      </c>
      <c r="K10">
        <f t="shared" si="4"/>
        <v>0</v>
      </c>
      <c r="L10">
        <f t="shared" si="5"/>
        <v>0</v>
      </c>
      <c r="M10" t="str">
        <f t="shared" si="8"/>
        <v>12021</v>
      </c>
      <c r="N10" t="str">
        <f t="shared" si="9"/>
        <v>1-1-2021</v>
      </c>
    </row>
    <row r="11" spans="1:14" x14ac:dyDescent="0.2">
      <c r="A11" s="1">
        <v>44206</v>
      </c>
      <c r="B11">
        <f>IFERROR(INDEX('planning dogs-n-tiger'!B$1:B$30,MATCH($H11,'planning dogs-n-tiger'!$G$1:$G$42,0)),0)</f>
        <v>0</v>
      </c>
      <c r="C11">
        <f>IFERROR(INDEX('planning dogs-n-tiger'!C$1:C$30,MATCH($H11,'planning dogs-n-tiger'!$G$1:$G$42,0)),0)</f>
        <v>0</v>
      </c>
      <c r="D11">
        <f>IFERROR(INDEX('planning dogs-n-tiger'!D$1:D$30,MATCH($H11,'planning dogs-n-tiger'!$G$1:$G$42,0)),0)</f>
        <v>0</v>
      </c>
      <c r="E11">
        <f t="shared" si="0"/>
        <v>1</v>
      </c>
      <c r="F11">
        <f t="shared" si="1"/>
        <v>1</v>
      </c>
      <c r="G11">
        <f t="shared" si="2"/>
        <v>2021</v>
      </c>
      <c r="H11" t="str">
        <f t="shared" si="6"/>
        <v>12021</v>
      </c>
      <c r="I11">
        <f t="shared" si="7"/>
        <v>31</v>
      </c>
      <c r="J11">
        <f t="shared" si="3"/>
        <v>0</v>
      </c>
      <c r="K11">
        <f t="shared" si="4"/>
        <v>0</v>
      </c>
      <c r="L11">
        <f t="shared" si="5"/>
        <v>0</v>
      </c>
      <c r="M11" t="str">
        <f t="shared" si="8"/>
        <v>12021</v>
      </c>
      <c r="N11" t="str">
        <f t="shared" si="9"/>
        <v>1-1-2021</v>
      </c>
    </row>
    <row r="12" spans="1:14" x14ac:dyDescent="0.2">
      <c r="A12" s="1">
        <v>44207</v>
      </c>
      <c r="B12">
        <f>IFERROR(INDEX('planning dogs-n-tiger'!B$1:B$30,MATCH($H12,'planning dogs-n-tiger'!$G$1:$G$42,0)),0)</f>
        <v>0</v>
      </c>
      <c r="C12">
        <f>IFERROR(INDEX('planning dogs-n-tiger'!C$1:C$30,MATCH($H12,'planning dogs-n-tiger'!$G$1:$G$42,0)),0)</f>
        <v>0</v>
      </c>
      <c r="D12">
        <f>IFERROR(INDEX('planning dogs-n-tiger'!D$1:D$30,MATCH($H12,'planning dogs-n-tiger'!$G$1:$G$42,0)),0)</f>
        <v>0</v>
      </c>
      <c r="E12">
        <f t="shared" si="0"/>
        <v>2</v>
      </c>
      <c r="F12">
        <f t="shared" si="1"/>
        <v>1</v>
      </c>
      <c r="G12">
        <f t="shared" si="2"/>
        <v>2021</v>
      </c>
      <c r="H12" t="str">
        <f t="shared" si="6"/>
        <v>12021</v>
      </c>
      <c r="I12">
        <f t="shared" si="7"/>
        <v>31</v>
      </c>
      <c r="J12">
        <f t="shared" si="3"/>
        <v>0</v>
      </c>
      <c r="K12">
        <f t="shared" si="4"/>
        <v>0</v>
      </c>
      <c r="L12">
        <f t="shared" si="5"/>
        <v>0</v>
      </c>
      <c r="M12" t="str">
        <f t="shared" si="8"/>
        <v>22021</v>
      </c>
      <c r="N12" t="str">
        <f t="shared" si="9"/>
        <v>2-1-2021</v>
      </c>
    </row>
    <row r="13" spans="1:14" x14ac:dyDescent="0.2">
      <c r="A13" s="1">
        <v>44208</v>
      </c>
      <c r="B13">
        <f>IFERROR(INDEX('planning dogs-n-tiger'!B$1:B$30,MATCH($H13,'planning dogs-n-tiger'!$G$1:$G$42,0)),0)</f>
        <v>0</v>
      </c>
      <c r="C13">
        <f>IFERROR(INDEX('planning dogs-n-tiger'!C$1:C$30,MATCH($H13,'planning dogs-n-tiger'!$G$1:$G$42,0)),0)</f>
        <v>0</v>
      </c>
      <c r="D13">
        <f>IFERROR(INDEX('planning dogs-n-tiger'!D$1:D$30,MATCH($H13,'planning dogs-n-tiger'!$G$1:$G$42,0)),0)</f>
        <v>0</v>
      </c>
      <c r="E13">
        <f t="shared" si="0"/>
        <v>2</v>
      </c>
      <c r="F13">
        <f t="shared" si="1"/>
        <v>1</v>
      </c>
      <c r="G13">
        <f t="shared" si="2"/>
        <v>2021</v>
      </c>
      <c r="H13" t="str">
        <f t="shared" si="6"/>
        <v>12021</v>
      </c>
      <c r="I13">
        <f t="shared" si="7"/>
        <v>31</v>
      </c>
      <c r="J13">
        <f t="shared" si="3"/>
        <v>0</v>
      </c>
      <c r="K13">
        <f t="shared" si="4"/>
        <v>0</v>
      </c>
      <c r="L13">
        <f t="shared" si="5"/>
        <v>0</v>
      </c>
      <c r="M13" t="str">
        <f t="shared" si="8"/>
        <v>22021</v>
      </c>
      <c r="N13" t="str">
        <f t="shared" si="9"/>
        <v>2-1-2021</v>
      </c>
    </row>
    <row r="14" spans="1:14" x14ac:dyDescent="0.2">
      <c r="A14" s="1">
        <v>44209</v>
      </c>
      <c r="B14">
        <f>IFERROR(INDEX('planning dogs-n-tiger'!B$1:B$30,MATCH($H14,'planning dogs-n-tiger'!$G$1:$G$42,0)),0)</f>
        <v>0</v>
      </c>
      <c r="C14">
        <f>IFERROR(INDEX('planning dogs-n-tiger'!C$1:C$30,MATCH($H14,'planning dogs-n-tiger'!$G$1:$G$42,0)),0)</f>
        <v>0</v>
      </c>
      <c r="D14">
        <f>IFERROR(INDEX('planning dogs-n-tiger'!D$1:D$30,MATCH($H14,'planning dogs-n-tiger'!$G$1:$G$42,0)),0)</f>
        <v>0</v>
      </c>
      <c r="E14">
        <f t="shared" si="0"/>
        <v>2</v>
      </c>
      <c r="F14">
        <f t="shared" si="1"/>
        <v>1</v>
      </c>
      <c r="G14">
        <f t="shared" si="2"/>
        <v>2021</v>
      </c>
      <c r="H14" t="str">
        <f t="shared" si="6"/>
        <v>12021</v>
      </c>
      <c r="I14">
        <f t="shared" si="7"/>
        <v>31</v>
      </c>
      <c r="J14">
        <f t="shared" si="3"/>
        <v>0</v>
      </c>
      <c r="K14">
        <f t="shared" si="4"/>
        <v>0</v>
      </c>
      <c r="L14">
        <f t="shared" si="5"/>
        <v>0</v>
      </c>
      <c r="M14" t="str">
        <f t="shared" si="8"/>
        <v>22021</v>
      </c>
      <c r="N14" t="str">
        <f t="shared" si="9"/>
        <v>2-1-2021</v>
      </c>
    </row>
    <row r="15" spans="1:14" x14ac:dyDescent="0.2">
      <c r="A15" s="1">
        <v>44210</v>
      </c>
      <c r="B15">
        <f>IFERROR(INDEX('planning dogs-n-tiger'!B$1:B$30,MATCH($H15,'planning dogs-n-tiger'!$G$1:$G$42,0)),0)</f>
        <v>0</v>
      </c>
      <c r="C15">
        <f>IFERROR(INDEX('planning dogs-n-tiger'!C$1:C$30,MATCH($H15,'planning dogs-n-tiger'!$G$1:$G$42,0)),0)</f>
        <v>0</v>
      </c>
      <c r="D15">
        <f>IFERROR(INDEX('planning dogs-n-tiger'!D$1:D$30,MATCH($H15,'planning dogs-n-tiger'!$G$1:$G$42,0)),0)</f>
        <v>0</v>
      </c>
      <c r="E15">
        <f t="shared" si="0"/>
        <v>2</v>
      </c>
      <c r="F15">
        <f t="shared" si="1"/>
        <v>1</v>
      </c>
      <c r="G15">
        <f t="shared" si="2"/>
        <v>2021</v>
      </c>
      <c r="H15" t="str">
        <f t="shared" si="6"/>
        <v>12021</v>
      </c>
      <c r="I15">
        <f t="shared" si="7"/>
        <v>31</v>
      </c>
      <c r="J15">
        <f t="shared" si="3"/>
        <v>0</v>
      </c>
      <c r="K15">
        <f t="shared" si="4"/>
        <v>0</v>
      </c>
      <c r="L15">
        <f t="shared" si="5"/>
        <v>0</v>
      </c>
      <c r="M15" t="str">
        <f t="shared" si="8"/>
        <v>22021</v>
      </c>
      <c r="N15" t="str">
        <f t="shared" si="9"/>
        <v>2-1-2021</v>
      </c>
    </row>
    <row r="16" spans="1:14" x14ac:dyDescent="0.2">
      <c r="A16" s="1">
        <v>44211</v>
      </c>
      <c r="B16">
        <f>IFERROR(INDEX('planning dogs-n-tiger'!B$1:B$30,MATCH($H16,'planning dogs-n-tiger'!$G$1:$G$42,0)),0)</f>
        <v>0</v>
      </c>
      <c r="C16">
        <f>IFERROR(INDEX('planning dogs-n-tiger'!C$1:C$30,MATCH($H16,'planning dogs-n-tiger'!$G$1:$G$42,0)),0)</f>
        <v>0</v>
      </c>
      <c r="D16">
        <f>IFERROR(INDEX('planning dogs-n-tiger'!D$1:D$30,MATCH($H16,'planning dogs-n-tiger'!$G$1:$G$42,0)),0)</f>
        <v>0</v>
      </c>
      <c r="E16">
        <f t="shared" si="0"/>
        <v>2</v>
      </c>
      <c r="F16">
        <f t="shared" si="1"/>
        <v>1</v>
      </c>
      <c r="G16">
        <f t="shared" si="2"/>
        <v>2021</v>
      </c>
      <c r="H16" t="str">
        <f t="shared" si="6"/>
        <v>12021</v>
      </c>
      <c r="I16">
        <f t="shared" si="7"/>
        <v>31</v>
      </c>
      <c r="J16">
        <f t="shared" si="3"/>
        <v>0</v>
      </c>
      <c r="K16">
        <f t="shared" si="4"/>
        <v>0</v>
      </c>
      <c r="L16">
        <f t="shared" si="5"/>
        <v>0</v>
      </c>
      <c r="M16" t="str">
        <f t="shared" si="8"/>
        <v>22021</v>
      </c>
      <c r="N16" t="str">
        <f t="shared" si="9"/>
        <v>2-1-2021</v>
      </c>
    </row>
    <row r="17" spans="1:14" x14ac:dyDescent="0.2">
      <c r="A17" s="1">
        <v>44212</v>
      </c>
      <c r="B17">
        <f>IFERROR(INDEX('planning dogs-n-tiger'!B$1:B$30,MATCH($H17,'planning dogs-n-tiger'!$G$1:$G$42,0)),0)</f>
        <v>0</v>
      </c>
      <c r="C17">
        <f>IFERROR(INDEX('planning dogs-n-tiger'!C$1:C$30,MATCH($H17,'planning dogs-n-tiger'!$G$1:$G$42,0)),0)</f>
        <v>0</v>
      </c>
      <c r="D17">
        <f>IFERROR(INDEX('planning dogs-n-tiger'!D$1:D$30,MATCH($H17,'planning dogs-n-tiger'!$G$1:$G$42,0)),0)</f>
        <v>0</v>
      </c>
      <c r="E17">
        <f t="shared" si="0"/>
        <v>2</v>
      </c>
      <c r="F17">
        <f t="shared" si="1"/>
        <v>1</v>
      </c>
      <c r="G17">
        <f t="shared" si="2"/>
        <v>2021</v>
      </c>
      <c r="H17" t="str">
        <f t="shared" si="6"/>
        <v>12021</v>
      </c>
      <c r="I17">
        <f t="shared" si="7"/>
        <v>31</v>
      </c>
      <c r="J17">
        <f t="shared" si="3"/>
        <v>0</v>
      </c>
      <c r="K17">
        <f t="shared" si="4"/>
        <v>0</v>
      </c>
      <c r="L17">
        <f t="shared" si="5"/>
        <v>0</v>
      </c>
      <c r="M17" t="str">
        <f t="shared" si="8"/>
        <v>22021</v>
      </c>
      <c r="N17" t="str">
        <f t="shared" si="9"/>
        <v>2-1-2021</v>
      </c>
    </row>
    <row r="18" spans="1:14" x14ac:dyDescent="0.2">
      <c r="A18" s="1">
        <v>44213</v>
      </c>
      <c r="B18">
        <f>IFERROR(INDEX('planning dogs-n-tiger'!B$1:B$30,MATCH($H18,'planning dogs-n-tiger'!$G$1:$G$42,0)),0)</f>
        <v>0</v>
      </c>
      <c r="C18">
        <f>IFERROR(INDEX('planning dogs-n-tiger'!C$1:C$30,MATCH($H18,'planning dogs-n-tiger'!$G$1:$G$42,0)),0)</f>
        <v>0</v>
      </c>
      <c r="D18">
        <f>IFERROR(INDEX('planning dogs-n-tiger'!D$1:D$30,MATCH($H18,'planning dogs-n-tiger'!$G$1:$G$42,0)),0)</f>
        <v>0</v>
      </c>
      <c r="E18">
        <f t="shared" si="0"/>
        <v>2</v>
      </c>
      <c r="F18">
        <f t="shared" si="1"/>
        <v>1</v>
      </c>
      <c r="G18">
        <f t="shared" si="2"/>
        <v>2021</v>
      </c>
      <c r="H18" t="str">
        <f t="shared" si="6"/>
        <v>12021</v>
      </c>
      <c r="I18">
        <f t="shared" si="7"/>
        <v>31</v>
      </c>
      <c r="J18">
        <f t="shared" si="3"/>
        <v>0</v>
      </c>
      <c r="K18">
        <f t="shared" si="4"/>
        <v>0</v>
      </c>
      <c r="L18">
        <f t="shared" si="5"/>
        <v>0</v>
      </c>
      <c r="M18" t="str">
        <f t="shared" si="8"/>
        <v>22021</v>
      </c>
      <c r="N18" t="str">
        <f t="shared" si="9"/>
        <v>2-1-2021</v>
      </c>
    </row>
    <row r="19" spans="1:14" x14ac:dyDescent="0.2">
      <c r="A19" s="1">
        <v>44214</v>
      </c>
      <c r="B19">
        <f>IFERROR(INDEX('planning dogs-n-tiger'!B$1:B$30,MATCH($H19,'planning dogs-n-tiger'!$G$1:$G$42,0)),0)</f>
        <v>0</v>
      </c>
      <c r="C19">
        <f>IFERROR(INDEX('planning dogs-n-tiger'!C$1:C$30,MATCH($H19,'planning dogs-n-tiger'!$G$1:$G$42,0)),0)</f>
        <v>0</v>
      </c>
      <c r="D19">
        <f>IFERROR(INDEX('planning dogs-n-tiger'!D$1:D$30,MATCH($H19,'planning dogs-n-tiger'!$G$1:$G$42,0)),0)</f>
        <v>0</v>
      </c>
      <c r="E19">
        <f t="shared" si="0"/>
        <v>3</v>
      </c>
      <c r="F19">
        <f t="shared" si="1"/>
        <v>1</v>
      </c>
      <c r="G19">
        <f t="shared" si="2"/>
        <v>2021</v>
      </c>
      <c r="H19" t="str">
        <f t="shared" si="6"/>
        <v>12021</v>
      </c>
      <c r="I19">
        <f t="shared" si="7"/>
        <v>31</v>
      </c>
      <c r="J19">
        <f t="shared" si="3"/>
        <v>0</v>
      </c>
      <c r="K19">
        <f t="shared" si="4"/>
        <v>0</v>
      </c>
      <c r="L19">
        <f t="shared" si="5"/>
        <v>0</v>
      </c>
      <c r="M19" t="str">
        <f t="shared" si="8"/>
        <v>32021</v>
      </c>
      <c r="N19" t="str">
        <f t="shared" si="9"/>
        <v>3-1-2021</v>
      </c>
    </row>
    <row r="20" spans="1:14" x14ac:dyDescent="0.2">
      <c r="A20" s="1">
        <v>44215</v>
      </c>
      <c r="B20">
        <f>IFERROR(INDEX('planning dogs-n-tiger'!B$1:B$30,MATCH($H20,'planning dogs-n-tiger'!$G$1:$G$42,0)),0)</f>
        <v>0</v>
      </c>
      <c r="C20">
        <f>IFERROR(INDEX('planning dogs-n-tiger'!C$1:C$30,MATCH($H20,'planning dogs-n-tiger'!$G$1:$G$42,0)),0)</f>
        <v>0</v>
      </c>
      <c r="D20">
        <f>IFERROR(INDEX('planning dogs-n-tiger'!D$1:D$30,MATCH($H20,'planning dogs-n-tiger'!$G$1:$G$42,0)),0)</f>
        <v>0</v>
      </c>
      <c r="E20">
        <f t="shared" si="0"/>
        <v>3</v>
      </c>
      <c r="F20">
        <f t="shared" si="1"/>
        <v>1</v>
      </c>
      <c r="G20">
        <f t="shared" si="2"/>
        <v>2021</v>
      </c>
      <c r="H20" t="str">
        <f t="shared" si="6"/>
        <v>12021</v>
      </c>
      <c r="I20">
        <f t="shared" si="7"/>
        <v>31</v>
      </c>
      <c r="J20">
        <f t="shared" si="3"/>
        <v>0</v>
      </c>
      <c r="K20">
        <f t="shared" si="4"/>
        <v>0</v>
      </c>
      <c r="L20">
        <f t="shared" si="5"/>
        <v>0</v>
      </c>
      <c r="M20" t="str">
        <f t="shared" si="8"/>
        <v>32021</v>
      </c>
      <c r="N20" t="str">
        <f t="shared" si="9"/>
        <v>3-1-2021</v>
      </c>
    </row>
    <row r="21" spans="1:14" x14ac:dyDescent="0.2">
      <c r="A21" s="1">
        <v>44216</v>
      </c>
      <c r="B21">
        <f>IFERROR(INDEX('planning dogs-n-tiger'!B$1:B$30,MATCH($H21,'planning dogs-n-tiger'!$G$1:$G$42,0)),0)</f>
        <v>0</v>
      </c>
      <c r="C21">
        <f>IFERROR(INDEX('planning dogs-n-tiger'!C$1:C$30,MATCH($H21,'planning dogs-n-tiger'!$G$1:$G$42,0)),0)</f>
        <v>0</v>
      </c>
      <c r="D21">
        <f>IFERROR(INDEX('planning dogs-n-tiger'!D$1:D$30,MATCH($H21,'planning dogs-n-tiger'!$G$1:$G$42,0)),0)</f>
        <v>0</v>
      </c>
      <c r="E21">
        <f t="shared" si="0"/>
        <v>3</v>
      </c>
      <c r="F21">
        <f t="shared" si="1"/>
        <v>1</v>
      </c>
      <c r="G21">
        <f t="shared" si="2"/>
        <v>2021</v>
      </c>
      <c r="H21" t="str">
        <f t="shared" si="6"/>
        <v>12021</v>
      </c>
      <c r="I21">
        <f t="shared" si="7"/>
        <v>31</v>
      </c>
      <c r="J21">
        <f t="shared" si="3"/>
        <v>0</v>
      </c>
      <c r="K21">
        <f t="shared" si="4"/>
        <v>0</v>
      </c>
      <c r="L21">
        <f t="shared" si="5"/>
        <v>0</v>
      </c>
      <c r="M21" t="str">
        <f t="shared" si="8"/>
        <v>32021</v>
      </c>
      <c r="N21" t="str">
        <f t="shared" si="9"/>
        <v>3-1-2021</v>
      </c>
    </row>
    <row r="22" spans="1:14" x14ac:dyDescent="0.2">
      <c r="A22" s="1">
        <v>44217</v>
      </c>
      <c r="B22">
        <f>IFERROR(INDEX('planning dogs-n-tiger'!B$1:B$30,MATCH($H22,'planning dogs-n-tiger'!$G$1:$G$42,0)),0)</f>
        <v>0</v>
      </c>
      <c r="C22">
        <f>IFERROR(INDEX('planning dogs-n-tiger'!C$1:C$30,MATCH($H22,'planning dogs-n-tiger'!$G$1:$G$42,0)),0)</f>
        <v>0</v>
      </c>
      <c r="D22">
        <f>IFERROR(INDEX('planning dogs-n-tiger'!D$1:D$30,MATCH($H22,'planning dogs-n-tiger'!$G$1:$G$42,0)),0)</f>
        <v>0</v>
      </c>
      <c r="E22">
        <f t="shared" si="0"/>
        <v>3</v>
      </c>
      <c r="F22">
        <f t="shared" si="1"/>
        <v>1</v>
      </c>
      <c r="G22">
        <f t="shared" si="2"/>
        <v>2021</v>
      </c>
      <c r="H22" t="str">
        <f t="shared" si="6"/>
        <v>12021</v>
      </c>
      <c r="I22">
        <f t="shared" si="7"/>
        <v>31</v>
      </c>
      <c r="J22">
        <f t="shared" si="3"/>
        <v>0</v>
      </c>
      <c r="K22">
        <f t="shared" si="4"/>
        <v>0</v>
      </c>
      <c r="L22">
        <f t="shared" si="5"/>
        <v>0</v>
      </c>
      <c r="M22" t="str">
        <f t="shared" si="8"/>
        <v>32021</v>
      </c>
      <c r="N22" t="str">
        <f t="shared" si="9"/>
        <v>3-1-2021</v>
      </c>
    </row>
    <row r="23" spans="1:14" x14ac:dyDescent="0.2">
      <c r="A23" s="1">
        <v>44218</v>
      </c>
      <c r="B23">
        <f>IFERROR(INDEX('planning dogs-n-tiger'!B$1:B$30,MATCH($H23,'planning dogs-n-tiger'!$G$1:$G$42,0)),0)</f>
        <v>0</v>
      </c>
      <c r="C23">
        <f>IFERROR(INDEX('planning dogs-n-tiger'!C$1:C$30,MATCH($H23,'planning dogs-n-tiger'!$G$1:$G$42,0)),0)</f>
        <v>0</v>
      </c>
      <c r="D23">
        <f>IFERROR(INDEX('planning dogs-n-tiger'!D$1:D$30,MATCH($H23,'planning dogs-n-tiger'!$G$1:$G$42,0)),0)</f>
        <v>0</v>
      </c>
      <c r="E23">
        <f t="shared" si="0"/>
        <v>3</v>
      </c>
      <c r="F23">
        <f t="shared" si="1"/>
        <v>1</v>
      </c>
      <c r="G23">
        <f t="shared" si="2"/>
        <v>2021</v>
      </c>
      <c r="H23" t="str">
        <f t="shared" si="6"/>
        <v>12021</v>
      </c>
      <c r="I23">
        <f t="shared" si="7"/>
        <v>31</v>
      </c>
      <c r="J23">
        <f t="shared" si="3"/>
        <v>0</v>
      </c>
      <c r="K23">
        <f t="shared" si="4"/>
        <v>0</v>
      </c>
      <c r="L23">
        <f t="shared" si="5"/>
        <v>0</v>
      </c>
      <c r="M23" t="str">
        <f t="shared" si="8"/>
        <v>32021</v>
      </c>
      <c r="N23" t="str">
        <f t="shared" si="9"/>
        <v>3-1-2021</v>
      </c>
    </row>
    <row r="24" spans="1:14" x14ac:dyDescent="0.2">
      <c r="A24" s="1">
        <v>44219</v>
      </c>
      <c r="B24">
        <f>IFERROR(INDEX('planning dogs-n-tiger'!B$1:B$30,MATCH($H24,'planning dogs-n-tiger'!$G$1:$G$42,0)),0)</f>
        <v>0</v>
      </c>
      <c r="C24">
        <f>IFERROR(INDEX('planning dogs-n-tiger'!C$1:C$30,MATCH($H24,'planning dogs-n-tiger'!$G$1:$G$42,0)),0)</f>
        <v>0</v>
      </c>
      <c r="D24">
        <f>IFERROR(INDEX('planning dogs-n-tiger'!D$1:D$30,MATCH($H24,'planning dogs-n-tiger'!$G$1:$G$42,0)),0)</f>
        <v>0</v>
      </c>
      <c r="E24">
        <f t="shared" si="0"/>
        <v>3</v>
      </c>
      <c r="F24">
        <f t="shared" si="1"/>
        <v>1</v>
      </c>
      <c r="G24">
        <f t="shared" si="2"/>
        <v>2021</v>
      </c>
      <c r="H24" t="str">
        <f t="shared" si="6"/>
        <v>12021</v>
      </c>
      <c r="I24">
        <f t="shared" si="7"/>
        <v>31</v>
      </c>
      <c r="J24">
        <f t="shared" si="3"/>
        <v>0</v>
      </c>
      <c r="K24">
        <f t="shared" si="4"/>
        <v>0</v>
      </c>
      <c r="L24">
        <f t="shared" si="5"/>
        <v>0</v>
      </c>
      <c r="M24" t="str">
        <f t="shared" si="8"/>
        <v>32021</v>
      </c>
      <c r="N24" t="str">
        <f t="shared" si="9"/>
        <v>3-1-2021</v>
      </c>
    </row>
    <row r="25" spans="1:14" x14ac:dyDescent="0.2">
      <c r="A25" s="1">
        <v>44220</v>
      </c>
      <c r="B25">
        <f>IFERROR(INDEX('planning dogs-n-tiger'!B$1:B$30,MATCH($H25,'planning dogs-n-tiger'!$G$1:$G$42,0)),0)</f>
        <v>0</v>
      </c>
      <c r="C25">
        <f>IFERROR(INDEX('planning dogs-n-tiger'!C$1:C$30,MATCH($H25,'planning dogs-n-tiger'!$G$1:$G$42,0)),0)</f>
        <v>0</v>
      </c>
      <c r="D25">
        <f>IFERROR(INDEX('planning dogs-n-tiger'!D$1:D$30,MATCH($H25,'planning dogs-n-tiger'!$G$1:$G$42,0)),0)</f>
        <v>0</v>
      </c>
      <c r="E25">
        <f t="shared" si="0"/>
        <v>3</v>
      </c>
      <c r="F25">
        <f t="shared" si="1"/>
        <v>1</v>
      </c>
      <c r="G25">
        <f t="shared" si="2"/>
        <v>2021</v>
      </c>
      <c r="H25" t="str">
        <f t="shared" si="6"/>
        <v>12021</v>
      </c>
      <c r="I25">
        <f t="shared" si="7"/>
        <v>31</v>
      </c>
      <c r="J25">
        <f t="shared" si="3"/>
        <v>0</v>
      </c>
      <c r="K25">
        <f t="shared" si="4"/>
        <v>0</v>
      </c>
      <c r="L25">
        <f t="shared" si="5"/>
        <v>0</v>
      </c>
      <c r="M25" t="str">
        <f t="shared" si="8"/>
        <v>32021</v>
      </c>
      <c r="N25" t="str">
        <f t="shared" si="9"/>
        <v>3-1-2021</v>
      </c>
    </row>
    <row r="26" spans="1:14" x14ac:dyDescent="0.2">
      <c r="A26" s="1">
        <v>44221</v>
      </c>
      <c r="B26">
        <f>IFERROR(INDEX('planning dogs-n-tiger'!B$1:B$30,MATCH($H26,'planning dogs-n-tiger'!$G$1:$G$42,0)),0)</f>
        <v>0</v>
      </c>
      <c r="C26">
        <f>IFERROR(INDEX('planning dogs-n-tiger'!C$1:C$30,MATCH($H26,'planning dogs-n-tiger'!$G$1:$G$42,0)),0)</f>
        <v>0</v>
      </c>
      <c r="D26">
        <f>IFERROR(INDEX('planning dogs-n-tiger'!D$1:D$30,MATCH($H26,'planning dogs-n-tiger'!$G$1:$G$42,0)),0)</f>
        <v>0</v>
      </c>
      <c r="E26">
        <f t="shared" si="0"/>
        <v>4</v>
      </c>
      <c r="F26">
        <f t="shared" si="1"/>
        <v>1</v>
      </c>
      <c r="G26">
        <f t="shared" si="2"/>
        <v>2021</v>
      </c>
      <c r="H26" t="str">
        <f t="shared" si="6"/>
        <v>12021</v>
      </c>
      <c r="I26">
        <f t="shared" si="7"/>
        <v>31</v>
      </c>
      <c r="J26">
        <f t="shared" si="3"/>
        <v>0</v>
      </c>
      <c r="K26">
        <f t="shared" si="4"/>
        <v>0</v>
      </c>
      <c r="L26">
        <f t="shared" si="5"/>
        <v>0</v>
      </c>
      <c r="M26" t="str">
        <f t="shared" si="8"/>
        <v>42021</v>
      </c>
      <c r="N26" t="str">
        <f t="shared" si="9"/>
        <v>4-1-2021</v>
      </c>
    </row>
    <row r="27" spans="1:14" x14ac:dyDescent="0.2">
      <c r="A27" s="1">
        <v>44222</v>
      </c>
      <c r="B27">
        <f>IFERROR(INDEX('planning dogs-n-tiger'!B$1:B$30,MATCH($H27,'planning dogs-n-tiger'!$G$1:$G$42,0)),0)</f>
        <v>0</v>
      </c>
      <c r="C27">
        <f>IFERROR(INDEX('planning dogs-n-tiger'!C$1:C$30,MATCH($H27,'planning dogs-n-tiger'!$G$1:$G$42,0)),0)</f>
        <v>0</v>
      </c>
      <c r="D27">
        <f>IFERROR(INDEX('planning dogs-n-tiger'!D$1:D$30,MATCH($H27,'planning dogs-n-tiger'!$G$1:$G$42,0)),0)</f>
        <v>0</v>
      </c>
      <c r="E27">
        <f t="shared" si="0"/>
        <v>4</v>
      </c>
      <c r="F27">
        <f t="shared" si="1"/>
        <v>1</v>
      </c>
      <c r="G27">
        <f t="shared" si="2"/>
        <v>2021</v>
      </c>
      <c r="H27" t="str">
        <f t="shared" si="6"/>
        <v>12021</v>
      </c>
      <c r="I27">
        <f t="shared" si="7"/>
        <v>31</v>
      </c>
      <c r="J27">
        <f t="shared" si="3"/>
        <v>0</v>
      </c>
      <c r="K27">
        <f t="shared" si="4"/>
        <v>0</v>
      </c>
      <c r="L27">
        <f t="shared" si="5"/>
        <v>0</v>
      </c>
      <c r="M27" t="str">
        <f t="shared" si="8"/>
        <v>42021</v>
      </c>
      <c r="N27" t="str">
        <f t="shared" si="9"/>
        <v>4-1-2021</v>
      </c>
    </row>
    <row r="28" spans="1:14" x14ac:dyDescent="0.2">
      <c r="A28" s="1">
        <v>44223</v>
      </c>
      <c r="B28">
        <f>IFERROR(INDEX('planning dogs-n-tiger'!B$1:B$30,MATCH($H28,'planning dogs-n-tiger'!$G$1:$G$42,0)),0)</f>
        <v>0</v>
      </c>
      <c r="C28">
        <f>IFERROR(INDEX('planning dogs-n-tiger'!C$1:C$30,MATCH($H28,'planning dogs-n-tiger'!$G$1:$G$42,0)),0)</f>
        <v>0</v>
      </c>
      <c r="D28">
        <f>IFERROR(INDEX('planning dogs-n-tiger'!D$1:D$30,MATCH($H28,'planning dogs-n-tiger'!$G$1:$G$42,0)),0)</f>
        <v>0</v>
      </c>
      <c r="E28">
        <f t="shared" si="0"/>
        <v>4</v>
      </c>
      <c r="F28">
        <f t="shared" si="1"/>
        <v>1</v>
      </c>
      <c r="G28">
        <f t="shared" si="2"/>
        <v>2021</v>
      </c>
      <c r="H28" t="str">
        <f t="shared" si="6"/>
        <v>12021</v>
      </c>
      <c r="I28">
        <f t="shared" si="7"/>
        <v>31</v>
      </c>
      <c r="J28">
        <f t="shared" si="3"/>
        <v>0</v>
      </c>
      <c r="K28">
        <f t="shared" si="4"/>
        <v>0</v>
      </c>
      <c r="L28">
        <f t="shared" si="5"/>
        <v>0</v>
      </c>
      <c r="M28" t="str">
        <f t="shared" si="8"/>
        <v>42021</v>
      </c>
      <c r="N28" t="str">
        <f t="shared" si="9"/>
        <v>4-1-2021</v>
      </c>
    </row>
    <row r="29" spans="1:14" x14ac:dyDescent="0.2">
      <c r="A29" s="1">
        <v>44224</v>
      </c>
      <c r="B29">
        <f>IFERROR(INDEX('planning dogs-n-tiger'!B$1:B$30,MATCH($H29,'planning dogs-n-tiger'!$G$1:$G$42,0)),0)</f>
        <v>0</v>
      </c>
      <c r="C29">
        <f>IFERROR(INDEX('planning dogs-n-tiger'!C$1:C$30,MATCH($H29,'planning dogs-n-tiger'!$G$1:$G$42,0)),0)</f>
        <v>0</v>
      </c>
      <c r="D29">
        <f>IFERROR(INDEX('planning dogs-n-tiger'!D$1:D$30,MATCH($H29,'planning dogs-n-tiger'!$G$1:$G$42,0)),0)</f>
        <v>0</v>
      </c>
      <c r="E29">
        <f t="shared" si="0"/>
        <v>4</v>
      </c>
      <c r="F29">
        <f t="shared" si="1"/>
        <v>1</v>
      </c>
      <c r="G29">
        <f t="shared" si="2"/>
        <v>2021</v>
      </c>
      <c r="H29" t="str">
        <f t="shared" si="6"/>
        <v>12021</v>
      </c>
      <c r="I29">
        <f t="shared" si="7"/>
        <v>31</v>
      </c>
      <c r="J29">
        <f t="shared" si="3"/>
        <v>0</v>
      </c>
      <c r="K29">
        <f t="shared" si="4"/>
        <v>0</v>
      </c>
      <c r="L29">
        <f t="shared" si="5"/>
        <v>0</v>
      </c>
      <c r="M29" t="str">
        <f t="shared" si="8"/>
        <v>42021</v>
      </c>
      <c r="N29" t="str">
        <f t="shared" si="9"/>
        <v>4-1-2021</v>
      </c>
    </row>
    <row r="30" spans="1:14" x14ac:dyDescent="0.2">
      <c r="A30" s="1">
        <v>44225</v>
      </c>
      <c r="B30">
        <f>IFERROR(INDEX('planning dogs-n-tiger'!B$1:B$30,MATCH($H30,'planning dogs-n-tiger'!$G$1:$G$42,0)),0)</f>
        <v>0</v>
      </c>
      <c r="C30">
        <f>IFERROR(INDEX('planning dogs-n-tiger'!C$1:C$30,MATCH($H30,'planning dogs-n-tiger'!$G$1:$G$42,0)),0)</f>
        <v>0</v>
      </c>
      <c r="D30">
        <f>IFERROR(INDEX('planning dogs-n-tiger'!D$1:D$30,MATCH($H30,'planning dogs-n-tiger'!$G$1:$G$42,0)),0)</f>
        <v>0</v>
      </c>
      <c r="E30">
        <f t="shared" si="0"/>
        <v>4</v>
      </c>
      <c r="F30">
        <f t="shared" si="1"/>
        <v>1</v>
      </c>
      <c r="G30">
        <f t="shared" si="2"/>
        <v>2021</v>
      </c>
      <c r="H30" t="str">
        <f t="shared" si="6"/>
        <v>12021</v>
      </c>
      <c r="I30">
        <f t="shared" si="7"/>
        <v>31</v>
      </c>
      <c r="J30">
        <f t="shared" si="3"/>
        <v>0</v>
      </c>
      <c r="K30">
        <f t="shared" si="4"/>
        <v>0</v>
      </c>
      <c r="L30">
        <f t="shared" si="5"/>
        <v>0</v>
      </c>
      <c r="M30" t="str">
        <f t="shared" si="8"/>
        <v>42021</v>
      </c>
      <c r="N30" t="str">
        <f t="shared" si="9"/>
        <v>4-1-2021</v>
      </c>
    </row>
    <row r="31" spans="1:14" x14ac:dyDescent="0.2">
      <c r="A31" s="1">
        <v>44226</v>
      </c>
      <c r="B31">
        <f>IFERROR(INDEX('planning dogs-n-tiger'!B$1:B$30,MATCH($H31,'planning dogs-n-tiger'!$G$1:$G$42,0)),0)</f>
        <v>0</v>
      </c>
      <c r="C31">
        <f>IFERROR(INDEX('planning dogs-n-tiger'!C$1:C$30,MATCH($H31,'planning dogs-n-tiger'!$G$1:$G$42,0)),0)</f>
        <v>0</v>
      </c>
      <c r="D31">
        <f>IFERROR(INDEX('planning dogs-n-tiger'!D$1:D$30,MATCH($H31,'planning dogs-n-tiger'!$G$1:$G$42,0)),0)</f>
        <v>0</v>
      </c>
      <c r="E31">
        <f t="shared" si="0"/>
        <v>4</v>
      </c>
      <c r="F31">
        <f t="shared" si="1"/>
        <v>1</v>
      </c>
      <c r="G31">
        <f t="shared" si="2"/>
        <v>2021</v>
      </c>
      <c r="H31" t="str">
        <f t="shared" si="6"/>
        <v>12021</v>
      </c>
      <c r="I31">
        <f t="shared" si="7"/>
        <v>31</v>
      </c>
      <c r="J31">
        <f t="shared" si="3"/>
        <v>0</v>
      </c>
      <c r="K31">
        <f t="shared" si="4"/>
        <v>0</v>
      </c>
      <c r="L31">
        <f t="shared" si="5"/>
        <v>0</v>
      </c>
      <c r="M31" t="str">
        <f t="shared" si="8"/>
        <v>42021</v>
      </c>
      <c r="N31" t="str">
        <f t="shared" si="9"/>
        <v>4-1-2021</v>
      </c>
    </row>
    <row r="32" spans="1:14" x14ac:dyDescent="0.2">
      <c r="A32" s="1">
        <v>44227</v>
      </c>
      <c r="B32">
        <f>IFERROR(INDEX('planning dogs-n-tiger'!B$1:B$30,MATCH($H32,'planning dogs-n-tiger'!$G$1:$G$42,0)),0)</f>
        <v>0</v>
      </c>
      <c r="C32">
        <f>IFERROR(INDEX('planning dogs-n-tiger'!C$1:C$30,MATCH($H32,'planning dogs-n-tiger'!$G$1:$G$42,0)),0)</f>
        <v>0</v>
      </c>
      <c r="D32">
        <f>IFERROR(INDEX('planning dogs-n-tiger'!D$1:D$30,MATCH($H32,'planning dogs-n-tiger'!$G$1:$G$42,0)),0)</f>
        <v>0</v>
      </c>
      <c r="E32">
        <f t="shared" si="0"/>
        <v>4</v>
      </c>
      <c r="F32">
        <f t="shared" si="1"/>
        <v>1</v>
      </c>
      <c r="G32">
        <f t="shared" si="2"/>
        <v>2021</v>
      </c>
      <c r="H32" t="str">
        <f t="shared" si="6"/>
        <v>12021</v>
      </c>
      <c r="I32">
        <f t="shared" si="7"/>
        <v>31</v>
      </c>
      <c r="J32">
        <f t="shared" si="3"/>
        <v>0</v>
      </c>
      <c r="K32">
        <f t="shared" si="4"/>
        <v>0</v>
      </c>
      <c r="L32">
        <f t="shared" si="5"/>
        <v>0</v>
      </c>
      <c r="M32" t="str">
        <f t="shared" si="8"/>
        <v>42021</v>
      </c>
      <c r="N32" t="str">
        <f t="shared" si="9"/>
        <v>4-1-2021</v>
      </c>
    </row>
    <row r="33" spans="1:14" x14ac:dyDescent="0.2">
      <c r="A33" s="1">
        <v>44228</v>
      </c>
      <c r="B33">
        <f>IFERROR(INDEX('planning dogs-n-tiger'!B$1:B$30,MATCH($H33,'planning dogs-n-tiger'!$G$1:$G$42,0)),0)</f>
        <v>0</v>
      </c>
      <c r="C33">
        <f>IFERROR(INDEX('planning dogs-n-tiger'!C$1:C$30,MATCH($H33,'planning dogs-n-tiger'!$G$1:$G$42,0)),0)</f>
        <v>0</v>
      </c>
      <c r="D33">
        <f>IFERROR(INDEX('planning dogs-n-tiger'!D$1:D$30,MATCH($H33,'planning dogs-n-tiger'!$G$1:$G$42,0)),0)</f>
        <v>0</v>
      </c>
      <c r="E33">
        <f t="shared" si="0"/>
        <v>5</v>
      </c>
      <c r="F33">
        <f t="shared" si="1"/>
        <v>2</v>
      </c>
      <c r="G33">
        <f t="shared" si="2"/>
        <v>2021</v>
      </c>
      <c r="H33" t="str">
        <f t="shared" si="6"/>
        <v>22021</v>
      </c>
      <c r="I33">
        <f t="shared" si="7"/>
        <v>28</v>
      </c>
      <c r="J33">
        <f t="shared" si="3"/>
        <v>0</v>
      </c>
      <c r="K33">
        <f t="shared" si="4"/>
        <v>0</v>
      </c>
      <c r="L33">
        <f t="shared" si="5"/>
        <v>0</v>
      </c>
      <c r="M33" t="str">
        <f t="shared" si="8"/>
        <v>52021</v>
      </c>
      <c r="N33" t="str">
        <f t="shared" si="9"/>
        <v>5-2-2021</v>
      </c>
    </row>
    <row r="34" spans="1:14" x14ac:dyDescent="0.2">
      <c r="A34" s="1">
        <v>44229</v>
      </c>
      <c r="B34">
        <f>IFERROR(INDEX('planning dogs-n-tiger'!B$1:B$30,MATCH($H34,'planning dogs-n-tiger'!$G$1:$G$42,0)),0)</f>
        <v>0</v>
      </c>
      <c r="C34">
        <f>IFERROR(INDEX('planning dogs-n-tiger'!C$1:C$30,MATCH($H34,'planning dogs-n-tiger'!$G$1:$G$42,0)),0)</f>
        <v>0</v>
      </c>
      <c r="D34">
        <f>IFERROR(INDEX('planning dogs-n-tiger'!D$1:D$30,MATCH($H34,'planning dogs-n-tiger'!$G$1:$G$42,0)),0)</f>
        <v>0</v>
      </c>
      <c r="E34">
        <f t="shared" si="0"/>
        <v>5</v>
      </c>
      <c r="F34">
        <f t="shared" si="1"/>
        <v>2</v>
      </c>
      <c r="G34">
        <f t="shared" si="2"/>
        <v>2021</v>
      </c>
      <c r="H34" t="str">
        <f t="shared" si="6"/>
        <v>22021</v>
      </c>
      <c r="I34">
        <f t="shared" si="7"/>
        <v>28</v>
      </c>
      <c r="J34">
        <f t="shared" si="3"/>
        <v>0</v>
      </c>
      <c r="K34">
        <f t="shared" si="4"/>
        <v>0</v>
      </c>
      <c r="L34">
        <f t="shared" si="5"/>
        <v>0</v>
      </c>
      <c r="M34" t="str">
        <f t="shared" si="8"/>
        <v>52021</v>
      </c>
      <c r="N34" t="str">
        <f t="shared" si="9"/>
        <v>5-2-2021</v>
      </c>
    </row>
    <row r="35" spans="1:14" x14ac:dyDescent="0.2">
      <c r="A35" s="1">
        <v>44230</v>
      </c>
      <c r="B35">
        <f>IFERROR(INDEX('planning dogs-n-tiger'!B$1:B$30,MATCH($H35,'planning dogs-n-tiger'!$G$1:$G$42,0)),0)</f>
        <v>0</v>
      </c>
      <c r="C35">
        <f>IFERROR(INDEX('planning dogs-n-tiger'!C$1:C$30,MATCH($H35,'planning dogs-n-tiger'!$G$1:$G$42,0)),0)</f>
        <v>0</v>
      </c>
      <c r="D35">
        <f>IFERROR(INDEX('planning dogs-n-tiger'!D$1:D$30,MATCH($H35,'planning dogs-n-tiger'!$G$1:$G$42,0)),0)</f>
        <v>0</v>
      </c>
      <c r="E35">
        <f t="shared" si="0"/>
        <v>5</v>
      </c>
      <c r="F35">
        <f t="shared" si="1"/>
        <v>2</v>
      </c>
      <c r="G35">
        <f t="shared" si="2"/>
        <v>2021</v>
      </c>
      <c r="H35" t="str">
        <f t="shared" si="6"/>
        <v>22021</v>
      </c>
      <c r="I35">
        <f t="shared" si="7"/>
        <v>28</v>
      </c>
      <c r="J35">
        <f t="shared" si="3"/>
        <v>0</v>
      </c>
      <c r="K35">
        <f t="shared" si="4"/>
        <v>0</v>
      </c>
      <c r="L35">
        <f t="shared" si="5"/>
        <v>0</v>
      </c>
      <c r="M35" t="str">
        <f t="shared" si="8"/>
        <v>52021</v>
      </c>
      <c r="N35" t="str">
        <f t="shared" si="9"/>
        <v>5-2-2021</v>
      </c>
    </row>
    <row r="36" spans="1:14" x14ac:dyDescent="0.2">
      <c r="A36" s="1">
        <v>44231</v>
      </c>
      <c r="B36">
        <f>IFERROR(INDEX('planning dogs-n-tiger'!B$1:B$30,MATCH($H36,'planning dogs-n-tiger'!$G$1:$G$42,0)),0)</f>
        <v>0</v>
      </c>
      <c r="C36">
        <f>IFERROR(INDEX('planning dogs-n-tiger'!C$1:C$30,MATCH($H36,'planning dogs-n-tiger'!$G$1:$G$42,0)),0)</f>
        <v>0</v>
      </c>
      <c r="D36">
        <f>IFERROR(INDEX('planning dogs-n-tiger'!D$1:D$30,MATCH($H36,'planning dogs-n-tiger'!$G$1:$G$42,0)),0)</f>
        <v>0</v>
      </c>
      <c r="E36">
        <f t="shared" si="0"/>
        <v>5</v>
      </c>
      <c r="F36">
        <f t="shared" si="1"/>
        <v>2</v>
      </c>
      <c r="G36">
        <f t="shared" si="2"/>
        <v>2021</v>
      </c>
      <c r="H36" t="str">
        <f t="shared" si="6"/>
        <v>22021</v>
      </c>
      <c r="I36">
        <f t="shared" si="7"/>
        <v>28</v>
      </c>
      <c r="J36">
        <f t="shared" si="3"/>
        <v>0</v>
      </c>
      <c r="K36">
        <f t="shared" si="4"/>
        <v>0</v>
      </c>
      <c r="L36">
        <f t="shared" si="5"/>
        <v>0</v>
      </c>
      <c r="M36" t="str">
        <f t="shared" si="8"/>
        <v>52021</v>
      </c>
      <c r="N36" t="str">
        <f t="shared" si="9"/>
        <v>5-2-2021</v>
      </c>
    </row>
    <row r="37" spans="1:14" x14ac:dyDescent="0.2">
      <c r="A37" s="1">
        <v>44232</v>
      </c>
      <c r="B37">
        <f>IFERROR(INDEX('planning dogs-n-tiger'!B$1:B$30,MATCH($H37,'planning dogs-n-tiger'!$G$1:$G$42,0)),0)</f>
        <v>0</v>
      </c>
      <c r="C37">
        <f>IFERROR(INDEX('planning dogs-n-tiger'!C$1:C$30,MATCH($H37,'planning dogs-n-tiger'!$G$1:$G$42,0)),0)</f>
        <v>0</v>
      </c>
      <c r="D37">
        <f>IFERROR(INDEX('planning dogs-n-tiger'!D$1:D$30,MATCH($H37,'planning dogs-n-tiger'!$G$1:$G$42,0)),0)</f>
        <v>0</v>
      </c>
      <c r="E37">
        <f t="shared" si="0"/>
        <v>5</v>
      </c>
      <c r="F37">
        <f t="shared" si="1"/>
        <v>2</v>
      </c>
      <c r="G37">
        <f t="shared" si="2"/>
        <v>2021</v>
      </c>
      <c r="H37" t="str">
        <f t="shared" si="6"/>
        <v>22021</v>
      </c>
      <c r="I37">
        <f t="shared" si="7"/>
        <v>28</v>
      </c>
      <c r="J37">
        <f t="shared" si="3"/>
        <v>0</v>
      </c>
      <c r="K37">
        <f t="shared" si="4"/>
        <v>0</v>
      </c>
      <c r="L37">
        <f t="shared" si="5"/>
        <v>0</v>
      </c>
      <c r="M37" t="str">
        <f t="shared" si="8"/>
        <v>52021</v>
      </c>
      <c r="N37" t="str">
        <f t="shared" si="9"/>
        <v>5-2-2021</v>
      </c>
    </row>
    <row r="38" spans="1:14" x14ac:dyDescent="0.2">
      <c r="A38" s="1">
        <v>44233</v>
      </c>
      <c r="B38">
        <f>IFERROR(INDEX('planning dogs-n-tiger'!B$1:B$30,MATCH($H38,'planning dogs-n-tiger'!$G$1:$G$42,0)),0)</f>
        <v>0</v>
      </c>
      <c r="C38">
        <f>IFERROR(INDEX('planning dogs-n-tiger'!C$1:C$30,MATCH($H38,'planning dogs-n-tiger'!$G$1:$G$42,0)),0)</f>
        <v>0</v>
      </c>
      <c r="D38">
        <f>IFERROR(INDEX('planning dogs-n-tiger'!D$1:D$30,MATCH($H38,'planning dogs-n-tiger'!$G$1:$G$42,0)),0)</f>
        <v>0</v>
      </c>
      <c r="E38">
        <f t="shared" si="0"/>
        <v>5</v>
      </c>
      <c r="F38">
        <f t="shared" si="1"/>
        <v>2</v>
      </c>
      <c r="G38">
        <f t="shared" si="2"/>
        <v>2021</v>
      </c>
      <c r="H38" t="str">
        <f t="shared" si="6"/>
        <v>22021</v>
      </c>
      <c r="I38">
        <f t="shared" si="7"/>
        <v>28</v>
      </c>
      <c r="J38">
        <f t="shared" si="3"/>
        <v>0</v>
      </c>
      <c r="K38">
        <f t="shared" si="4"/>
        <v>0</v>
      </c>
      <c r="L38">
        <f t="shared" si="5"/>
        <v>0</v>
      </c>
      <c r="M38" t="str">
        <f t="shared" si="8"/>
        <v>52021</v>
      </c>
      <c r="N38" t="str">
        <f t="shared" si="9"/>
        <v>5-2-2021</v>
      </c>
    </row>
    <row r="39" spans="1:14" x14ac:dyDescent="0.2">
      <c r="A39" s="1">
        <v>44234</v>
      </c>
      <c r="B39">
        <f>IFERROR(INDEX('planning dogs-n-tiger'!B$1:B$30,MATCH($H39,'planning dogs-n-tiger'!$G$1:$G$42,0)),0)</f>
        <v>0</v>
      </c>
      <c r="C39">
        <f>IFERROR(INDEX('planning dogs-n-tiger'!C$1:C$30,MATCH($H39,'planning dogs-n-tiger'!$G$1:$G$42,0)),0)</f>
        <v>0</v>
      </c>
      <c r="D39">
        <f>IFERROR(INDEX('planning dogs-n-tiger'!D$1:D$30,MATCH($H39,'planning dogs-n-tiger'!$G$1:$G$42,0)),0)</f>
        <v>0</v>
      </c>
      <c r="E39">
        <f t="shared" si="0"/>
        <v>5</v>
      </c>
      <c r="F39">
        <f t="shared" si="1"/>
        <v>2</v>
      </c>
      <c r="G39">
        <f t="shared" si="2"/>
        <v>2021</v>
      </c>
      <c r="H39" t="str">
        <f t="shared" si="6"/>
        <v>22021</v>
      </c>
      <c r="I39">
        <f t="shared" si="7"/>
        <v>28</v>
      </c>
      <c r="J39">
        <f t="shared" si="3"/>
        <v>0</v>
      </c>
      <c r="K39">
        <f t="shared" si="4"/>
        <v>0</v>
      </c>
      <c r="L39">
        <f t="shared" si="5"/>
        <v>0</v>
      </c>
      <c r="M39" t="str">
        <f t="shared" si="8"/>
        <v>52021</v>
      </c>
      <c r="N39" t="str">
        <f t="shared" si="9"/>
        <v>5-2-2021</v>
      </c>
    </row>
    <row r="40" spans="1:14" x14ac:dyDescent="0.2">
      <c r="A40" s="1">
        <v>44235</v>
      </c>
      <c r="B40">
        <f>IFERROR(INDEX('planning dogs-n-tiger'!B$1:B$30,MATCH($H40,'planning dogs-n-tiger'!$G$1:$G$42,0)),0)</f>
        <v>0</v>
      </c>
      <c r="C40">
        <f>IFERROR(INDEX('planning dogs-n-tiger'!C$1:C$30,MATCH($H40,'planning dogs-n-tiger'!$G$1:$G$42,0)),0)</f>
        <v>0</v>
      </c>
      <c r="D40">
        <f>IFERROR(INDEX('planning dogs-n-tiger'!D$1:D$30,MATCH($H40,'planning dogs-n-tiger'!$G$1:$G$42,0)),0)</f>
        <v>0</v>
      </c>
      <c r="E40">
        <f t="shared" si="0"/>
        <v>6</v>
      </c>
      <c r="F40">
        <f t="shared" si="1"/>
        <v>2</v>
      </c>
      <c r="G40">
        <f t="shared" si="2"/>
        <v>2021</v>
      </c>
      <c r="H40" t="str">
        <f t="shared" si="6"/>
        <v>22021</v>
      </c>
      <c r="I40">
        <f t="shared" si="7"/>
        <v>28</v>
      </c>
      <c r="J40">
        <f t="shared" si="3"/>
        <v>0</v>
      </c>
      <c r="K40">
        <f t="shared" si="4"/>
        <v>0</v>
      </c>
      <c r="L40">
        <f t="shared" si="5"/>
        <v>0</v>
      </c>
      <c r="M40" t="str">
        <f t="shared" si="8"/>
        <v>62021</v>
      </c>
      <c r="N40" t="str">
        <f t="shared" si="9"/>
        <v>6-2-2021</v>
      </c>
    </row>
    <row r="41" spans="1:14" x14ac:dyDescent="0.2">
      <c r="A41" s="1">
        <v>44236</v>
      </c>
      <c r="B41">
        <f>IFERROR(INDEX('planning dogs-n-tiger'!B$1:B$30,MATCH($H41,'planning dogs-n-tiger'!$G$1:$G$42,0)),0)</f>
        <v>0</v>
      </c>
      <c r="C41">
        <f>IFERROR(INDEX('planning dogs-n-tiger'!C$1:C$30,MATCH($H41,'planning dogs-n-tiger'!$G$1:$G$42,0)),0)</f>
        <v>0</v>
      </c>
      <c r="D41">
        <f>IFERROR(INDEX('planning dogs-n-tiger'!D$1:D$30,MATCH($H41,'planning dogs-n-tiger'!$G$1:$G$42,0)),0)</f>
        <v>0</v>
      </c>
      <c r="E41">
        <f t="shared" si="0"/>
        <v>6</v>
      </c>
      <c r="F41">
        <f t="shared" si="1"/>
        <v>2</v>
      </c>
      <c r="G41">
        <f t="shared" si="2"/>
        <v>2021</v>
      </c>
      <c r="H41" t="str">
        <f t="shared" si="6"/>
        <v>22021</v>
      </c>
      <c r="I41">
        <f t="shared" si="7"/>
        <v>28</v>
      </c>
      <c r="J41">
        <f t="shared" si="3"/>
        <v>0</v>
      </c>
      <c r="K41">
        <f t="shared" si="4"/>
        <v>0</v>
      </c>
      <c r="L41">
        <f t="shared" si="5"/>
        <v>0</v>
      </c>
      <c r="M41" t="str">
        <f t="shared" si="8"/>
        <v>62021</v>
      </c>
      <c r="N41" t="str">
        <f t="shared" si="9"/>
        <v>6-2-2021</v>
      </c>
    </row>
    <row r="42" spans="1:14" x14ac:dyDescent="0.2">
      <c r="A42" s="1">
        <v>44237</v>
      </c>
      <c r="B42">
        <f>IFERROR(INDEX('planning dogs-n-tiger'!B$1:B$30,MATCH($H42,'planning dogs-n-tiger'!$G$1:$G$42,0)),0)</f>
        <v>0</v>
      </c>
      <c r="C42">
        <f>IFERROR(INDEX('planning dogs-n-tiger'!C$1:C$30,MATCH($H42,'planning dogs-n-tiger'!$G$1:$G$42,0)),0)</f>
        <v>0</v>
      </c>
      <c r="D42">
        <f>IFERROR(INDEX('planning dogs-n-tiger'!D$1:D$30,MATCH($H42,'planning dogs-n-tiger'!$G$1:$G$42,0)),0)</f>
        <v>0</v>
      </c>
      <c r="E42">
        <f t="shared" si="0"/>
        <v>6</v>
      </c>
      <c r="F42">
        <f t="shared" si="1"/>
        <v>2</v>
      </c>
      <c r="G42">
        <f t="shared" si="2"/>
        <v>2021</v>
      </c>
      <c r="H42" t="str">
        <f t="shared" si="6"/>
        <v>22021</v>
      </c>
      <c r="I42">
        <f t="shared" si="7"/>
        <v>28</v>
      </c>
      <c r="J42">
        <f t="shared" si="3"/>
        <v>0</v>
      </c>
      <c r="K42">
        <f t="shared" si="4"/>
        <v>0</v>
      </c>
      <c r="L42">
        <f t="shared" si="5"/>
        <v>0</v>
      </c>
      <c r="M42" t="str">
        <f t="shared" si="8"/>
        <v>62021</v>
      </c>
      <c r="N42" t="str">
        <f t="shared" si="9"/>
        <v>6-2-2021</v>
      </c>
    </row>
    <row r="43" spans="1:14" x14ac:dyDescent="0.2">
      <c r="A43" s="1">
        <v>44238</v>
      </c>
      <c r="B43">
        <f>IFERROR(INDEX('planning dogs-n-tiger'!B$1:B$30,MATCH($H43,'planning dogs-n-tiger'!$G$1:$G$42,0)),0)</f>
        <v>0</v>
      </c>
      <c r="C43">
        <f>IFERROR(INDEX('planning dogs-n-tiger'!C$1:C$30,MATCH($H43,'planning dogs-n-tiger'!$G$1:$G$42,0)),0)</f>
        <v>0</v>
      </c>
      <c r="D43">
        <f>IFERROR(INDEX('planning dogs-n-tiger'!D$1:D$30,MATCH($H43,'planning dogs-n-tiger'!$G$1:$G$42,0)),0)</f>
        <v>0</v>
      </c>
      <c r="E43">
        <f t="shared" si="0"/>
        <v>6</v>
      </c>
      <c r="F43">
        <f t="shared" si="1"/>
        <v>2</v>
      </c>
      <c r="G43">
        <f t="shared" si="2"/>
        <v>2021</v>
      </c>
      <c r="H43" t="str">
        <f t="shared" si="6"/>
        <v>22021</v>
      </c>
      <c r="I43">
        <f t="shared" si="7"/>
        <v>28</v>
      </c>
      <c r="J43">
        <f t="shared" si="3"/>
        <v>0</v>
      </c>
      <c r="K43">
        <f t="shared" si="4"/>
        <v>0</v>
      </c>
      <c r="L43">
        <f t="shared" si="5"/>
        <v>0</v>
      </c>
      <c r="M43" t="str">
        <f t="shared" si="8"/>
        <v>62021</v>
      </c>
      <c r="N43" t="str">
        <f t="shared" si="9"/>
        <v>6-2-2021</v>
      </c>
    </row>
    <row r="44" spans="1:14" x14ac:dyDescent="0.2">
      <c r="A44" s="1">
        <v>44239</v>
      </c>
      <c r="B44">
        <f>IFERROR(INDEX('planning dogs-n-tiger'!B$1:B$30,MATCH($H44,'planning dogs-n-tiger'!$G$1:$G$42,0)),0)</f>
        <v>0</v>
      </c>
      <c r="C44">
        <f>IFERROR(INDEX('planning dogs-n-tiger'!C$1:C$30,MATCH($H44,'planning dogs-n-tiger'!$G$1:$G$42,0)),0)</f>
        <v>0</v>
      </c>
      <c r="D44">
        <f>IFERROR(INDEX('planning dogs-n-tiger'!D$1:D$30,MATCH($H44,'planning dogs-n-tiger'!$G$1:$G$42,0)),0)</f>
        <v>0</v>
      </c>
      <c r="E44">
        <f t="shared" si="0"/>
        <v>6</v>
      </c>
      <c r="F44">
        <f t="shared" si="1"/>
        <v>2</v>
      </c>
      <c r="G44">
        <f t="shared" si="2"/>
        <v>2021</v>
      </c>
      <c r="H44" t="str">
        <f t="shared" si="6"/>
        <v>22021</v>
      </c>
      <c r="I44">
        <f t="shared" si="7"/>
        <v>28</v>
      </c>
      <c r="J44">
        <f t="shared" si="3"/>
        <v>0</v>
      </c>
      <c r="K44">
        <f t="shared" si="4"/>
        <v>0</v>
      </c>
      <c r="L44">
        <f t="shared" si="5"/>
        <v>0</v>
      </c>
      <c r="M44" t="str">
        <f t="shared" si="8"/>
        <v>62021</v>
      </c>
      <c r="N44" t="str">
        <f t="shared" si="9"/>
        <v>6-2-2021</v>
      </c>
    </row>
    <row r="45" spans="1:14" x14ac:dyDescent="0.2">
      <c r="A45" s="1">
        <v>44240</v>
      </c>
      <c r="B45">
        <f>IFERROR(INDEX('planning dogs-n-tiger'!B$1:B$30,MATCH($H45,'planning dogs-n-tiger'!$G$1:$G$42,0)),0)</f>
        <v>0</v>
      </c>
      <c r="C45">
        <f>IFERROR(INDEX('planning dogs-n-tiger'!C$1:C$30,MATCH($H45,'planning dogs-n-tiger'!$G$1:$G$42,0)),0)</f>
        <v>0</v>
      </c>
      <c r="D45">
        <f>IFERROR(INDEX('planning dogs-n-tiger'!D$1:D$30,MATCH($H45,'planning dogs-n-tiger'!$G$1:$G$42,0)),0)</f>
        <v>0</v>
      </c>
      <c r="E45">
        <f t="shared" si="0"/>
        <v>6</v>
      </c>
      <c r="F45">
        <f t="shared" si="1"/>
        <v>2</v>
      </c>
      <c r="G45">
        <f t="shared" si="2"/>
        <v>2021</v>
      </c>
      <c r="H45" t="str">
        <f t="shared" si="6"/>
        <v>22021</v>
      </c>
      <c r="I45">
        <f t="shared" si="7"/>
        <v>28</v>
      </c>
      <c r="J45">
        <f t="shared" si="3"/>
        <v>0</v>
      </c>
      <c r="K45">
        <f t="shared" si="4"/>
        <v>0</v>
      </c>
      <c r="L45">
        <f t="shared" si="5"/>
        <v>0</v>
      </c>
      <c r="M45" t="str">
        <f t="shared" si="8"/>
        <v>62021</v>
      </c>
      <c r="N45" t="str">
        <f t="shared" si="9"/>
        <v>6-2-2021</v>
      </c>
    </row>
    <row r="46" spans="1:14" x14ac:dyDescent="0.2">
      <c r="A46" s="1">
        <v>44241</v>
      </c>
      <c r="B46">
        <f>IFERROR(INDEX('planning dogs-n-tiger'!B$1:B$30,MATCH($H46,'planning dogs-n-tiger'!$G$1:$G$42,0)),0)</f>
        <v>0</v>
      </c>
      <c r="C46">
        <f>IFERROR(INDEX('planning dogs-n-tiger'!C$1:C$30,MATCH($H46,'planning dogs-n-tiger'!$G$1:$G$42,0)),0)</f>
        <v>0</v>
      </c>
      <c r="D46">
        <f>IFERROR(INDEX('planning dogs-n-tiger'!D$1:D$30,MATCH($H46,'planning dogs-n-tiger'!$G$1:$G$42,0)),0)</f>
        <v>0</v>
      </c>
      <c r="E46">
        <f t="shared" si="0"/>
        <v>6</v>
      </c>
      <c r="F46">
        <f t="shared" si="1"/>
        <v>2</v>
      </c>
      <c r="G46">
        <f t="shared" si="2"/>
        <v>2021</v>
      </c>
      <c r="H46" t="str">
        <f t="shared" si="6"/>
        <v>22021</v>
      </c>
      <c r="I46">
        <f t="shared" si="7"/>
        <v>28</v>
      </c>
      <c r="J46">
        <f t="shared" si="3"/>
        <v>0</v>
      </c>
      <c r="K46">
        <f t="shared" si="4"/>
        <v>0</v>
      </c>
      <c r="L46">
        <f t="shared" si="5"/>
        <v>0</v>
      </c>
      <c r="M46" t="str">
        <f t="shared" si="8"/>
        <v>62021</v>
      </c>
      <c r="N46" t="str">
        <f t="shared" si="9"/>
        <v>6-2-2021</v>
      </c>
    </row>
    <row r="47" spans="1:14" x14ac:dyDescent="0.2">
      <c r="A47" s="1">
        <v>44242</v>
      </c>
      <c r="B47">
        <f>IFERROR(INDEX('planning dogs-n-tiger'!B$1:B$30,MATCH($H47,'planning dogs-n-tiger'!$G$1:$G$42,0)),0)</f>
        <v>0</v>
      </c>
      <c r="C47">
        <f>IFERROR(INDEX('planning dogs-n-tiger'!C$1:C$30,MATCH($H47,'planning dogs-n-tiger'!$G$1:$G$42,0)),0)</f>
        <v>0</v>
      </c>
      <c r="D47">
        <f>IFERROR(INDEX('planning dogs-n-tiger'!D$1:D$30,MATCH($H47,'planning dogs-n-tiger'!$G$1:$G$42,0)),0)</f>
        <v>0</v>
      </c>
      <c r="E47">
        <f t="shared" si="0"/>
        <v>7</v>
      </c>
      <c r="F47">
        <f t="shared" si="1"/>
        <v>2</v>
      </c>
      <c r="G47">
        <f t="shared" si="2"/>
        <v>2021</v>
      </c>
      <c r="H47" t="str">
        <f t="shared" si="6"/>
        <v>22021</v>
      </c>
      <c r="I47">
        <f t="shared" si="7"/>
        <v>28</v>
      </c>
      <c r="J47">
        <f t="shared" si="3"/>
        <v>0</v>
      </c>
      <c r="K47">
        <f t="shared" si="4"/>
        <v>0</v>
      </c>
      <c r="L47">
        <f t="shared" si="5"/>
        <v>0</v>
      </c>
      <c r="M47" t="str">
        <f t="shared" si="8"/>
        <v>72021</v>
      </c>
      <c r="N47" t="str">
        <f t="shared" si="9"/>
        <v>7-2-2021</v>
      </c>
    </row>
    <row r="48" spans="1:14" x14ac:dyDescent="0.2">
      <c r="A48" s="1">
        <v>44243</v>
      </c>
      <c r="B48">
        <f>IFERROR(INDEX('planning dogs-n-tiger'!B$1:B$30,MATCH($H48,'planning dogs-n-tiger'!$G$1:$G$42,0)),0)</f>
        <v>0</v>
      </c>
      <c r="C48">
        <f>IFERROR(INDEX('planning dogs-n-tiger'!C$1:C$30,MATCH($H48,'planning dogs-n-tiger'!$G$1:$G$42,0)),0)</f>
        <v>0</v>
      </c>
      <c r="D48">
        <f>IFERROR(INDEX('planning dogs-n-tiger'!D$1:D$30,MATCH($H48,'planning dogs-n-tiger'!$G$1:$G$42,0)),0)</f>
        <v>0</v>
      </c>
      <c r="E48">
        <f t="shared" si="0"/>
        <v>7</v>
      </c>
      <c r="F48">
        <f t="shared" si="1"/>
        <v>2</v>
      </c>
      <c r="G48">
        <f t="shared" si="2"/>
        <v>2021</v>
      </c>
      <c r="H48" t="str">
        <f t="shared" si="6"/>
        <v>22021</v>
      </c>
      <c r="I48">
        <f t="shared" si="7"/>
        <v>28</v>
      </c>
      <c r="J48">
        <f t="shared" si="3"/>
        <v>0</v>
      </c>
      <c r="K48">
        <f t="shared" si="4"/>
        <v>0</v>
      </c>
      <c r="L48">
        <f t="shared" si="5"/>
        <v>0</v>
      </c>
      <c r="M48" t="str">
        <f t="shared" si="8"/>
        <v>72021</v>
      </c>
      <c r="N48" t="str">
        <f t="shared" si="9"/>
        <v>7-2-2021</v>
      </c>
    </row>
    <row r="49" spans="1:14" x14ac:dyDescent="0.2">
      <c r="A49" s="1">
        <v>44244</v>
      </c>
      <c r="B49">
        <f>IFERROR(INDEX('planning dogs-n-tiger'!B$1:B$30,MATCH($H49,'planning dogs-n-tiger'!$G$1:$G$42,0)),0)</f>
        <v>0</v>
      </c>
      <c r="C49">
        <f>IFERROR(INDEX('planning dogs-n-tiger'!C$1:C$30,MATCH($H49,'planning dogs-n-tiger'!$G$1:$G$42,0)),0)</f>
        <v>0</v>
      </c>
      <c r="D49">
        <f>IFERROR(INDEX('planning dogs-n-tiger'!D$1:D$30,MATCH($H49,'planning dogs-n-tiger'!$G$1:$G$42,0)),0)</f>
        <v>0</v>
      </c>
      <c r="E49">
        <f t="shared" si="0"/>
        <v>7</v>
      </c>
      <c r="F49">
        <f t="shared" si="1"/>
        <v>2</v>
      </c>
      <c r="G49">
        <f t="shared" si="2"/>
        <v>2021</v>
      </c>
      <c r="H49" t="str">
        <f t="shared" si="6"/>
        <v>22021</v>
      </c>
      <c r="I49">
        <f t="shared" si="7"/>
        <v>28</v>
      </c>
      <c r="J49">
        <f t="shared" si="3"/>
        <v>0</v>
      </c>
      <c r="K49">
        <f t="shared" si="4"/>
        <v>0</v>
      </c>
      <c r="L49">
        <f t="shared" si="5"/>
        <v>0</v>
      </c>
      <c r="M49" t="str">
        <f t="shared" si="8"/>
        <v>72021</v>
      </c>
      <c r="N49" t="str">
        <f t="shared" si="9"/>
        <v>7-2-2021</v>
      </c>
    </row>
    <row r="50" spans="1:14" x14ac:dyDescent="0.2">
      <c r="A50" s="1">
        <v>44245</v>
      </c>
      <c r="B50">
        <f>IFERROR(INDEX('planning dogs-n-tiger'!B$1:B$30,MATCH($H50,'planning dogs-n-tiger'!$G$1:$G$42,0)),0)</f>
        <v>0</v>
      </c>
      <c r="C50">
        <f>IFERROR(INDEX('planning dogs-n-tiger'!C$1:C$30,MATCH($H50,'planning dogs-n-tiger'!$G$1:$G$42,0)),0)</f>
        <v>0</v>
      </c>
      <c r="D50">
        <f>IFERROR(INDEX('planning dogs-n-tiger'!D$1:D$30,MATCH($H50,'planning dogs-n-tiger'!$G$1:$G$42,0)),0)</f>
        <v>0</v>
      </c>
      <c r="E50">
        <f t="shared" si="0"/>
        <v>7</v>
      </c>
      <c r="F50">
        <f t="shared" si="1"/>
        <v>2</v>
      </c>
      <c r="G50">
        <f t="shared" si="2"/>
        <v>2021</v>
      </c>
      <c r="H50" t="str">
        <f t="shared" si="6"/>
        <v>22021</v>
      </c>
      <c r="I50">
        <f t="shared" si="7"/>
        <v>28</v>
      </c>
      <c r="J50">
        <f t="shared" si="3"/>
        <v>0</v>
      </c>
      <c r="K50">
        <f t="shared" si="4"/>
        <v>0</v>
      </c>
      <c r="L50">
        <f t="shared" si="5"/>
        <v>0</v>
      </c>
      <c r="M50" t="str">
        <f t="shared" si="8"/>
        <v>72021</v>
      </c>
      <c r="N50" t="str">
        <f t="shared" si="9"/>
        <v>7-2-2021</v>
      </c>
    </row>
    <row r="51" spans="1:14" x14ac:dyDescent="0.2">
      <c r="A51" s="1">
        <v>44246</v>
      </c>
      <c r="B51">
        <f>IFERROR(INDEX('planning dogs-n-tiger'!B$1:B$30,MATCH($H51,'planning dogs-n-tiger'!$G$1:$G$42,0)),0)</f>
        <v>0</v>
      </c>
      <c r="C51">
        <f>IFERROR(INDEX('planning dogs-n-tiger'!C$1:C$30,MATCH($H51,'planning dogs-n-tiger'!$G$1:$G$42,0)),0)</f>
        <v>0</v>
      </c>
      <c r="D51">
        <f>IFERROR(INDEX('planning dogs-n-tiger'!D$1:D$30,MATCH($H51,'planning dogs-n-tiger'!$G$1:$G$42,0)),0)</f>
        <v>0</v>
      </c>
      <c r="E51">
        <f t="shared" si="0"/>
        <v>7</v>
      </c>
      <c r="F51">
        <f t="shared" si="1"/>
        <v>2</v>
      </c>
      <c r="G51">
        <f t="shared" si="2"/>
        <v>2021</v>
      </c>
      <c r="H51" t="str">
        <f t="shared" si="6"/>
        <v>22021</v>
      </c>
      <c r="I51">
        <f t="shared" si="7"/>
        <v>28</v>
      </c>
      <c r="J51">
        <f t="shared" si="3"/>
        <v>0</v>
      </c>
      <c r="K51">
        <f t="shared" si="4"/>
        <v>0</v>
      </c>
      <c r="L51">
        <f t="shared" si="5"/>
        <v>0</v>
      </c>
      <c r="M51" t="str">
        <f t="shared" si="8"/>
        <v>72021</v>
      </c>
      <c r="N51" t="str">
        <f t="shared" si="9"/>
        <v>7-2-2021</v>
      </c>
    </row>
    <row r="52" spans="1:14" x14ac:dyDescent="0.2">
      <c r="A52" s="1">
        <v>44247</v>
      </c>
      <c r="B52">
        <f>IFERROR(INDEX('planning dogs-n-tiger'!B$1:B$30,MATCH($H52,'planning dogs-n-tiger'!$G$1:$G$42,0)),0)</f>
        <v>0</v>
      </c>
      <c r="C52">
        <f>IFERROR(INDEX('planning dogs-n-tiger'!C$1:C$30,MATCH($H52,'planning dogs-n-tiger'!$G$1:$G$42,0)),0)</f>
        <v>0</v>
      </c>
      <c r="D52">
        <f>IFERROR(INDEX('planning dogs-n-tiger'!D$1:D$30,MATCH($H52,'planning dogs-n-tiger'!$G$1:$G$42,0)),0)</f>
        <v>0</v>
      </c>
      <c r="E52">
        <f t="shared" si="0"/>
        <v>7</v>
      </c>
      <c r="F52">
        <f t="shared" si="1"/>
        <v>2</v>
      </c>
      <c r="G52">
        <f t="shared" si="2"/>
        <v>2021</v>
      </c>
      <c r="H52" t="str">
        <f t="shared" si="6"/>
        <v>22021</v>
      </c>
      <c r="I52">
        <f t="shared" si="7"/>
        <v>28</v>
      </c>
      <c r="J52">
        <f t="shared" si="3"/>
        <v>0</v>
      </c>
      <c r="K52">
        <f t="shared" si="4"/>
        <v>0</v>
      </c>
      <c r="L52">
        <f t="shared" si="5"/>
        <v>0</v>
      </c>
      <c r="M52" t="str">
        <f t="shared" si="8"/>
        <v>72021</v>
      </c>
      <c r="N52" t="str">
        <f t="shared" si="9"/>
        <v>7-2-2021</v>
      </c>
    </row>
    <row r="53" spans="1:14" x14ac:dyDescent="0.2">
      <c r="A53" s="1">
        <v>44248</v>
      </c>
      <c r="B53">
        <f>IFERROR(INDEX('planning dogs-n-tiger'!B$1:B$30,MATCH($H53,'planning dogs-n-tiger'!$G$1:$G$42,0)),0)</f>
        <v>0</v>
      </c>
      <c r="C53">
        <f>IFERROR(INDEX('planning dogs-n-tiger'!C$1:C$30,MATCH($H53,'planning dogs-n-tiger'!$G$1:$G$42,0)),0)</f>
        <v>0</v>
      </c>
      <c r="D53">
        <f>IFERROR(INDEX('planning dogs-n-tiger'!D$1:D$30,MATCH($H53,'planning dogs-n-tiger'!$G$1:$G$42,0)),0)</f>
        <v>0</v>
      </c>
      <c r="E53">
        <f t="shared" si="0"/>
        <v>7</v>
      </c>
      <c r="F53">
        <f t="shared" si="1"/>
        <v>2</v>
      </c>
      <c r="G53">
        <f t="shared" si="2"/>
        <v>2021</v>
      </c>
      <c r="H53" t="str">
        <f t="shared" si="6"/>
        <v>22021</v>
      </c>
      <c r="I53">
        <f t="shared" si="7"/>
        <v>28</v>
      </c>
      <c r="J53">
        <f t="shared" si="3"/>
        <v>0</v>
      </c>
      <c r="K53">
        <f t="shared" si="4"/>
        <v>0</v>
      </c>
      <c r="L53">
        <f t="shared" si="5"/>
        <v>0</v>
      </c>
      <c r="M53" t="str">
        <f t="shared" si="8"/>
        <v>72021</v>
      </c>
      <c r="N53" t="str">
        <f t="shared" si="9"/>
        <v>7-2-2021</v>
      </c>
    </row>
    <row r="54" spans="1:14" x14ac:dyDescent="0.2">
      <c r="A54" s="1">
        <v>44249</v>
      </c>
      <c r="B54">
        <f>IFERROR(INDEX('planning dogs-n-tiger'!B$1:B$30,MATCH($H54,'planning dogs-n-tiger'!$G$1:$G$42,0)),0)</f>
        <v>0</v>
      </c>
      <c r="C54">
        <f>IFERROR(INDEX('planning dogs-n-tiger'!C$1:C$30,MATCH($H54,'planning dogs-n-tiger'!$G$1:$G$42,0)),0)</f>
        <v>0</v>
      </c>
      <c r="D54">
        <f>IFERROR(INDEX('planning dogs-n-tiger'!D$1:D$30,MATCH($H54,'planning dogs-n-tiger'!$G$1:$G$42,0)),0)</f>
        <v>0</v>
      </c>
      <c r="E54">
        <f t="shared" si="0"/>
        <v>8</v>
      </c>
      <c r="F54">
        <f t="shared" si="1"/>
        <v>2</v>
      </c>
      <c r="G54">
        <f t="shared" si="2"/>
        <v>2021</v>
      </c>
      <c r="H54" t="str">
        <f t="shared" si="6"/>
        <v>22021</v>
      </c>
      <c r="I54">
        <f t="shared" si="7"/>
        <v>28</v>
      </c>
      <c r="J54">
        <f t="shared" si="3"/>
        <v>0</v>
      </c>
      <c r="K54">
        <f t="shared" si="4"/>
        <v>0</v>
      </c>
      <c r="L54">
        <f t="shared" si="5"/>
        <v>0</v>
      </c>
      <c r="M54" t="str">
        <f t="shared" si="8"/>
        <v>82021</v>
      </c>
      <c r="N54" t="str">
        <f t="shared" si="9"/>
        <v>8-2-2021</v>
      </c>
    </row>
    <row r="55" spans="1:14" x14ac:dyDescent="0.2">
      <c r="A55" s="1">
        <v>44250</v>
      </c>
      <c r="B55">
        <f>IFERROR(INDEX('planning dogs-n-tiger'!B$1:B$30,MATCH($H55,'planning dogs-n-tiger'!$G$1:$G$42,0)),0)</f>
        <v>0</v>
      </c>
      <c r="C55">
        <f>IFERROR(INDEX('planning dogs-n-tiger'!C$1:C$30,MATCH($H55,'planning dogs-n-tiger'!$G$1:$G$42,0)),0)</f>
        <v>0</v>
      </c>
      <c r="D55">
        <f>IFERROR(INDEX('planning dogs-n-tiger'!D$1:D$30,MATCH($H55,'planning dogs-n-tiger'!$G$1:$G$42,0)),0)</f>
        <v>0</v>
      </c>
      <c r="E55">
        <f t="shared" si="0"/>
        <v>8</v>
      </c>
      <c r="F55">
        <f t="shared" si="1"/>
        <v>2</v>
      </c>
      <c r="G55">
        <f t="shared" si="2"/>
        <v>2021</v>
      </c>
      <c r="H55" t="str">
        <f t="shared" si="6"/>
        <v>22021</v>
      </c>
      <c r="I55">
        <f t="shared" si="7"/>
        <v>28</v>
      </c>
      <c r="J55">
        <f t="shared" si="3"/>
        <v>0</v>
      </c>
      <c r="K55">
        <f t="shared" si="4"/>
        <v>0</v>
      </c>
      <c r="L55">
        <f t="shared" si="5"/>
        <v>0</v>
      </c>
      <c r="M55" t="str">
        <f t="shared" si="8"/>
        <v>82021</v>
      </c>
      <c r="N55" t="str">
        <f t="shared" si="9"/>
        <v>8-2-2021</v>
      </c>
    </row>
    <row r="56" spans="1:14" x14ac:dyDescent="0.2">
      <c r="A56" s="1">
        <v>44251</v>
      </c>
      <c r="B56">
        <f>IFERROR(INDEX('planning dogs-n-tiger'!B$1:B$30,MATCH($H56,'planning dogs-n-tiger'!$G$1:$G$42,0)),0)</f>
        <v>0</v>
      </c>
      <c r="C56">
        <f>IFERROR(INDEX('planning dogs-n-tiger'!C$1:C$30,MATCH($H56,'planning dogs-n-tiger'!$G$1:$G$42,0)),0)</f>
        <v>0</v>
      </c>
      <c r="D56">
        <f>IFERROR(INDEX('planning dogs-n-tiger'!D$1:D$30,MATCH($H56,'planning dogs-n-tiger'!$G$1:$G$42,0)),0)</f>
        <v>0</v>
      </c>
      <c r="E56">
        <f t="shared" si="0"/>
        <v>8</v>
      </c>
      <c r="F56">
        <f t="shared" si="1"/>
        <v>2</v>
      </c>
      <c r="G56">
        <f t="shared" si="2"/>
        <v>2021</v>
      </c>
      <c r="H56" t="str">
        <f t="shared" si="6"/>
        <v>22021</v>
      </c>
      <c r="I56">
        <f t="shared" si="7"/>
        <v>28</v>
      </c>
      <c r="J56">
        <f t="shared" si="3"/>
        <v>0</v>
      </c>
      <c r="K56">
        <f t="shared" si="4"/>
        <v>0</v>
      </c>
      <c r="L56">
        <f t="shared" si="5"/>
        <v>0</v>
      </c>
      <c r="M56" t="str">
        <f t="shared" si="8"/>
        <v>82021</v>
      </c>
      <c r="N56" t="str">
        <f t="shared" si="9"/>
        <v>8-2-2021</v>
      </c>
    </row>
    <row r="57" spans="1:14" x14ac:dyDescent="0.2">
      <c r="A57" s="1">
        <v>44252</v>
      </c>
      <c r="B57">
        <f>IFERROR(INDEX('planning dogs-n-tiger'!B$1:B$30,MATCH($H57,'planning dogs-n-tiger'!$G$1:$G$42,0)),0)</f>
        <v>0</v>
      </c>
      <c r="C57">
        <f>IFERROR(INDEX('planning dogs-n-tiger'!C$1:C$30,MATCH($H57,'planning dogs-n-tiger'!$G$1:$G$42,0)),0)</f>
        <v>0</v>
      </c>
      <c r="D57">
        <f>IFERROR(INDEX('planning dogs-n-tiger'!D$1:D$30,MATCH($H57,'planning dogs-n-tiger'!$G$1:$G$42,0)),0)</f>
        <v>0</v>
      </c>
      <c r="E57">
        <f t="shared" si="0"/>
        <v>8</v>
      </c>
      <c r="F57">
        <f t="shared" si="1"/>
        <v>2</v>
      </c>
      <c r="G57">
        <f t="shared" si="2"/>
        <v>2021</v>
      </c>
      <c r="H57" t="str">
        <f t="shared" si="6"/>
        <v>22021</v>
      </c>
      <c r="I57">
        <f t="shared" si="7"/>
        <v>28</v>
      </c>
      <c r="J57">
        <f t="shared" si="3"/>
        <v>0</v>
      </c>
      <c r="K57">
        <f t="shared" si="4"/>
        <v>0</v>
      </c>
      <c r="L57">
        <f t="shared" si="5"/>
        <v>0</v>
      </c>
      <c r="M57" t="str">
        <f t="shared" si="8"/>
        <v>82021</v>
      </c>
      <c r="N57" t="str">
        <f t="shared" si="9"/>
        <v>8-2-2021</v>
      </c>
    </row>
    <row r="58" spans="1:14" x14ac:dyDescent="0.2">
      <c r="A58" s="1">
        <v>44253</v>
      </c>
      <c r="B58">
        <f>IFERROR(INDEX('planning dogs-n-tiger'!B$1:B$30,MATCH($H58,'planning dogs-n-tiger'!$G$1:$G$42,0)),0)</f>
        <v>0</v>
      </c>
      <c r="C58">
        <f>IFERROR(INDEX('planning dogs-n-tiger'!C$1:C$30,MATCH($H58,'planning dogs-n-tiger'!$G$1:$G$42,0)),0)</f>
        <v>0</v>
      </c>
      <c r="D58">
        <f>IFERROR(INDEX('planning dogs-n-tiger'!D$1:D$30,MATCH($H58,'planning dogs-n-tiger'!$G$1:$G$42,0)),0)</f>
        <v>0</v>
      </c>
      <c r="E58">
        <f t="shared" si="0"/>
        <v>8</v>
      </c>
      <c r="F58">
        <f t="shared" si="1"/>
        <v>2</v>
      </c>
      <c r="G58">
        <f t="shared" si="2"/>
        <v>2021</v>
      </c>
      <c r="H58" t="str">
        <f t="shared" si="6"/>
        <v>22021</v>
      </c>
      <c r="I58">
        <f t="shared" si="7"/>
        <v>28</v>
      </c>
      <c r="J58">
        <f t="shared" si="3"/>
        <v>0</v>
      </c>
      <c r="K58">
        <f t="shared" si="4"/>
        <v>0</v>
      </c>
      <c r="L58">
        <f t="shared" si="5"/>
        <v>0</v>
      </c>
      <c r="M58" t="str">
        <f t="shared" si="8"/>
        <v>82021</v>
      </c>
      <c r="N58" t="str">
        <f t="shared" si="9"/>
        <v>8-2-2021</v>
      </c>
    </row>
    <row r="59" spans="1:14" x14ac:dyDescent="0.2">
      <c r="A59" s="1">
        <v>44254</v>
      </c>
      <c r="B59">
        <f>IFERROR(INDEX('planning dogs-n-tiger'!B$1:B$30,MATCH($H59,'planning dogs-n-tiger'!$G$1:$G$42,0)),0)</f>
        <v>0</v>
      </c>
      <c r="C59">
        <f>IFERROR(INDEX('planning dogs-n-tiger'!C$1:C$30,MATCH($H59,'planning dogs-n-tiger'!$G$1:$G$42,0)),0)</f>
        <v>0</v>
      </c>
      <c r="D59">
        <f>IFERROR(INDEX('planning dogs-n-tiger'!D$1:D$30,MATCH($H59,'planning dogs-n-tiger'!$G$1:$G$42,0)),0)</f>
        <v>0</v>
      </c>
      <c r="E59">
        <f t="shared" si="0"/>
        <v>8</v>
      </c>
      <c r="F59">
        <f t="shared" si="1"/>
        <v>2</v>
      </c>
      <c r="G59">
        <f t="shared" si="2"/>
        <v>2021</v>
      </c>
      <c r="H59" t="str">
        <f t="shared" si="6"/>
        <v>22021</v>
      </c>
      <c r="I59">
        <f t="shared" si="7"/>
        <v>28</v>
      </c>
      <c r="J59">
        <f t="shared" si="3"/>
        <v>0</v>
      </c>
      <c r="K59">
        <f t="shared" si="4"/>
        <v>0</v>
      </c>
      <c r="L59">
        <f t="shared" si="5"/>
        <v>0</v>
      </c>
      <c r="M59" t="str">
        <f t="shared" si="8"/>
        <v>82021</v>
      </c>
      <c r="N59" t="str">
        <f t="shared" si="9"/>
        <v>8-2-2021</v>
      </c>
    </row>
    <row r="60" spans="1:14" x14ac:dyDescent="0.2">
      <c r="A60" s="1">
        <v>44255</v>
      </c>
      <c r="B60">
        <f>IFERROR(INDEX('planning dogs-n-tiger'!B$1:B$30,MATCH($H60,'planning dogs-n-tiger'!$G$1:$G$42,0)),0)</f>
        <v>0</v>
      </c>
      <c r="C60">
        <f>IFERROR(INDEX('planning dogs-n-tiger'!C$1:C$30,MATCH($H60,'planning dogs-n-tiger'!$G$1:$G$42,0)),0)</f>
        <v>0</v>
      </c>
      <c r="D60">
        <f>IFERROR(INDEX('planning dogs-n-tiger'!D$1:D$30,MATCH($H60,'planning dogs-n-tiger'!$G$1:$G$42,0)),0)</f>
        <v>0</v>
      </c>
      <c r="E60">
        <f t="shared" si="0"/>
        <v>8</v>
      </c>
      <c r="F60">
        <f t="shared" si="1"/>
        <v>2</v>
      </c>
      <c r="G60">
        <f t="shared" si="2"/>
        <v>2021</v>
      </c>
      <c r="H60" t="str">
        <f t="shared" si="6"/>
        <v>22021</v>
      </c>
      <c r="I60">
        <f t="shared" si="7"/>
        <v>28</v>
      </c>
      <c r="J60">
        <f t="shared" si="3"/>
        <v>0</v>
      </c>
      <c r="K60">
        <f t="shared" si="4"/>
        <v>0</v>
      </c>
      <c r="L60">
        <f t="shared" si="5"/>
        <v>0</v>
      </c>
      <c r="M60" t="str">
        <f t="shared" si="8"/>
        <v>82021</v>
      </c>
      <c r="N60" t="str">
        <f t="shared" si="9"/>
        <v>8-2-2021</v>
      </c>
    </row>
    <row r="61" spans="1:14" x14ac:dyDescent="0.2">
      <c r="A61" s="1">
        <v>44256</v>
      </c>
      <c r="B61">
        <f>IFERROR(INDEX('planning dogs-n-tiger'!B$1:B$30,MATCH($H61,'planning dogs-n-tiger'!$G$1:$G$42,0)),0)</f>
        <v>0</v>
      </c>
      <c r="C61">
        <f>IFERROR(INDEX('planning dogs-n-tiger'!C$1:C$30,MATCH($H61,'planning dogs-n-tiger'!$G$1:$G$42,0)),0)</f>
        <v>0</v>
      </c>
      <c r="D61">
        <f>IFERROR(INDEX('planning dogs-n-tiger'!D$1:D$30,MATCH($H61,'planning dogs-n-tiger'!$G$1:$G$42,0)),0)</f>
        <v>0</v>
      </c>
      <c r="E61">
        <f t="shared" si="0"/>
        <v>9</v>
      </c>
      <c r="F61">
        <f t="shared" si="1"/>
        <v>3</v>
      </c>
      <c r="G61">
        <f t="shared" si="2"/>
        <v>2021</v>
      </c>
      <c r="H61" t="str">
        <f t="shared" si="6"/>
        <v>32021</v>
      </c>
      <c r="I61">
        <f t="shared" si="7"/>
        <v>31</v>
      </c>
      <c r="J61">
        <f t="shared" si="3"/>
        <v>0</v>
      </c>
      <c r="K61">
        <f t="shared" si="4"/>
        <v>0</v>
      </c>
      <c r="L61">
        <f t="shared" si="5"/>
        <v>0</v>
      </c>
      <c r="M61" t="str">
        <f t="shared" si="8"/>
        <v>92021</v>
      </c>
      <c r="N61" t="str">
        <f t="shared" si="9"/>
        <v>9-3-2021</v>
      </c>
    </row>
    <row r="62" spans="1:14" x14ac:dyDescent="0.2">
      <c r="A62" s="1">
        <v>44257</v>
      </c>
      <c r="B62">
        <f>IFERROR(INDEX('planning dogs-n-tiger'!B$1:B$30,MATCH($H62,'planning dogs-n-tiger'!$G$1:$G$42,0)),0)</f>
        <v>0</v>
      </c>
      <c r="C62">
        <f>IFERROR(INDEX('planning dogs-n-tiger'!C$1:C$30,MATCH($H62,'planning dogs-n-tiger'!$G$1:$G$42,0)),0)</f>
        <v>0</v>
      </c>
      <c r="D62">
        <f>IFERROR(INDEX('planning dogs-n-tiger'!D$1:D$30,MATCH($H62,'planning dogs-n-tiger'!$G$1:$G$42,0)),0)</f>
        <v>0</v>
      </c>
      <c r="E62">
        <f t="shared" si="0"/>
        <v>9</v>
      </c>
      <c r="F62">
        <f t="shared" si="1"/>
        <v>3</v>
      </c>
      <c r="G62">
        <f t="shared" si="2"/>
        <v>2021</v>
      </c>
      <c r="H62" t="str">
        <f t="shared" si="6"/>
        <v>32021</v>
      </c>
      <c r="I62">
        <f t="shared" si="7"/>
        <v>31</v>
      </c>
      <c r="J62">
        <f t="shared" si="3"/>
        <v>0</v>
      </c>
      <c r="K62">
        <f t="shared" si="4"/>
        <v>0</v>
      </c>
      <c r="L62">
        <f t="shared" si="5"/>
        <v>0</v>
      </c>
      <c r="M62" t="str">
        <f t="shared" si="8"/>
        <v>92021</v>
      </c>
      <c r="N62" t="str">
        <f t="shared" si="9"/>
        <v>9-3-2021</v>
      </c>
    </row>
    <row r="63" spans="1:14" x14ac:dyDescent="0.2">
      <c r="A63" s="1">
        <v>44258</v>
      </c>
      <c r="B63">
        <f>IFERROR(INDEX('planning dogs-n-tiger'!B$1:B$30,MATCH($H63,'planning dogs-n-tiger'!$G$1:$G$42,0)),0)</f>
        <v>0</v>
      </c>
      <c r="C63">
        <f>IFERROR(INDEX('planning dogs-n-tiger'!C$1:C$30,MATCH($H63,'planning dogs-n-tiger'!$G$1:$G$42,0)),0)</f>
        <v>0</v>
      </c>
      <c r="D63">
        <f>IFERROR(INDEX('planning dogs-n-tiger'!D$1:D$30,MATCH($H63,'planning dogs-n-tiger'!$G$1:$G$42,0)),0)</f>
        <v>0</v>
      </c>
      <c r="E63">
        <f t="shared" si="0"/>
        <v>9</v>
      </c>
      <c r="F63">
        <f t="shared" si="1"/>
        <v>3</v>
      </c>
      <c r="G63">
        <f t="shared" si="2"/>
        <v>2021</v>
      </c>
      <c r="H63" t="str">
        <f t="shared" si="6"/>
        <v>32021</v>
      </c>
      <c r="I63">
        <f t="shared" si="7"/>
        <v>31</v>
      </c>
      <c r="J63">
        <f t="shared" si="3"/>
        <v>0</v>
      </c>
      <c r="K63">
        <f t="shared" si="4"/>
        <v>0</v>
      </c>
      <c r="L63">
        <f t="shared" si="5"/>
        <v>0</v>
      </c>
      <c r="M63" t="str">
        <f t="shared" si="8"/>
        <v>92021</v>
      </c>
      <c r="N63" t="str">
        <f t="shared" si="9"/>
        <v>9-3-2021</v>
      </c>
    </row>
    <row r="64" spans="1:14" x14ac:dyDescent="0.2">
      <c r="A64" s="1">
        <v>44259</v>
      </c>
      <c r="B64">
        <f>IFERROR(INDEX('planning dogs-n-tiger'!B$1:B$30,MATCH($H64,'planning dogs-n-tiger'!$G$1:$G$42,0)),0)</f>
        <v>0</v>
      </c>
      <c r="C64">
        <f>IFERROR(INDEX('planning dogs-n-tiger'!C$1:C$30,MATCH($H64,'planning dogs-n-tiger'!$G$1:$G$42,0)),0)</f>
        <v>0</v>
      </c>
      <c r="D64">
        <f>IFERROR(INDEX('planning dogs-n-tiger'!D$1:D$30,MATCH($H64,'planning dogs-n-tiger'!$G$1:$G$42,0)),0)</f>
        <v>0</v>
      </c>
      <c r="E64">
        <f t="shared" si="0"/>
        <v>9</v>
      </c>
      <c r="F64">
        <f t="shared" si="1"/>
        <v>3</v>
      </c>
      <c r="G64">
        <f t="shared" si="2"/>
        <v>2021</v>
      </c>
      <c r="H64" t="str">
        <f t="shared" si="6"/>
        <v>32021</v>
      </c>
      <c r="I64">
        <f t="shared" si="7"/>
        <v>31</v>
      </c>
      <c r="J64">
        <f t="shared" si="3"/>
        <v>0</v>
      </c>
      <c r="K64">
        <f t="shared" si="4"/>
        <v>0</v>
      </c>
      <c r="L64">
        <f t="shared" si="5"/>
        <v>0</v>
      </c>
      <c r="M64" t="str">
        <f t="shared" si="8"/>
        <v>92021</v>
      </c>
      <c r="N64" t="str">
        <f t="shared" si="9"/>
        <v>9-3-2021</v>
      </c>
    </row>
    <row r="65" spans="1:14" x14ac:dyDescent="0.2">
      <c r="A65" s="1">
        <v>44260</v>
      </c>
      <c r="B65">
        <f>IFERROR(INDEX('planning dogs-n-tiger'!B$1:B$30,MATCH($H65,'planning dogs-n-tiger'!$G$1:$G$42,0)),0)</f>
        <v>0</v>
      </c>
      <c r="C65">
        <f>IFERROR(INDEX('planning dogs-n-tiger'!C$1:C$30,MATCH($H65,'planning dogs-n-tiger'!$G$1:$G$42,0)),0)</f>
        <v>0</v>
      </c>
      <c r="D65">
        <f>IFERROR(INDEX('planning dogs-n-tiger'!D$1:D$30,MATCH($H65,'planning dogs-n-tiger'!$G$1:$G$42,0)),0)</f>
        <v>0</v>
      </c>
      <c r="E65">
        <f t="shared" si="0"/>
        <v>9</v>
      </c>
      <c r="F65">
        <f t="shared" si="1"/>
        <v>3</v>
      </c>
      <c r="G65">
        <f t="shared" si="2"/>
        <v>2021</v>
      </c>
      <c r="H65" t="str">
        <f t="shared" si="6"/>
        <v>32021</v>
      </c>
      <c r="I65">
        <f t="shared" si="7"/>
        <v>31</v>
      </c>
      <c r="J65">
        <f t="shared" si="3"/>
        <v>0</v>
      </c>
      <c r="K65">
        <f t="shared" si="4"/>
        <v>0</v>
      </c>
      <c r="L65">
        <f t="shared" si="5"/>
        <v>0</v>
      </c>
      <c r="M65" t="str">
        <f t="shared" si="8"/>
        <v>92021</v>
      </c>
      <c r="N65" t="str">
        <f t="shared" si="9"/>
        <v>9-3-2021</v>
      </c>
    </row>
    <row r="66" spans="1:14" x14ac:dyDescent="0.2">
      <c r="A66" s="1">
        <v>44261</v>
      </c>
      <c r="B66">
        <f>IFERROR(INDEX('planning dogs-n-tiger'!B$1:B$30,MATCH($H66,'planning dogs-n-tiger'!$G$1:$G$42,0)),0)</f>
        <v>0</v>
      </c>
      <c r="C66">
        <f>IFERROR(INDEX('planning dogs-n-tiger'!C$1:C$30,MATCH($H66,'planning dogs-n-tiger'!$G$1:$G$42,0)),0)</f>
        <v>0</v>
      </c>
      <c r="D66">
        <f>IFERROR(INDEX('planning dogs-n-tiger'!D$1:D$30,MATCH($H66,'planning dogs-n-tiger'!$G$1:$G$42,0)),0)</f>
        <v>0</v>
      </c>
      <c r="E66">
        <f t="shared" ref="E66:E129" si="10">_xlfn.ISOWEEKNUM(A66)</f>
        <v>9</v>
      </c>
      <c r="F66">
        <f t="shared" ref="F66:F129" si="11">MONTH(A66)</f>
        <v>3</v>
      </c>
      <c r="G66">
        <f t="shared" ref="G66:G129" si="12">YEAR(A66)</f>
        <v>2021</v>
      </c>
      <c r="H66" t="str">
        <f t="shared" si="6"/>
        <v>32021</v>
      </c>
      <c r="I66">
        <f t="shared" si="7"/>
        <v>31</v>
      </c>
      <c r="J66">
        <f t="shared" ref="J66:J129" si="13">B66/$I66</f>
        <v>0</v>
      </c>
      <c r="K66">
        <f t="shared" ref="K66:K129" si="14">C66/$I66</f>
        <v>0</v>
      </c>
      <c r="L66">
        <f t="shared" ref="L66:L129" si="15">D66/$I66</f>
        <v>0</v>
      </c>
      <c r="M66" t="str">
        <f t="shared" si="8"/>
        <v>92021</v>
      </c>
      <c r="N66" t="str">
        <f t="shared" si="9"/>
        <v>9-3-2021</v>
      </c>
    </row>
    <row r="67" spans="1:14" x14ac:dyDescent="0.2">
      <c r="A67" s="1">
        <v>44262</v>
      </c>
      <c r="B67">
        <f>IFERROR(INDEX('planning dogs-n-tiger'!B$1:B$30,MATCH($H67,'planning dogs-n-tiger'!$G$1:$G$42,0)),0)</f>
        <v>0</v>
      </c>
      <c r="C67">
        <f>IFERROR(INDEX('planning dogs-n-tiger'!C$1:C$30,MATCH($H67,'planning dogs-n-tiger'!$G$1:$G$42,0)),0)</f>
        <v>0</v>
      </c>
      <c r="D67">
        <f>IFERROR(INDEX('planning dogs-n-tiger'!D$1:D$30,MATCH($H67,'planning dogs-n-tiger'!$G$1:$G$42,0)),0)</f>
        <v>0</v>
      </c>
      <c r="E67">
        <f t="shared" si="10"/>
        <v>9</v>
      </c>
      <c r="F67">
        <f t="shared" si="11"/>
        <v>3</v>
      </c>
      <c r="G67">
        <f t="shared" si="12"/>
        <v>2021</v>
      </c>
      <c r="H67" t="str">
        <f t="shared" ref="H67:H130" si="16">F67&amp;G67</f>
        <v>32021</v>
      </c>
      <c r="I67">
        <f t="shared" ref="I67:I130" si="17">DAY(EOMONTH(DATE(G67,F67,0),1))</f>
        <v>31</v>
      </c>
      <c r="J67">
        <f t="shared" si="13"/>
        <v>0</v>
      </c>
      <c r="K67">
        <f t="shared" si="14"/>
        <v>0</v>
      </c>
      <c r="L67">
        <f t="shared" si="15"/>
        <v>0</v>
      </c>
      <c r="M67" t="str">
        <f t="shared" ref="M67:M130" si="18">E67&amp;G67</f>
        <v>92021</v>
      </c>
      <c r="N67" t="str">
        <f t="shared" ref="N67:N130" si="19">E67&amp;"-"&amp;F67&amp;"-"&amp;G67</f>
        <v>9-3-2021</v>
      </c>
    </row>
    <row r="68" spans="1:14" x14ac:dyDescent="0.2">
      <c r="A68" s="1">
        <v>44263</v>
      </c>
      <c r="B68">
        <f>IFERROR(INDEX('planning dogs-n-tiger'!B$1:B$30,MATCH($H68,'planning dogs-n-tiger'!$G$1:$G$42,0)),0)</f>
        <v>0</v>
      </c>
      <c r="C68">
        <f>IFERROR(INDEX('planning dogs-n-tiger'!C$1:C$30,MATCH($H68,'planning dogs-n-tiger'!$G$1:$G$42,0)),0)</f>
        <v>0</v>
      </c>
      <c r="D68">
        <f>IFERROR(INDEX('planning dogs-n-tiger'!D$1:D$30,MATCH($H68,'planning dogs-n-tiger'!$G$1:$G$42,0)),0)</f>
        <v>0</v>
      </c>
      <c r="E68">
        <f t="shared" si="10"/>
        <v>10</v>
      </c>
      <c r="F68">
        <f t="shared" si="11"/>
        <v>3</v>
      </c>
      <c r="G68">
        <f t="shared" si="12"/>
        <v>2021</v>
      </c>
      <c r="H68" t="str">
        <f t="shared" si="16"/>
        <v>32021</v>
      </c>
      <c r="I68">
        <f t="shared" si="17"/>
        <v>31</v>
      </c>
      <c r="J68">
        <f t="shared" si="13"/>
        <v>0</v>
      </c>
      <c r="K68">
        <f t="shared" si="14"/>
        <v>0</v>
      </c>
      <c r="L68">
        <f t="shared" si="15"/>
        <v>0</v>
      </c>
      <c r="M68" t="str">
        <f t="shared" si="18"/>
        <v>102021</v>
      </c>
      <c r="N68" t="str">
        <f t="shared" si="19"/>
        <v>10-3-2021</v>
      </c>
    </row>
    <row r="69" spans="1:14" x14ac:dyDescent="0.2">
      <c r="A69" s="1">
        <v>44264</v>
      </c>
      <c r="B69">
        <f>IFERROR(INDEX('planning dogs-n-tiger'!B$1:B$30,MATCH($H69,'planning dogs-n-tiger'!$G$1:$G$42,0)),0)</f>
        <v>0</v>
      </c>
      <c r="C69">
        <f>IFERROR(INDEX('planning dogs-n-tiger'!C$1:C$30,MATCH($H69,'planning dogs-n-tiger'!$G$1:$G$42,0)),0)</f>
        <v>0</v>
      </c>
      <c r="D69">
        <f>IFERROR(INDEX('planning dogs-n-tiger'!D$1:D$30,MATCH($H69,'planning dogs-n-tiger'!$G$1:$G$42,0)),0)</f>
        <v>0</v>
      </c>
      <c r="E69">
        <f t="shared" si="10"/>
        <v>10</v>
      </c>
      <c r="F69">
        <f t="shared" si="11"/>
        <v>3</v>
      </c>
      <c r="G69">
        <f t="shared" si="12"/>
        <v>2021</v>
      </c>
      <c r="H69" t="str">
        <f t="shared" si="16"/>
        <v>32021</v>
      </c>
      <c r="I69">
        <f t="shared" si="17"/>
        <v>31</v>
      </c>
      <c r="J69">
        <f t="shared" si="13"/>
        <v>0</v>
      </c>
      <c r="K69">
        <f t="shared" si="14"/>
        <v>0</v>
      </c>
      <c r="L69">
        <f t="shared" si="15"/>
        <v>0</v>
      </c>
      <c r="M69" t="str">
        <f t="shared" si="18"/>
        <v>102021</v>
      </c>
      <c r="N69" t="str">
        <f t="shared" si="19"/>
        <v>10-3-2021</v>
      </c>
    </row>
    <row r="70" spans="1:14" x14ac:dyDescent="0.2">
      <c r="A70" s="1">
        <v>44265</v>
      </c>
      <c r="B70">
        <f>IFERROR(INDEX('planning dogs-n-tiger'!B$1:B$30,MATCH($H70,'planning dogs-n-tiger'!$G$1:$G$42,0)),0)</f>
        <v>0</v>
      </c>
      <c r="C70">
        <f>IFERROR(INDEX('planning dogs-n-tiger'!C$1:C$30,MATCH($H70,'planning dogs-n-tiger'!$G$1:$G$42,0)),0)</f>
        <v>0</v>
      </c>
      <c r="D70">
        <f>IFERROR(INDEX('planning dogs-n-tiger'!D$1:D$30,MATCH($H70,'planning dogs-n-tiger'!$G$1:$G$42,0)),0)</f>
        <v>0</v>
      </c>
      <c r="E70">
        <f t="shared" si="10"/>
        <v>10</v>
      </c>
      <c r="F70">
        <f t="shared" si="11"/>
        <v>3</v>
      </c>
      <c r="G70">
        <f t="shared" si="12"/>
        <v>2021</v>
      </c>
      <c r="H70" t="str">
        <f t="shared" si="16"/>
        <v>32021</v>
      </c>
      <c r="I70">
        <f t="shared" si="17"/>
        <v>31</v>
      </c>
      <c r="J70">
        <f t="shared" si="13"/>
        <v>0</v>
      </c>
      <c r="K70">
        <f t="shared" si="14"/>
        <v>0</v>
      </c>
      <c r="L70">
        <f t="shared" si="15"/>
        <v>0</v>
      </c>
      <c r="M70" t="str">
        <f t="shared" si="18"/>
        <v>102021</v>
      </c>
      <c r="N70" t="str">
        <f t="shared" si="19"/>
        <v>10-3-2021</v>
      </c>
    </row>
    <row r="71" spans="1:14" x14ac:dyDescent="0.2">
      <c r="A71" s="1">
        <v>44266</v>
      </c>
      <c r="B71">
        <f>IFERROR(INDEX('planning dogs-n-tiger'!B$1:B$30,MATCH($H71,'planning dogs-n-tiger'!$G$1:$G$42,0)),0)</f>
        <v>0</v>
      </c>
      <c r="C71">
        <f>IFERROR(INDEX('planning dogs-n-tiger'!C$1:C$30,MATCH($H71,'planning dogs-n-tiger'!$G$1:$G$42,0)),0)</f>
        <v>0</v>
      </c>
      <c r="D71">
        <f>IFERROR(INDEX('planning dogs-n-tiger'!D$1:D$30,MATCH($H71,'planning dogs-n-tiger'!$G$1:$G$42,0)),0)</f>
        <v>0</v>
      </c>
      <c r="E71">
        <f t="shared" si="10"/>
        <v>10</v>
      </c>
      <c r="F71">
        <f t="shared" si="11"/>
        <v>3</v>
      </c>
      <c r="G71">
        <f t="shared" si="12"/>
        <v>2021</v>
      </c>
      <c r="H71" t="str">
        <f t="shared" si="16"/>
        <v>32021</v>
      </c>
      <c r="I71">
        <f t="shared" si="17"/>
        <v>31</v>
      </c>
      <c r="J71">
        <f t="shared" si="13"/>
        <v>0</v>
      </c>
      <c r="K71">
        <f t="shared" si="14"/>
        <v>0</v>
      </c>
      <c r="L71">
        <f t="shared" si="15"/>
        <v>0</v>
      </c>
      <c r="M71" t="str">
        <f t="shared" si="18"/>
        <v>102021</v>
      </c>
      <c r="N71" t="str">
        <f t="shared" si="19"/>
        <v>10-3-2021</v>
      </c>
    </row>
    <row r="72" spans="1:14" x14ac:dyDescent="0.2">
      <c r="A72" s="1">
        <v>44267</v>
      </c>
      <c r="B72">
        <f>IFERROR(INDEX('planning dogs-n-tiger'!B$1:B$30,MATCH($H72,'planning dogs-n-tiger'!$G$1:$G$42,0)),0)</f>
        <v>0</v>
      </c>
      <c r="C72">
        <f>IFERROR(INDEX('planning dogs-n-tiger'!C$1:C$30,MATCH($H72,'planning dogs-n-tiger'!$G$1:$G$42,0)),0)</f>
        <v>0</v>
      </c>
      <c r="D72">
        <f>IFERROR(INDEX('planning dogs-n-tiger'!D$1:D$30,MATCH($H72,'planning dogs-n-tiger'!$G$1:$G$42,0)),0)</f>
        <v>0</v>
      </c>
      <c r="E72">
        <f t="shared" si="10"/>
        <v>10</v>
      </c>
      <c r="F72">
        <f t="shared" si="11"/>
        <v>3</v>
      </c>
      <c r="G72">
        <f t="shared" si="12"/>
        <v>2021</v>
      </c>
      <c r="H72" t="str">
        <f t="shared" si="16"/>
        <v>32021</v>
      </c>
      <c r="I72">
        <f t="shared" si="17"/>
        <v>31</v>
      </c>
      <c r="J72">
        <f t="shared" si="13"/>
        <v>0</v>
      </c>
      <c r="K72">
        <f t="shared" si="14"/>
        <v>0</v>
      </c>
      <c r="L72">
        <f t="shared" si="15"/>
        <v>0</v>
      </c>
      <c r="M72" t="str">
        <f t="shared" si="18"/>
        <v>102021</v>
      </c>
      <c r="N72" t="str">
        <f t="shared" si="19"/>
        <v>10-3-2021</v>
      </c>
    </row>
    <row r="73" spans="1:14" x14ac:dyDescent="0.2">
      <c r="A73" s="1">
        <v>44268</v>
      </c>
      <c r="B73">
        <f>IFERROR(INDEX('planning dogs-n-tiger'!B$1:B$30,MATCH($H73,'planning dogs-n-tiger'!$G$1:$G$42,0)),0)</f>
        <v>0</v>
      </c>
      <c r="C73">
        <f>IFERROR(INDEX('planning dogs-n-tiger'!C$1:C$30,MATCH($H73,'planning dogs-n-tiger'!$G$1:$G$42,0)),0)</f>
        <v>0</v>
      </c>
      <c r="D73">
        <f>IFERROR(INDEX('planning dogs-n-tiger'!D$1:D$30,MATCH($H73,'planning dogs-n-tiger'!$G$1:$G$42,0)),0)</f>
        <v>0</v>
      </c>
      <c r="E73">
        <f t="shared" si="10"/>
        <v>10</v>
      </c>
      <c r="F73">
        <f t="shared" si="11"/>
        <v>3</v>
      </c>
      <c r="G73">
        <f t="shared" si="12"/>
        <v>2021</v>
      </c>
      <c r="H73" t="str">
        <f t="shared" si="16"/>
        <v>32021</v>
      </c>
      <c r="I73">
        <f t="shared" si="17"/>
        <v>31</v>
      </c>
      <c r="J73">
        <f t="shared" si="13"/>
        <v>0</v>
      </c>
      <c r="K73">
        <f t="shared" si="14"/>
        <v>0</v>
      </c>
      <c r="L73">
        <f t="shared" si="15"/>
        <v>0</v>
      </c>
      <c r="M73" t="str">
        <f t="shared" si="18"/>
        <v>102021</v>
      </c>
      <c r="N73" t="str">
        <f t="shared" si="19"/>
        <v>10-3-2021</v>
      </c>
    </row>
    <row r="74" spans="1:14" x14ac:dyDescent="0.2">
      <c r="A74" s="1">
        <v>44269</v>
      </c>
      <c r="B74">
        <f>IFERROR(INDEX('planning dogs-n-tiger'!B$1:B$30,MATCH($H74,'planning dogs-n-tiger'!$G$1:$G$42,0)),0)</f>
        <v>0</v>
      </c>
      <c r="C74">
        <f>IFERROR(INDEX('planning dogs-n-tiger'!C$1:C$30,MATCH($H74,'planning dogs-n-tiger'!$G$1:$G$42,0)),0)</f>
        <v>0</v>
      </c>
      <c r="D74">
        <f>IFERROR(INDEX('planning dogs-n-tiger'!D$1:D$30,MATCH($H74,'planning dogs-n-tiger'!$G$1:$G$42,0)),0)</f>
        <v>0</v>
      </c>
      <c r="E74">
        <f t="shared" si="10"/>
        <v>10</v>
      </c>
      <c r="F74">
        <f t="shared" si="11"/>
        <v>3</v>
      </c>
      <c r="G74">
        <f t="shared" si="12"/>
        <v>2021</v>
      </c>
      <c r="H74" t="str">
        <f t="shared" si="16"/>
        <v>32021</v>
      </c>
      <c r="I74">
        <f t="shared" si="17"/>
        <v>31</v>
      </c>
      <c r="J74">
        <f t="shared" si="13"/>
        <v>0</v>
      </c>
      <c r="K74">
        <f t="shared" si="14"/>
        <v>0</v>
      </c>
      <c r="L74">
        <f t="shared" si="15"/>
        <v>0</v>
      </c>
      <c r="M74" t="str">
        <f t="shared" si="18"/>
        <v>102021</v>
      </c>
      <c r="N74" t="str">
        <f t="shared" si="19"/>
        <v>10-3-2021</v>
      </c>
    </row>
    <row r="75" spans="1:14" x14ac:dyDescent="0.2">
      <c r="A75" s="1">
        <v>44270</v>
      </c>
      <c r="B75">
        <f>IFERROR(INDEX('planning dogs-n-tiger'!B$1:B$30,MATCH($H75,'planning dogs-n-tiger'!$G$1:$G$42,0)),0)</f>
        <v>0</v>
      </c>
      <c r="C75">
        <f>IFERROR(INDEX('planning dogs-n-tiger'!C$1:C$30,MATCH($H75,'planning dogs-n-tiger'!$G$1:$G$42,0)),0)</f>
        <v>0</v>
      </c>
      <c r="D75">
        <f>IFERROR(INDEX('planning dogs-n-tiger'!D$1:D$30,MATCH($H75,'planning dogs-n-tiger'!$G$1:$G$42,0)),0)</f>
        <v>0</v>
      </c>
      <c r="E75">
        <f t="shared" si="10"/>
        <v>11</v>
      </c>
      <c r="F75">
        <f t="shared" si="11"/>
        <v>3</v>
      </c>
      <c r="G75">
        <f t="shared" si="12"/>
        <v>2021</v>
      </c>
      <c r="H75" t="str">
        <f t="shared" si="16"/>
        <v>32021</v>
      </c>
      <c r="I75">
        <f t="shared" si="17"/>
        <v>31</v>
      </c>
      <c r="J75">
        <f t="shared" si="13"/>
        <v>0</v>
      </c>
      <c r="K75">
        <f t="shared" si="14"/>
        <v>0</v>
      </c>
      <c r="L75">
        <f t="shared" si="15"/>
        <v>0</v>
      </c>
      <c r="M75" t="str">
        <f t="shared" si="18"/>
        <v>112021</v>
      </c>
      <c r="N75" t="str">
        <f t="shared" si="19"/>
        <v>11-3-2021</v>
      </c>
    </row>
    <row r="76" spans="1:14" x14ac:dyDescent="0.2">
      <c r="A76" s="1">
        <v>44271</v>
      </c>
      <c r="B76">
        <f>IFERROR(INDEX('planning dogs-n-tiger'!B$1:B$30,MATCH($H76,'planning dogs-n-tiger'!$G$1:$G$42,0)),0)</f>
        <v>0</v>
      </c>
      <c r="C76">
        <f>IFERROR(INDEX('planning dogs-n-tiger'!C$1:C$30,MATCH($H76,'planning dogs-n-tiger'!$G$1:$G$42,0)),0)</f>
        <v>0</v>
      </c>
      <c r="D76">
        <f>IFERROR(INDEX('planning dogs-n-tiger'!D$1:D$30,MATCH($H76,'planning dogs-n-tiger'!$G$1:$G$42,0)),0)</f>
        <v>0</v>
      </c>
      <c r="E76">
        <f t="shared" si="10"/>
        <v>11</v>
      </c>
      <c r="F76">
        <f t="shared" si="11"/>
        <v>3</v>
      </c>
      <c r="G76">
        <f t="shared" si="12"/>
        <v>2021</v>
      </c>
      <c r="H76" t="str">
        <f t="shared" si="16"/>
        <v>32021</v>
      </c>
      <c r="I76">
        <f t="shared" si="17"/>
        <v>31</v>
      </c>
      <c r="J76">
        <f t="shared" si="13"/>
        <v>0</v>
      </c>
      <c r="K76">
        <f t="shared" si="14"/>
        <v>0</v>
      </c>
      <c r="L76">
        <f t="shared" si="15"/>
        <v>0</v>
      </c>
      <c r="M76" t="str">
        <f t="shared" si="18"/>
        <v>112021</v>
      </c>
      <c r="N76" t="str">
        <f t="shared" si="19"/>
        <v>11-3-2021</v>
      </c>
    </row>
    <row r="77" spans="1:14" x14ac:dyDescent="0.2">
      <c r="A77" s="1">
        <v>44272</v>
      </c>
      <c r="B77">
        <f>IFERROR(INDEX('planning dogs-n-tiger'!B$1:B$30,MATCH($H77,'planning dogs-n-tiger'!$G$1:$G$42,0)),0)</f>
        <v>0</v>
      </c>
      <c r="C77">
        <f>IFERROR(INDEX('planning dogs-n-tiger'!C$1:C$30,MATCH($H77,'planning dogs-n-tiger'!$G$1:$G$42,0)),0)</f>
        <v>0</v>
      </c>
      <c r="D77">
        <f>IFERROR(INDEX('planning dogs-n-tiger'!D$1:D$30,MATCH($H77,'planning dogs-n-tiger'!$G$1:$G$42,0)),0)</f>
        <v>0</v>
      </c>
      <c r="E77">
        <f t="shared" si="10"/>
        <v>11</v>
      </c>
      <c r="F77">
        <f t="shared" si="11"/>
        <v>3</v>
      </c>
      <c r="G77">
        <f t="shared" si="12"/>
        <v>2021</v>
      </c>
      <c r="H77" t="str">
        <f t="shared" si="16"/>
        <v>32021</v>
      </c>
      <c r="I77">
        <f t="shared" si="17"/>
        <v>31</v>
      </c>
      <c r="J77">
        <f t="shared" si="13"/>
        <v>0</v>
      </c>
      <c r="K77">
        <f t="shared" si="14"/>
        <v>0</v>
      </c>
      <c r="L77">
        <f t="shared" si="15"/>
        <v>0</v>
      </c>
      <c r="M77" t="str">
        <f t="shared" si="18"/>
        <v>112021</v>
      </c>
      <c r="N77" t="str">
        <f t="shared" si="19"/>
        <v>11-3-2021</v>
      </c>
    </row>
    <row r="78" spans="1:14" x14ac:dyDescent="0.2">
      <c r="A78" s="1">
        <v>44273</v>
      </c>
      <c r="B78">
        <f>IFERROR(INDEX('planning dogs-n-tiger'!B$1:B$30,MATCH($H78,'planning dogs-n-tiger'!$G$1:$G$42,0)),0)</f>
        <v>0</v>
      </c>
      <c r="C78">
        <f>IFERROR(INDEX('planning dogs-n-tiger'!C$1:C$30,MATCH($H78,'planning dogs-n-tiger'!$G$1:$G$42,0)),0)</f>
        <v>0</v>
      </c>
      <c r="D78">
        <f>IFERROR(INDEX('planning dogs-n-tiger'!D$1:D$30,MATCH($H78,'planning dogs-n-tiger'!$G$1:$G$42,0)),0)</f>
        <v>0</v>
      </c>
      <c r="E78">
        <f t="shared" si="10"/>
        <v>11</v>
      </c>
      <c r="F78">
        <f t="shared" si="11"/>
        <v>3</v>
      </c>
      <c r="G78">
        <f t="shared" si="12"/>
        <v>2021</v>
      </c>
      <c r="H78" t="str">
        <f t="shared" si="16"/>
        <v>32021</v>
      </c>
      <c r="I78">
        <f t="shared" si="17"/>
        <v>31</v>
      </c>
      <c r="J78">
        <f t="shared" si="13"/>
        <v>0</v>
      </c>
      <c r="K78">
        <f t="shared" si="14"/>
        <v>0</v>
      </c>
      <c r="L78">
        <f t="shared" si="15"/>
        <v>0</v>
      </c>
      <c r="M78" t="str">
        <f t="shared" si="18"/>
        <v>112021</v>
      </c>
      <c r="N78" t="str">
        <f t="shared" si="19"/>
        <v>11-3-2021</v>
      </c>
    </row>
    <row r="79" spans="1:14" x14ac:dyDescent="0.2">
      <c r="A79" s="1">
        <v>44274</v>
      </c>
      <c r="B79">
        <f>IFERROR(INDEX('planning dogs-n-tiger'!B$1:B$30,MATCH($H79,'planning dogs-n-tiger'!$G$1:$G$42,0)),0)</f>
        <v>0</v>
      </c>
      <c r="C79">
        <f>IFERROR(INDEX('planning dogs-n-tiger'!C$1:C$30,MATCH($H79,'planning dogs-n-tiger'!$G$1:$G$42,0)),0)</f>
        <v>0</v>
      </c>
      <c r="D79">
        <f>IFERROR(INDEX('planning dogs-n-tiger'!D$1:D$30,MATCH($H79,'planning dogs-n-tiger'!$G$1:$G$42,0)),0)</f>
        <v>0</v>
      </c>
      <c r="E79">
        <f t="shared" si="10"/>
        <v>11</v>
      </c>
      <c r="F79">
        <f t="shared" si="11"/>
        <v>3</v>
      </c>
      <c r="G79">
        <f t="shared" si="12"/>
        <v>2021</v>
      </c>
      <c r="H79" t="str">
        <f t="shared" si="16"/>
        <v>32021</v>
      </c>
      <c r="I79">
        <f t="shared" si="17"/>
        <v>31</v>
      </c>
      <c r="J79">
        <f t="shared" si="13"/>
        <v>0</v>
      </c>
      <c r="K79">
        <f t="shared" si="14"/>
        <v>0</v>
      </c>
      <c r="L79">
        <f t="shared" si="15"/>
        <v>0</v>
      </c>
      <c r="M79" t="str">
        <f t="shared" si="18"/>
        <v>112021</v>
      </c>
      <c r="N79" t="str">
        <f t="shared" si="19"/>
        <v>11-3-2021</v>
      </c>
    </row>
    <row r="80" spans="1:14" x14ac:dyDescent="0.2">
      <c r="A80" s="1">
        <v>44275</v>
      </c>
      <c r="B80">
        <f>IFERROR(INDEX('planning dogs-n-tiger'!B$1:B$30,MATCH($H80,'planning dogs-n-tiger'!$G$1:$G$42,0)),0)</f>
        <v>0</v>
      </c>
      <c r="C80">
        <f>IFERROR(INDEX('planning dogs-n-tiger'!C$1:C$30,MATCH($H80,'planning dogs-n-tiger'!$G$1:$G$42,0)),0)</f>
        <v>0</v>
      </c>
      <c r="D80">
        <f>IFERROR(INDEX('planning dogs-n-tiger'!D$1:D$30,MATCH($H80,'planning dogs-n-tiger'!$G$1:$G$42,0)),0)</f>
        <v>0</v>
      </c>
      <c r="E80">
        <f t="shared" si="10"/>
        <v>11</v>
      </c>
      <c r="F80">
        <f t="shared" si="11"/>
        <v>3</v>
      </c>
      <c r="G80">
        <f t="shared" si="12"/>
        <v>2021</v>
      </c>
      <c r="H80" t="str">
        <f t="shared" si="16"/>
        <v>32021</v>
      </c>
      <c r="I80">
        <f t="shared" si="17"/>
        <v>31</v>
      </c>
      <c r="J80">
        <f t="shared" si="13"/>
        <v>0</v>
      </c>
      <c r="K80">
        <f t="shared" si="14"/>
        <v>0</v>
      </c>
      <c r="L80">
        <f t="shared" si="15"/>
        <v>0</v>
      </c>
      <c r="M80" t="str">
        <f t="shared" si="18"/>
        <v>112021</v>
      </c>
      <c r="N80" t="str">
        <f t="shared" si="19"/>
        <v>11-3-2021</v>
      </c>
    </row>
    <row r="81" spans="1:14" x14ac:dyDescent="0.2">
      <c r="A81" s="1">
        <v>44276</v>
      </c>
      <c r="B81">
        <f>IFERROR(INDEX('planning dogs-n-tiger'!B$1:B$30,MATCH($H81,'planning dogs-n-tiger'!$G$1:$G$42,0)),0)</f>
        <v>0</v>
      </c>
      <c r="C81">
        <f>IFERROR(INDEX('planning dogs-n-tiger'!C$1:C$30,MATCH($H81,'planning dogs-n-tiger'!$G$1:$G$42,0)),0)</f>
        <v>0</v>
      </c>
      <c r="D81">
        <f>IFERROR(INDEX('planning dogs-n-tiger'!D$1:D$30,MATCH($H81,'planning dogs-n-tiger'!$G$1:$G$42,0)),0)</f>
        <v>0</v>
      </c>
      <c r="E81">
        <f t="shared" si="10"/>
        <v>11</v>
      </c>
      <c r="F81">
        <f t="shared" si="11"/>
        <v>3</v>
      </c>
      <c r="G81">
        <f t="shared" si="12"/>
        <v>2021</v>
      </c>
      <c r="H81" t="str">
        <f t="shared" si="16"/>
        <v>32021</v>
      </c>
      <c r="I81">
        <f t="shared" si="17"/>
        <v>31</v>
      </c>
      <c r="J81">
        <f t="shared" si="13"/>
        <v>0</v>
      </c>
      <c r="K81">
        <f t="shared" si="14"/>
        <v>0</v>
      </c>
      <c r="L81">
        <f t="shared" si="15"/>
        <v>0</v>
      </c>
      <c r="M81" t="str">
        <f t="shared" si="18"/>
        <v>112021</v>
      </c>
      <c r="N81" t="str">
        <f t="shared" si="19"/>
        <v>11-3-2021</v>
      </c>
    </row>
    <row r="82" spans="1:14" x14ac:dyDescent="0.2">
      <c r="A82" s="1">
        <v>44277</v>
      </c>
      <c r="B82">
        <f>IFERROR(INDEX('planning dogs-n-tiger'!B$1:B$30,MATCH($H82,'planning dogs-n-tiger'!$G$1:$G$42,0)),0)</f>
        <v>0</v>
      </c>
      <c r="C82">
        <f>IFERROR(INDEX('planning dogs-n-tiger'!C$1:C$30,MATCH($H82,'planning dogs-n-tiger'!$G$1:$G$42,0)),0)</f>
        <v>0</v>
      </c>
      <c r="D82">
        <f>IFERROR(INDEX('planning dogs-n-tiger'!D$1:D$30,MATCH($H82,'planning dogs-n-tiger'!$G$1:$G$42,0)),0)</f>
        <v>0</v>
      </c>
      <c r="E82">
        <f t="shared" si="10"/>
        <v>12</v>
      </c>
      <c r="F82">
        <f t="shared" si="11"/>
        <v>3</v>
      </c>
      <c r="G82">
        <f t="shared" si="12"/>
        <v>2021</v>
      </c>
      <c r="H82" t="str">
        <f t="shared" si="16"/>
        <v>32021</v>
      </c>
      <c r="I82">
        <f t="shared" si="17"/>
        <v>31</v>
      </c>
      <c r="J82">
        <f t="shared" si="13"/>
        <v>0</v>
      </c>
      <c r="K82">
        <f t="shared" si="14"/>
        <v>0</v>
      </c>
      <c r="L82">
        <f t="shared" si="15"/>
        <v>0</v>
      </c>
      <c r="M82" t="str">
        <f t="shared" si="18"/>
        <v>122021</v>
      </c>
      <c r="N82" t="str">
        <f t="shared" si="19"/>
        <v>12-3-2021</v>
      </c>
    </row>
    <row r="83" spans="1:14" x14ac:dyDescent="0.2">
      <c r="A83" s="1">
        <v>44278</v>
      </c>
      <c r="B83">
        <f>IFERROR(INDEX('planning dogs-n-tiger'!B$1:B$30,MATCH($H83,'planning dogs-n-tiger'!$G$1:$G$42,0)),0)</f>
        <v>0</v>
      </c>
      <c r="C83">
        <f>IFERROR(INDEX('planning dogs-n-tiger'!C$1:C$30,MATCH($H83,'planning dogs-n-tiger'!$G$1:$G$42,0)),0)</f>
        <v>0</v>
      </c>
      <c r="D83">
        <f>IFERROR(INDEX('planning dogs-n-tiger'!D$1:D$30,MATCH($H83,'planning dogs-n-tiger'!$G$1:$G$42,0)),0)</f>
        <v>0</v>
      </c>
      <c r="E83">
        <f t="shared" si="10"/>
        <v>12</v>
      </c>
      <c r="F83">
        <f t="shared" si="11"/>
        <v>3</v>
      </c>
      <c r="G83">
        <f t="shared" si="12"/>
        <v>2021</v>
      </c>
      <c r="H83" t="str">
        <f t="shared" si="16"/>
        <v>32021</v>
      </c>
      <c r="I83">
        <f t="shared" si="17"/>
        <v>31</v>
      </c>
      <c r="J83">
        <f t="shared" si="13"/>
        <v>0</v>
      </c>
      <c r="K83">
        <f t="shared" si="14"/>
        <v>0</v>
      </c>
      <c r="L83">
        <f t="shared" si="15"/>
        <v>0</v>
      </c>
      <c r="M83" t="str">
        <f t="shared" si="18"/>
        <v>122021</v>
      </c>
      <c r="N83" t="str">
        <f t="shared" si="19"/>
        <v>12-3-2021</v>
      </c>
    </row>
    <row r="84" spans="1:14" x14ac:dyDescent="0.2">
      <c r="A84" s="1">
        <v>44279</v>
      </c>
      <c r="B84">
        <f>IFERROR(INDEX('planning dogs-n-tiger'!B$1:B$30,MATCH($H84,'planning dogs-n-tiger'!$G$1:$G$42,0)),0)</f>
        <v>0</v>
      </c>
      <c r="C84">
        <f>IFERROR(INDEX('planning dogs-n-tiger'!C$1:C$30,MATCH($H84,'planning dogs-n-tiger'!$G$1:$G$42,0)),0)</f>
        <v>0</v>
      </c>
      <c r="D84">
        <f>IFERROR(INDEX('planning dogs-n-tiger'!D$1:D$30,MATCH($H84,'planning dogs-n-tiger'!$G$1:$G$42,0)),0)</f>
        <v>0</v>
      </c>
      <c r="E84">
        <f t="shared" si="10"/>
        <v>12</v>
      </c>
      <c r="F84">
        <f t="shared" si="11"/>
        <v>3</v>
      </c>
      <c r="G84">
        <f t="shared" si="12"/>
        <v>2021</v>
      </c>
      <c r="H84" t="str">
        <f t="shared" si="16"/>
        <v>32021</v>
      </c>
      <c r="I84">
        <f t="shared" si="17"/>
        <v>31</v>
      </c>
      <c r="J84">
        <f t="shared" si="13"/>
        <v>0</v>
      </c>
      <c r="K84">
        <f t="shared" si="14"/>
        <v>0</v>
      </c>
      <c r="L84">
        <f t="shared" si="15"/>
        <v>0</v>
      </c>
      <c r="M84" t="str">
        <f t="shared" si="18"/>
        <v>122021</v>
      </c>
      <c r="N84" t="str">
        <f t="shared" si="19"/>
        <v>12-3-2021</v>
      </c>
    </row>
    <row r="85" spans="1:14" x14ac:dyDescent="0.2">
      <c r="A85" s="1">
        <v>44280</v>
      </c>
      <c r="B85">
        <f>IFERROR(INDEX('planning dogs-n-tiger'!B$1:B$30,MATCH($H85,'planning dogs-n-tiger'!$G$1:$G$42,0)),0)</f>
        <v>0</v>
      </c>
      <c r="C85">
        <f>IFERROR(INDEX('planning dogs-n-tiger'!C$1:C$30,MATCH($H85,'planning dogs-n-tiger'!$G$1:$G$42,0)),0)</f>
        <v>0</v>
      </c>
      <c r="D85">
        <f>IFERROR(INDEX('planning dogs-n-tiger'!D$1:D$30,MATCH($H85,'planning dogs-n-tiger'!$G$1:$G$42,0)),0)</f>
        <v>0</v>
      </c>
      <c r="E85">
        <f t="shared" si="10"/>
        <v>12</v>
      </c>
      <c r="F85">
        <f t="shared" si="11"/>
        <v>3</v>
      </c>
      <c r="G85">
        <f t="shared" si="12"/>
        <v>2021</v>
      </c>
      <c r="H85" t="str">
        <f t="shared" si="16"/>
        <v>32021</v>
      </c>
      <c r="I85">
        <f t="shared" si="17"/>
        <v>31</v>
      </c>
      <c r="J85">
        <f t="shared" si="13"/>
        <v>0</v>
      </c>
      <c r="K85">
        <f t="shared" si="14"/>
        <v>0</v>
      </c>
      <c r="L85">
        <f t="shared" si="15"/>
        <v>0</v>
      </c>
      <c r="M85" t="str">
        <f t="shared" si="18"/>
        <v>122021</v>
      </c>
      <c r="N85" t="str">
        <f t="shared" si="19"/>
        <v>12-3-2021</v>
      </c>
    </row>
    <row r="86" spans="1:14" x14ac:dyDescent="0.2">
      <c r="A86" s="1">
        <v>44281</v>
      </c>
      <c r="B86">
        <f>IFERROR(INDEX('planning dogs-n-tiger'!B$1:B$30,MATCH($H86,'planning dogs-n-tiger'!$G$1:$G$42,0)),0)</f>
        <v>0</v>
      </c>
      <c r="C86">
        <f>IFERROR(INDEX('planning dogs-n-tiger'!C$1:C$30,MATCH($H86,'planning dogs-n-tiger'!$G$1:$G$42,0)),0)</f>
        <v>0</v>
      </c>
      <c r="D86">
        <f>IFERROR(INDEX('planning dogs-n-tiger'!D$1:D$30,MATCH($H86,'planning dogs-n-tiger'!$G$1:$G$42,0)),0)</f>
        <v>0</v>
      </c>
      <c r="E86">
        <f t="shared" si="10"/>
        <v>12</v>
      </c>
      <c r="F86">
        <f t="shared" si="11"/>
        <v>3</v>
      </c>
      <c r="G86">
        <f t="shared" si="12"/>
        <v>2021</v>
      </c>
      <c r="H86" t="str">
        <f t="shared" si="16"/>
        <v>32021</v>
      </c>
      <c r="I86">
        <f t="shared" si="17"/>
        <v>31</v>
      </c>
      <c r="J86">
        <f t="shared" si="13"/>
        <v>0</v>
      </c>
      <c r="K86">
        <f t="shared" si="14"/>
        <v>0</v>
      </c>
      <c r="L86">
        <f t="shared" si="15"/>
        <v>0</v>
      </c>
      <c r="M86" t="str">
        <f t="shared" si="18"/>
        <v>122021</v>
      </c>
      <c r="N86" t="str">
        <f t="shared" si="19"/>
        <v>12-3-2021</v>
      </c>
    </row>
    <row r="87" spans="1:14" x14ac:dyDescent="0.2">
      <c r="A87" s="1">
        <v>44282</v>
      </c>
      <c r="B87">
        <f>IFERROR(INDEX('planning dogs-n-tiger'!B$1:B$30,MATCH($H87,'planning dogs-n-tiger'!$G$1:$G$42,0)),0)</f>
        <v>0</v>
      </c>
      <c r="C87">
        <f>IFERROR(INDEX('planning dogs-n-tiger'!C$1:C$30,MATCH($H87,'planning dogs-n-tiger'!$G$1:$G$42,0)),0)</f>
        <v>0</v>
      </c>
      <c r="D87">
        <f>IFERROR(INDEX('planning dogs-n-tiger'!D$1:D$30,MATCH($H87,'planning dogs-n-tiger'!$G$1:$G$42,0)),0)</f>
        <v>0</v>
      </c>
      <c r="E87">
        <f t="shared" si="10"/>
        <v>12</v>
      </c>
      <c r="F87">
        <f t="shared" si="11"/>
        <v>3</v>
      </c>
      <c r="G87">
        <f t="shared" si="12"/>
        <v>2021</v>
      </c>
      <c r="H87" t="str">
        <f t="shared" si="16"/>
        <v>32021</v>
      </c>
      <c r="I87">
        <f t="shared" si="17"/>
        <v>31</v>
      </c>
      <c r="J87">
        <f t="shared" si="13"/>
        <v>0</v>
      </c>
      <c r="K87">
        <f t="shared" si="14"/>
        <v>0</v>
      </c>
      <c r="L87">
        <f t="shared" si="15"/>
        <v>0</v>
      </c>
      <c r="M87" t="str">
        <f t="shared" si="18"/>
        <v>122021</v>
      </c>
      <c r="N87" t="str">
        <f t="shared" si="19"/>
        <v>12-3-2021</v>
      </c>
    </row>
    <row r="88" spans="1:14" x14ac:dyDescent="0.2">
      <c r="A88" s="1">
        <v>44283</v>
      </c>
      <c r="B88">
        <f>IFERROR(INDEX('planning dogs-n-tiger'!B$1:B$30,MATCH($H88,'planning dogs-n-tiger'!$G$1:$G$42,0)),0)</f>
        <v>0</v>
      </c>
      <c r="C88">
        <f>IFERROR(INDEX('planning dogs-n-tiger'!C$1:C$30,MATCH($H88,'planning dogs-n-tiger'!$G$1:$G$42,0)),0)</f>
        <v>0</v>
      </c>
      <c r="D88">
        <f>IFERROR(INDEX('planning dogs-n-tiger'!D$1:D$30,MATCH($H88,'planning dogs-n-tiger'!$G$1:$G$42,0)),0)</f>
        <v>0</v>
      </c>
      <c r="E88">
        <f t="shared" si="10"/>
        <v>12</v>
      </c>
      <c r="F88">
        <f t="shared" si="11"/>
        <v>3</v>
      </c>
      <c r="G88">
        <f t="shared" si="12"/>
        <v>2021</v>
      </c>
      <c r="H88" t="str">
        <f t="shared" si="16"/>
        <v>32021</v>
      </c>
      <c r="I88">
        <f t="shared" si="17"/>
        <v>31</v>
      </c>
      <c r="J88">
        <f t="shared" si="13"/>
        <v>0</v>
      </c>
      <c r="K88">
        <f t="shared" si="14"/>
        <v>0</v>
      </c>
      <c r="L88">
        <f t="shared" si="15"/>
        <v>0</v>
      </c>
      <c r="M88" t="str">
        <f t="shared" si="18"/>
        <v>122021</v>
      </c>
      <c r="N88" t="str">
        <f t="shared" si="19"/>
        <v>12-3-2021</v>
      </c>
    </row>
    <row r="89" spans="1:14" x14ac:dyDescent="0.2">
      <c r="A89" s="1">
        <v>44284</v>
      </c>
      <c r="B89">
        <f>IFERROR(INDEX('planning dogs-n-tiger'!B$1:B$30,MATCH($H89,'planning dogs-n-tiger'!$G$1:$G$42,0)),0)</f>
        <v>0</v>
      </c>
      <c r="C89">
        <f>IFERROR(INDEX('planning dogs-n-tiger'!C$1:C$30,MATCH($H89,'planning dogs-n-tiger'!$G$1:$G$42,0)),0)</f>
        <v>0</v>
      </c>
      <c r="D89">
        <f>IFERROR(INDEX('planning dogs-n-tiger'!D$1:D$30,MATCH($H89,'planning dogs-n-tiger'!$G$1:$G$42,0)),0)</f>
        <v>0</v>
      </c>
      <c r="E89">
        <f t="shared" si="10"/>
        <v>13</v>
      </c>
      <c r="F89">
        <f t="shared" si="11"/>
        <v>3</v>
      </c>
      <c r="G89">
        <f t="shared" si="12"/>
        <v>2021</v>
      </c>
      <c r="H89" t="str">
        <f t="shared" si="16"/>
        <v>32021</v>
      </c>
      <c r="I89">
        <f t="shared" si="17"/>
        <v>31</v>
      </c>
      <c r="J89">
        <f t="shared" si="13"/>
        <v>0</v>
      </c>
      <c r="K89">
        <f t="shared" si="14"/>
        <v>0</v>
      </c>
      <c r="L89">
        <f t="shared" si="15"/>
        <v>0</v>
      </c>
      <c r="M89" t="str">
        <f t="shared" si="18"/>
        <v>132021</v>
      </c>
      <c r="N89" t="str">
        <f t="shared" si="19"/>
        <v>13-3-2021</v>
      </c>
    </row>
    <row r="90" spans="1:14" x14ac:dyDescent="0.2">
      <c r="A90" s="1">
        <v>44285</v>
      </c>
      <c r="B90">
        <f>IFERROR(INDEX('planning dogs-n-tiger'!B$1:B$30,MATCH($H90,'planning dogs-n-tiger'!$G$1:$G$42,0)),0)</f>
        <v>0</v>
      </c>
      <c r="C90">
        <f>IFERROR(INDEX('planning dogs-n-tiger'!C$1:C$30,MATCH($H90,'planning dogs-n-tiger'!$G$1:$G$42,0)),0)</f>
        <v>0</v>
      </c>
      <c r="D90">
        <f>IFERROR(INDEX('planning dogs-n-tiger'!D$1:D$30,MATCH($H90,'planning dogs-n-tiger'!$G$1:$G$42,0)),0)</f>
        <v>0</v>
      </c>
      <c r="E90">
        <f t="shared" si="10"/>
        <v>13</v>
      </c>
      <c r="F90">
        <f t="shared" si="11"/>
        <v>3</v>
      </c>
      <c r="G90">
        <f t="shared" si="12"/>
        <v>2021</v>
      </c>
      <c r="H90" t="str">
        <f t="shared" si="16"/>
        <v>32021</v>
      </c>
      <c r="I90">
        <f t="shared" si="17"/>
        <v>31</v>
      </c>
      <c r="J90">
        <f t="shared" si="13"/>
        <v>0</v>
      </c>
      <c r="K90">
        <f t="shared" si="14"/>
        <v>0</v>
      </c>
      <c r="L90">
        <f t="shared" si="15"/>
        <v>0</v>
      </c>
      <c r="M90" t="str">
        <f t="shared" si="18"/>
        <v>132021</v>
      </c>
      <c r="N90" t="str">
        <f t="shared" si="19"/>
        <v>13-3-2021</v>
      </c>
    </row>
    <row r="91" spans="1:14" x14ac:dyDescent="0.2">
      <c r="A91" s="1">
        <v>44286</v>
      </c>
      <c r="B91">
        <f>IFERROR(INDEX('planning dogs-n-tiger'!B$1:B$30,MATCH($H91,'planning dogs-n-tiger'!$G$1:$G$42,0)),0)</f>
        <v>0</v>
      </c>
      <c r="C91">
        <f>IFERROR(INDEX('planning dogs-n-tiger'!C$1:C$30,MATCH($H91,'planning dogs-n-tiger'!$G$1:$G$42,0)),0)</f>
        <v>0</v>
      </c>
      <c r="D91">
        <f>IFERROR(INDEX('planning dogs-n-tiger'!D$1:D$30,MATCH($H91,'planning dogs-n-tiger'!$G$1:$G$42,0)),0)</f>
        <v>0</v>
      </c>
      <c r="E91">
        <f t="shared" si="10"/>
        <v>13</v>
      </c>
      <c r="F91">
        <f t="shared" si="11"/>
        <v>3</v>
      </c>
      <c r="G91">
        <f t="shared" si="12"/>
        <v>2021</v>
      </c>
      <c r="H91" t="str">
        <f t="shared" si="16"/>
        <v>32021</v>
      </c>
      <c r="I91">
        <f t="shared" si="17"/>
        <v>31</v>
      </c>
      <c r="J91">
        <f t="shared" si="13"/>
        <v>0</v>
      </c>
      <c r="K91">
        <f t="shared" si="14"/>
        <v>0</v>
      </c>
      <c r="L91">
        <f t="shared" si="15"/>
        <v>0</v>
      </c>
      <c r="M91" t="str">
        <f t="shared" si="18"/>
        <v>132021</v>
      </c>
      <c r="N91" t="str">
        <f t="shared" si="19"/>
        <v>13-3-2021</v>
      </c>
    </row>
    <row r="92" spans="1:14" x14ac:dyDescent="0.2">
      <c r="A92" s="1">
        <v>44287</v>
      </c>
      <c r="B92">
        <f>IFERROR(INDEX('planning dogs-n-tiger'!B$1:B$30,MATCH($H92,'planning dogs-n-tiger'!$G$1:$G$42,0)),0)</f>
        <v>0</v>
      </c>
      <c r="C92">
        <f>IFERROR(INDEX('planning dogs-n-tiger'!C$1:C$30,MATCH($H92,'planning dogs-n-tiger'!$G$1:$G$42,0)),0)</f>
        <v>0</v>
      </c>
      <c r="D92">
        <f>IFERROR(INDEX('planning dogs-n-tiger'!D$1:D$30,MATCH($H92,'planning dogs-n-tiger'!$G$1:$G$42,0)),0)</f>
        <v>0</v>
      </c>
      <c r="E92">
        <f t="shared" si="10"/>
        <v>13</v>
      </c>
      <c r="F92">
        <f t="shared" si="11"/>
        <v>4</v>
      </c>
      <c r="G92">
        <f t="shared" si="12"/>
        <v>2021</v>
      </c>
      <c r="H92" t="str">
        <f t="shared" si="16"/>
        <v>42021</v>
      </c>
      <c r="I92">
        <f t="shared" si="17"/>
        <v>30</v>
      </c>
      <c r="J92">
        <f t="shared" si="13"/>
        <v>0</v>
      </c>
      <c r="K92">
        <f t="shared" si="14"/>
        <v>0</v>
      </c>
      <c r="L92">
        <f t="shared" si="15"/>
        <v>0</v>
      </c>
      <c r="M92" t="str">
        <f t="shared" si="18"/>
        <v>132021</v>
      </c>
      <c r="N92" t="str">
        <f t="shared" si="19"/>
        <v>13-4-2021</v>
      </c>
    </row>
    <row r="93" spans="1:14" x14ac:dyDescent="0.2">
      <c r="A93" s="1">
        <v>44288</v>
      </c>
      <c r="B93">
        <f>IFERROR(INDEX('planning dogs-n-tiger'!B$1:B$30,MATCH($H93,'planning dogs-n-tiger'!$G$1:$G$42,0)),0)</f>
        <v>0</v>
      </c>
      <c r="C93">
        <f>IFERROR(INDEX('planning dogs-n-tiger'!C$1:C$30,MATCH($H93,'planning dogs-n-tiger'!$G$1:$G$42,0)),0)</f>
        <v>0</v>
      </c>
      <c r="D93">
        <f>IFERROR(INDEX('planning dogs-n-tiger'!D$1:D$30,MATCH($H93,'planning dogs-n-tiger'!$G$1:$G$42,0)),0)</f>
        <v>0</v>
      </c>
      <c r="E93">
        <f t="shared" si="10"/>
        <v>13</v>
      </c>
      <c r="F93">
        <f t="shared" si="11"/>
        <v>4</v>
      </c>
      <c r="G93">
        <f t="shared" si="12"/>
        <v>2021</v>
      </c>
      <c r="H93" t="str">
        <f t="shared" si="16"/>
        <v>42021</v>
      </c>
      <c r="I93">
        <f t="shared" si="17"/>
        <v>30</v>
      </c>
      <c r="J93">
        <f t="shared" si="13"/>
        <v>0</v>
      </c>
      <c r="K93">
        <f t="shared" si="14"/>
        <v>0</v>
      </c>
      <c r="L93">
        <f t="shared" si="15"/>
        <v>0</v>
      </c>
      <c r="M93" t="str">
        <f t="shared" si="18"/>
        <v>132021</v>
      </c>
      <c r="N93" t="str">
        <f t="shared" si="19"/>
        <v>13-4-2021</v>
      </c>
    </row>
    <row r="94" spans="1:14" x14ac:dyDescent="0.2">
      <c r="A94" s="1">
        <v>44289</v>
      </c>
      <c r="B94">
        <f>IFERROR(INDEX('planning dogs-n-tiger'!B$1:B$30,MATCH($H94,'planning dogs-n-tiger'!$G$1:$G$42,0)),0)</f>
        <v>0</v>
      </c>
      <c r="C94">
        <f>IFERROR(INDEX('planning dogs-n-tiger'!C$1:C$30,MATCH($H94,'planning dogs-n-tiger'!$G$1:$G$42,0)),0)</f>
        <v>0</v>
      </c>
      <c r="D94">
        <f>IFERROR(INDEX('planning dogs-n-tiger'!D$1:D$30,MATCH($H94,'planning dogs-n-tiger'!$G$1:$G$42,0)),0)</f>
        <v>0</v>
      </c>
      <c r="E94">
        <f t="shared" si="10"/>
        <v>13</v>
      </c>
      <c r="F94">
        <f t="shared" si="11"/>
        <v>4</v>
      </c>
      <c r="G94">
        <f t="shared" si="12"/>
        <v>2021</v>
      </c>
      <c r="H94" t="str">
        <f t="shared" si="16"/>
        <v>42021</v>
      </c>
      <c r="I94">
        <f t="shared" si="17"/>
        <v>30</v>
      </c>
      <c r="J94">
        <f t="shared" si="13"/>
        <v>0</v>
      </c>
      <c r="K94">
        <f t="shared" si="14"/>
        <v>0</v>
      </c>
      <c r="L94">
        <f t="shared" si="15"/>
        <v>0</v>
      </c>
      <c r="M94" t="str">
        <f t="shared" si="18"/>
        <v>132021</v>
      </c>
      <c r="N94" t="str">
        <f t="shared" si="19"/>
        <v>13-4-2021</v>
      </c>
    </row>
    <row r="95" spans="1:14" x14ac:dyDescent="0.2">
      <c r="A95" s="1">
        <v>44290</v>
      </c>
      <c r="B95">
        <f>IFERROR(INDEX('planning dogs-n-tiger'!B$1:B$30,MATCH($H95,'planning dogs-n-tiger'!$G$1:$G$42,0)),0)</f>
        <v>0</v>
      </c>
      <c r="C95">
        <f>IFERROR(INDEX('planning dogs-n-tiger'!C$1:C$30,MATCH($H95,'planning dogs-n-tiger'!$G$1:$G$42,0)),0)</f>
        <v>0</v>
      </c>
      <c r="D95">
        <f>IFERROR(INDEX('planning dogs-n-tiger'!D$1:D$30,MATCH($H95,'planning dogs-n-tiger'!$G$1:$G$42,0)),0)</f>
        <v>0</v>
      </c>
      <c r="E95">
        <f t="shared" si="10"/>
        <v>13</v>
      </c>
      <c r="F95">
        <f t="shared" si="11"/>
        <v>4</v>
      </c>
      <c r="G95">
        <f t="shared" si="12"/>
        <v>2021</v>
      </c>
      <c r="H95" t="str">
        <f t="shared" si="16"/>
        <v>42021</v>
      </c>
      <c r="I95">
        <f t="shared" si="17"/>
        <v>30</v>
      </c>
      <c r="J95">
        <f t="shared" si="13"/>
        <v>0</v>
      </c>
      <c r="K95">
        <f t="shared" si="14"/>
        <v>0</v>
      </c>
      <c r="L95">
        <f t="shared" si="15"/>
        <v>0</v>
      </c>
      <c r="M95" t="str">
        <f t="shared" si="18"/>
        <v>132021</v>
      </c>
      <c r="N95" t="str">
        <f t="shared" si="19"/>
        <v>13-4-2021</v>
      </c>
    </row>
    <row r="96" spans="1:14" x14ac:dyDescent="0.2">
      <c r="A96" s="1">
        <v>44291</v>
      </c>
      <c r="B96">
        <f>IFERROR(INDEX('planning dogs-n-tiger'!B$1:B$30,MATCH($H96,'planning dogs-n-tiger'!$G$1:$G$42,0)),0)</f>
        <v>0</v>
      </c>
      <c r="C96">
        <f>IFERROR(INDEX('planning dogs-n-tiger'!C$1:C$30,MATCH($H96,'planning dogs-n-tiger'!$G$1:$G$42,0)),0)</f>
        <v>0</v>
      </c>
      <c r="D96">
        <f>IFERROR(INDEX('planning dogs-n-tiger'!D$1:D$30,MATCH($H96,'planning dogs-n-tiger'!$G$1:$G$42,0)),0)</f>
        <v>0</v>
      </c>
      <c r="E96">
        <f t="shared" si="10"/>
        <v>14</v>
      </c>
      <c r="F96">
        <f t="shared" si="11"/>
        <v>4</v>
      </c>
      <c r="G96">
        <f t="shared" si="12"/>
        <v>2021</v>
      </c>
      <c r="H96" t="str">
        <f t="shared" si="16"/>
        <v>42021</v>
      </c>
      <c r="I96">
        <f t="shared" si="17"/>
        <v>30</v>
      </c>
      <c r="J96">
        <f t="shared" si="13"/>
        <v>0</v>
      </c>
      <c r="K96">
        <f t="shared" si="14"/>
        <v>0</v>
      </c>
      <c r="L96">
        <f t="shared" si="15"/>
        <v>0</v>
      </c>
      <c r="M96" t="str">
        <f t="shared" si="18"/>
        <v>142021</v>
      </c>
      <c r="N96" t="str">
        <f t="shared" si="19"/>
        <v>14-4-2021</v>
      </c>
    </row>
    <row r="97" spans="1:14" x14ac:dyDescent="0.2">
      <c r="A97" s="1">
        <v>44292</v>
      </c>
      <c r="B97">
        <f>IFERROR(INDEX('planning dogs-n-tiger'!B$1:B$30,MATCH($H97,'planning dogs-n-tiger'!$G$1:$G$42,0)),0)</f>
        <v>0</v>
      </c>
      <c r="C97">
        <f>IFERROR(INDEX('planning dogs-n-tiger'!C$1:C$30,MATCH($H97,'planning dogs-n-tiger'!$G$1:$G$42,0)),0)</f>
        <v>0</v>
      </c>
      <c r="D97">
        <f>IFERROR(INDEX('planning dogs-n-tiger'!D$1:D$30,MATCH($H97,'planning dogs-n-tiger'!$G$1:$G$42,0)),0)</f>
        <v>0</v>
      </c>
      <c r="E97">
        <f t="shared" si="10"/>
        <v>14</v>
      </c>
      <c r="F97">
        <f t="shared" si="11"/>
        <v>4</v>
      </c>
      <c r="G97">
        <f t="shared" si="12"/>
        <v>2021</v>
      </c>
      <c r="H97" t="str">
        <f t="shared" si="16"/>
        <v>42021</v>
      </c>
      <c r="I97">
        <f t="shared" si="17"/>
        <v>30</v>
      </c>
      <c r="J97">
        <f t="shared" si="13"/>
        <v>0</v>
      </c>
      <c r="K97">
        <f t="shared" si="14"/>
        <v>0</v>
      </c>
      <c r="L97">
        <f t="shared" si="15"/>
        <v>0</v>
      </c>
      <c r="M97" t="str">
        <f t="shared" si="18"/>
        <v>142021</v>
      </c>
      <c r="N97" t="str">
        <f t="shared" si="19"/>
        <v>14-4-2021</v>
      </c>
    </row>
    <row r="98" spans="1:14" x14ac:dyDescent="0.2">
      <c r="A98" s="1">
        <v>44293</v>
      </c>
      <c r="B98">
        <f>IFERROR(INDEX('planning dogs-n-tiger'!B$1:B$30,MATCH($H98,'planning dogs-n-tiger'!$G$1:$G$42,0)),0)</f>
        <v>0</v>
      </c>
      <c r="C98">
        <f>IFERROR(INDEX('planning dogs-n-tiger'!C$1:C$30,MATCH($H98,'planning dogs-n-tiger'!$G$1:$G$42,0)),0)</f>
        <v>0</v>
      </c>
      <c r="D98">
        <f>IFERROR(INDEX('planning dogs-n-tiger'!D$1:D$30,MATCH($H98,'planning dogs-n-tiger'!$G$1:$G$42,0)),0)</f>
        <v>0</v>
      </c>
      <c r="E98">
        <f t="shared" si="10"/>
        <v>14</v>
      </c>
      <c r="F98">
        <f t="shared" si="11"/>
        <v>4</v>
      </c>
      <c r="G98">
        <f t="shared" si="12"/>
        <v>2021</v>
      </c>
      <c r="H98" t="str">
        <f t="shared" si="16"/>
        <v>42021</v>
      </c>
      <c r="I98">
        <f t="shared" si="17"/>
        <v>30</v>
      </c>
      <c r="J98">
        <f t="shared" si="13"/>
        <v>0</v>
      </c>
      <c r="K98">
        <f t="shared" si="14"/>
        <v>0</v>
      </c>
      <c r="L98">
        <f t="shared" si="15"/>
        <v>0</v>
      </c>
      <c r="M98" t="str">
        <f t="shared" si="18"/>
        <v>142021</v>
      </c>
      <c r="N98" t="str">
        <f t="shared" si="19"/>
        <v>14-4-2021</v>
      </c>
    </row>
    <row r="99" spans="1:14" x14ac:dyDescent="0.2">
      <c r="A99" s="1">
        <v>44294</v>
      </c>
      <c r="B99">
        <f>IFERROR(INDEX('planning dogs-n-tiger'!B$1:B$30,MATCH($H99,'planning dogs-n-tiger'!$G$1:$G$42,0)),0)</f>
        <v>0</v>
      </c>
      <c r="C99">
        <f>IFERROR(INDEX('planning dogs-n-tiger'!C$1:C$30,MATCH($H99,'planning dogs-n-tiger'!$G$1:$G$42,0)),0)</f>
        <v>0</v>
      </c>
      <c r="D99">
        <f>IFERROR(INDEX('planning dogs-n-tiger'!D$1:D$30,MATCH($H99,'planning dogs-n-tiger'!$G$1:$G$42,0)),0)</f>
        <v>0</v>
      </c>
      <c r="E99">
        <f t="shared" si="10"/>
        <v>14</v>
      </c>
      <c r="F99">
        <f t="shared" si="11"/>
        <v>4</v>
      </c>
      <c r="G99">
        <f t="shared" si="12"/>
        <v>2021</v>
      </c>
      <c r="H99" t="str">
        <f t="shared" si="16"/>
        <v>42021</v>
      </c>
      <c r="I99">
        <f t="shared" si="17"/>
        <v>30</v>
      </c>
      <c r="J99">
        <f t="shared" si="13"/>
        <v>0</v>
      </c>
      <c r="K99">
        <f t="shared" si="14"/>
        <v>0</v>
      </c>
      <c r="L99">
        <f t="shared" si="15"/>
        <v>0</v>
      </c>
      <c r="M99" t="str">
        <f t="shared" si="18"/>
        <v>142021</v>
      </c>
      <c r="N99" t="str">
        <f t="shared" si="19"/>
        <v>14-4-2021</v>
      </c>
    </row>
    <row r="100" spans="1:14" x14ac:dyDescent="0.2">
      <c r="A100" s="1">
        <v>44295</v>
      </c>
      <c r="B100">
        <f>IFERROR(INDEX('planning dogs-n-tiger'!B$1:B$30,MATCH($H100,'planning dogs-n-tiger'!$G$1:$G$42,0)),0)</f>
        <v>0</v>
      </c>
      <c r="C100">
        <f>IFERROR(INDEX('planning dogs-n-tiger'!C$1:C$30,MATCH($H100,'planning dogs-n-tiger'!$G$1:$G$42,0)),0)</f>
        <v>0</v>
      </c>
      <c r="D100">
        <f>IFERROR(INDEX('planning dogs-n-tiger'!D$1:D$30,MATCH($H100,'planning dogs-n-tiger'!$G$1:$G$42,0)),0)</f>
        <v>0</v>
      </c>
      <c r="E100">
        <f t="shared" si="10"/>
        <v>14</v>
      </c>
      <c r="F100">
        <f t="shared" si="11"/>
        <v>4</v>
      </c>
      <c r="G100">
        <f t="shared" si="12"/>
        <v>2021</v>
      </c>
      <c r="H100" t="str">
        <f t="shared" si="16"/>
        <v>42021</v>
      </c>
      <c r="I100">
        <f t="shared" si="17"/>
        <v>30</v>
      </c>
      <c r="J100">
        <f t="shared" si="13"/>
        <v>0</v>
      </c>
      <c r="K100">
        <f t="shared" si="14"/>
        <v>0</v>
      </c>
      <c r="L100">
        <f t="shared" si="15"/>
        <v>0</v>
      </c>
      <c r="M100" t="str">
        <f t="shared" si="18"/>
        <v>142021</v>
      </c>
      <c r="N100" t="str">
        <f t="shared" si="19"/>
        <v>14-4-2021</v>
      </c>
    </row>
    <row r="101" spans="1:14" x14ac:dyDescent="0.2">
      <c r="A101" s="1">
        <v>44296</v>
      </c>
      <c r="B101">
        <f>IFERROR(INDEX('planning dogs-n-tiger'!B$1:B$30,MATCH($H101,'planning dogs-n-tiger'!$G$1:$G$42,0)),0)</f>
        <v>0</v>
      </c>
      <c r="C101">
        <f>IFERROR(INDEX('planning dogs-n-tiger'!C$1:C$30,MATCH($H101,'planning dogs-n-tiger'!$G$1:$G$42,0)),0)</f>
        <v>0</v>
      </c>
      <c r="D101">
        <f>IFERROR(INDEX('planning dogs-n-tiger'!D$1:D$30,MATCH($H101,'planning dogs-n-tiger'!$G$1:$G$42,0)),0)</f>
        <v>0</v>
      </c>
      <c r="E101">
        <f t="shared" si="10"/>
        <v>14</v>
      </c>
      <c r="F101">
        <f t="shared" si="11"/>
        <v>4</v>
      </c>
      <c r="G101">
        <f t="shared" si="12"/>
        <v>2021</v>
      </c>
      <c r="H101" t="str">
        <f t="shared" si="16"/>
        <v>42021</v>
      </c>
      <c r="I101">
        <f t="shared" si="17"/>
        <v>30</v>
      </c>
      <c r="J101">
        <f t="shared" si="13"/>
        <v>0</v>
      </c>
      <c r="K101">
        <f t="shared" si="14"/>
        <v>0</v>
      </c>
      <c r="L101">
        <f t="shared" si="15"/>
        <v>0</v>
      </c>
      <c r="M101" t="str">
        <f t="shared" si="18"/>
        <v>142021</v>
      </c>
      <c r="N101" t="str">
        <f t="shared" si="19"/>
        <v>14-4-2021</v>
      </c>
    </row>
    <row r="102" spans="1:14" x14ac:dyDescent="0.2">
      <c r="A102" s="1">
        <v>44297</v>
      </c>
      <c r="B102">
        <f>IFERROR(INDEX('planning dogs-n-tiger'!B$1:B$30,MATCH($H102,'planning dogs-n-tiger'!$G$1:$G$42,0)),0)</f>
        <v>0</v>
      </c>
      <c r="C102">
        <f>IFERROR(INDEX('planning dogs-n-tiger'!C$1:C$30,MATCH($H102,'planning dogs-n-tiger'!$G$1:$G$42,0)),0)</f>
        <v>0</v>
      </c>
      <c r="D102">
        <f>IFERROR(INDEX('planning dogs-n-tiger'!D$1:D$30,MATCH($H102,'planning dogs-n-tiger'!$G$1:$G$42,0)),0)</f>
        <v>0</v>
      </c>
      <c r="E102">
        <f t="shared" si="10"/>
        <v>14</v>
      </c>
      <c r="F102">
        <f t="shared" si="11"/>
        <v>4</v>
      </c>
      <c r="G102">
        <f t="shared" si="12"/>
        <v>2021</v>
      </c>
      <c r="H102" t="str">
        <f t="shared" si="16"/>
        <v>42021</v>
      </c>
      <c r="I102">
        <f t="shared" si="17"/>
        <v>30</v>
      </c>
      <c r="J102">
        <f t="shared" si="13"/>
        <v>0</v>
      </c>
      <c r="K102">
        <f t="shared" si="14"/>
        <v>0</v>
      </c>
      <c r="L102">
        <f t="shared" si="15"/>
        <v>0</v>
      </c>
      <c r="M102" t="str">
        <f t="shared" si="18"/>
        <v>142021</v>
      </c>
      <c r="N102" t="str">
        <f t="shared" si="19"/>
        <v>14-4-2021</v>
      </c>
    </row>
    <row r="103" spans="1:14" x14ac:dyDescent="0.2">
      <c r="A103" s="1">
        <v>44298</v>
      </c>
      <c r="B103">
        <f>IFERROR(INDEX('planning dogs-n-tiger'!B$1:B$30,MATCH($H103,'planning dogs-n-tiger'!$G$1:$G$42,0)),0)</f>
        <v>0</v>
      </c>
      <c r="C103">
        <f>IFERROR(INDEX('planning dogs-n-tiger'!C$1:C$30,MATCH($H103,'planning dogs-n-tiger'!$G$1:$G$42,0)),0)</f>
        <v>0</v>
      </c>
      <c r="D103">
        <f>IFERROR(INDEX('planning dogs-n-tiger'!D$1:D$30,MATCH($H103,'planning dogs-n-tiger'!$G$1:$G$42,0)),0)</f>
        <v>0</v>
      </c>
      <c r="E103">
        <f t="shared" si="10"/>
        <v>15</v>
      </c>
      <c r="F103">
        <f t="shared" si="11"/>
        <v>4</v>
      </c>
      <c r="G103">
        <f t="shared" si="12"/>
        <v>2021</v>
      </c>
      <c r="H103" t="str">
        <f t="shared" si="16"/>
        <v>42021</v>
      </c>
      <c r="I103">
        <f t="shared" si="17"/>
        <v>30</v>
      </c>
      <c r="J103">
        <f t="shared" si="13"/>
        <v>0</v>
      </c>
      <c r="K103">
        <f t="shared" si="14"/>
        <v>0</v>
      </c>
      <c r="L103">
        <f t="shared" si="15"/>
        <v>0</v>
      </c>
      <c r="M103" t="str">
        <f t="shared" si="18"/>
        <v>152021</v>
      </c>
      <c r="N103" t="str">
        <f t="shared" si="19"/>
        <v>15-4-2021</v>
      </c>
    </row>
    <row r="104" spans="1:14" x14ac:dyDescent="0.2">
      <c r="A104" s="1">
        <v>44299</v>
      </c>
      <c r="B104">
        <f>IFERROR(INDEX('planning dogs-n-tiger'!B$1:B$30,MATCH($H104,'planning dogs-n-tiger'!$G$1:$G$42,0)),0)</f>
        <v>0</v>
      </c>
      <c r="C104">
        <f>IFERROR(INDEX('planning dogs-n-tiger'!C$1:C$30,MATCH($H104,'planning dogs-n-tiger'!$G$1:$G$42,0)),0)</f>
        <v>0</v>
      </c>
      <c r="D104">
        <f>IFERROR(INDEX('planning dogs-n-tiger'!D$1:D$30,MATCH($H104,'planning dogs-n-tiger'!$G$1:$G$42,0)),0)</f>
        <v>0</v>
      </c>
      <c r="E104">
        <f t="shared" si="10"/>
        <v>15</v>
      </c>
      <c r="F104">
        <f t="shared" si="11"/>
        <v>4</v>
      </c>
      <c r="G104">
        <f t="shared" si="12"/>
        <v>2021</v>
      </c>
      <c r="H104" t="str">
        <f t="shared" si="16"/>
        <v>42021</v>
      </c>
      <c r="I104">
        <f t="shared" si="17"/>
        <v>30</v>
      </c>
      <c r="J104">
        <f t="shared" si="13"/>
        <v>0</v>
      </c>
      <c r="K104">
        <f t="shared" si="14"/>
        <v>0</v>
      </c>
      <c r="L104">
        <f t="shared" si="15"/>
        <v>0</v>
      </c>
      <c r="M104" t="str">
        <f t="shared" si="18"/>
        <v>152021</v>
      </c>
      <c r="N104" t="str">
        <f t="shared" si="19"/>
        <v>15-4-2021</v>
      </c>
    </row>
    <row r="105" spans="1:14" x14ac:dyDescent="0.2">
      <c r="A105" s="1">
        <v>44300</v>
      </c>
      <c r="B105">
        <f>IFERROR(INDEX('planning dogs-n-tiger'!B$1:B$30,MATCH($H105,'planning dogs-n-tiger'!$G$1:$G$42,0)),0)</f>
        <v>0</v>
      </c>
      <c r="C105">
        <f>IFERROR(INDEX('planning dogs-n-tiger'!C$1:C$30,MATCH($H105,'planning dogs-n-tiger'!$G$1:$G$42,0)),0)</f>
        <v>0</v>
      </c>
      <c r="D105">
        <f>IFERROR(INDEX('planning dogs-n-tiger'!D$1:D$30,MATCH($H105,'planning dogs-n-tiger'!$G$1:$G$42,0)),0)</f>
        <v>0</v>
      </c>
      <c r="E105">
        <f t="shared" si="10"/>
        <v>15</v>
      </c>
      <c r="F105">
        <f t="shared" si="11"/>
        <v>4</v>
      </c>
      <c r="G105">
        <f t="shared" si="12"/>
        <v>2021</v>
      </c>
      <c r="H105" t="str">
        <f t="shared" si="16"/>
        <v>42021</v>
      </c>
      <c r="I105">
        <f t="shared" si="17"/>
        <v>30</v>
      </c>
      <c r="J105">
        <f t="shared" si="13"/>
        <v>0</v>
      </c>
      <c r="K105">
        <f t="shared" si="14"/>
        <v>0</v>
      </c>
      <c r="L105">
        <f t="shared" si="15"/>
        <v>0</v>
      </c>
      <c r="M105" t="str">
        <f t="shared" si="18"/>
        <v>152021</v>
      </c>
      <c r="N105" t="str">
        <f t="shared" si="19"/>
        <v>15-4-2021</v>
      </c>
    </row>
    <row r="106" spans="1:14" x14ac:dyDescent="0.2">
      <c r="A106" s="1">
        <v>44301</v>
      </c>
      <c r="B106">
        <f>IFERROR(INDEX('planning dogs-n-tiger'!B$1:B$30,MATCH($H106,'planning dogs-n-tiger'!$G$1:$G$42,0)),0)</f>
        <v>0</v>
      </c>
      <c r="C106">
        <f>IFERROR(INDEX('planning dogs-n-tiger'!C$1:C$30,MATCH($H106,'planning dogs-n-tiger'!$G$1:$G$42,0)),0)</f>
        <v>0</v>
      </c>
      <c r="D106">
        <f>IFERROR(INDEX('planning dogs-n-tiger'!D$1:D$30,MATCH($H106,'planning dogs-n-tiger'!$G$1:$G$42,0)),0)</f>
        <v>0</v>
      </c>
      <c r="E106">
        <f t="shared" si="10"/>
        <v>15</v>
      </c>
      <c r="F106">
        <f t="shared" si="11"/>
        <v>4</v>
      </c>
      <c r="G106">
        <f t="shared" si="12"/>
        <v>2021</v>
      </c>
      <c r="H106" t="str">
        <f t="shared" si="16"/>
        <v>42021</v>
      </c>
      <c r="I106">
        <f t="shared" si="17"/>
        <v>30</v>
      </c>
      <c r="J106">
        <f t="shared" si="13"/>
        <v>0</v>
      </c>
      <c r="K106">
        <f t="shared" si="14"/>
        <v>0</v>
      </c>
      <c r="L106">
        <f t="shared" si="15"/>
        <v>0</v>
      </c>
      <c r="M106" t="str">
        <f t="shared" si="18"/>
        <v>152021</v>
      </c>
      <c r="N106" t="str">
        <f t="shared" si="19"/>
        <v>15-4-2021</v>
      </c>
    </row>
    <row r="107" spans="1:14" x14ac:dyDescent="0.2">
      <c r="A107" s="1">
        <v>44302</v>
      </c>
      <c r="B107">
        <f>IFERROR(INDEX('planning dogs-n-tiger'!B$1:B$30,MATCH($H107,'planning dogs-n-tiger'!$G$1:$G$42,0)),0)</f>
        <v>0</v>
      </c>
      <c r="C107">
        <f>IFERROR(INDEX('planning dogs-n-tiger'!C$1:C$30,MATCH($H107,'planning dogs-n-tiger'!$G$1:$G$42,0)),0)</f>
        <v>0</v>
      </c>
      <c r="D107">
        <f>IFERROR(INDEX('planning dogs-n-tiger'!D$1:D$30,MATCH($H107,'planning dogs-n-tiger'!$G$1:$G$42,0)),0)</f>
        <v>0</v>
      </c>
      <c r="E107">
        <f t="shared" si="10"/>
        <v>15</v>
      </c>
      <c r="F107">
        <f t="shared" si="11"/>
        <v>4</v>
      </c>
      <c r="G107">
        <f t="shared" si="12"/>
        <v>2021</v>
      </c>
      <c r="H107" t="str">
        <f t="shared" si="16"/>
        <v>42021</v>
      </c>
      <c r="I107">
        <f t="shared" si="17"/>
        <v>30</v>
      </c>
      <c r="J107">
        <f t="shared" si="13"/>
        <v>0</v>
      </c>
      <c r="K107">
        <f t="shared" si="14"/>
        <v>0</v>
      </c>
      <c r="L107">
        <f t="shared" si="15"/>
        <v>0</v>
      </c>
      <c r="M107" t="str">
        <f t="shared" si="18"/>
        <v>152021</v>
      </c>
      <c r="N107" t="str">
        <f t="shared" si="19"/>
        <v>15-4-2021</v>
      </c>
    </row>
    <row r="108" spans="1:14" x14ac:dyDescent="0.2">
      <c r="A108" s="1">
        <v>44303</v>
      </c>
      <c r="B108">
        <f>IFERROR(INDEX('planning dogs-n-tiger'!B$1:B$30,MATCH($H108,'planning dogs-n-tiger'!$G$1:$G$42,0)),0)</f>
        <v>0</v>
      </c>
      <c r="C108">
        <f>IFERROR(INDEX('planning dogs-n-tiger'!C$1:C$30,MATCH($H108,'planning dogs-n-tiger'!$G$1:$G$42,0)),0)</f>
        <v>0</v>
      </c>
      <c r="D108">
        <f>IFERROR(INDEX('planning dogs-n-tiger'!D$1:D$30,MATCH($H108,'planning dogs-n-tiger'!$G$1:$G$42,0)),0)</f>
        <v>0</v>
      </c>
      <c r="E108">
        <f t="shared" si="10"/>
        <v>15</v>
      </c>
      <c r="F108">
        <f t="shared" si="11"/>
        <v>4</v>
      </c>
      <c r="G108">
        <f t="shared" si="12"/>
        <v>2021</v>
      </c>
      <c r="H108" t="str">
        <f t="shared" si="16"/>
        <v>42021</v>
      </c>
      <c r="I108">
        <f t="shared" si="17"/>
        <v>30</v>
      </c>
      <c r="J108">
        <f t="shared" si="13"/>
        <v>0</v>
      </c>
      <c r="K108">
        <f t="shared" si="14"/>
        <v>0</v>
      </c>
      <c r="L108">
        <f t="shared" si="15"/>
        <v>0</v>
      </c>
      <c r="M108" t="str">
        <f t="shared" si="18"/>
        <v>152021</v>
      </c>
      <c r="N108" t="str">
        <f t="shared" si="19"/>
        <v>15-4-2021</v>
      </c>
    </row>
    <row r="109" spans="1:14" x14ac:dyDescent="0.2">
      <c r="A109" s="1">
        <v>44304</v>
      </c>
      <c r="B109">
        <f>IFERROR(INDEX('planning dogs-n-tiger'!B$1:B$30,MATCH($H109,'planning dogs-n-tiger'!$G$1:$G$42,0)),0)</f>
        <v>0</v>
      </c>
      <c r="C109">
        <f>IFERROR(INDEX('planning dogs-n-tiger'!C$1:C$30,MATCH($H109,'planning dogs-n-tiger'!$G$1:$G$42,0)),0)</f>
        <v>0</v>
      </c>
      <c r="D109">
        <f>IFERROR(INDEX('planning dogs-n-tiger'!D$1:D$30,MATCH($H109,'planning dogs-n-tiger'!$G$1:$G$42,0)),0)</f>
        <v>0</v>
      </c>
      <c r="E109">
        <f t="shared" si="10"/>
        <v>15</v>
      </c>
      <c r="F109">
        <f t="shared" si="11"/>
        <v>4</v>
      </c>
      <c r="G109">
        <f t="shared" si="12"/>
        <v>2021</v>
      </c>
      <c r="H109" t="str">
        <f t="shared" si="16"/>
        <v>42021</v>
      </c>
      <c r="I109">
        <f t="shared" si="17"/>
        <v>30</v>
      </c>
      <c r="J109">
        <f t="shared" si="13"/>
        <v>0</v>
      </c>
      <c r="K109">
        <f t="shared" si="14"/>
        <v>0</v>
      </c>
      <c r="L109">
        <f t="shared" si="15"/>
        <v>0</v>
      </c>
      <c r="M109" t="str">
        <f t="shared" si="18"/>
        <v>152021</v>
      </c>
      <c r="N109" t="str">
        <f t="shared" si="19"/>
        <v>15-4-2021</v>
      </c>
    </row>
    <row r="110" spans="1:14" x14ac:dyDescent="0.2">
      <c r="A110" s="1">
        <v>44305</v>
      </c>
      <c r="B110">
        <f>IFERROR(INDEX('planning dogs-n-tiger'!B$1:B$30,MATCH($H110,'planning dogs-n-tiger'!$G$1:$G$42,0)),0)</f>
        <v>0</v>
      </c>
      <c r="C110">
        <f>IFERROR(INDEX('planning dogs-n-tiger'!C$1:C$30,MATCH($H110,'planning dogs-n-tiger'!$G$1:$G$42,0)),0)</f>
        <v>0</v>
      </c>
      <c r="D110">
        <f>IFERROR(INDEX('planning dogs-n-tiger'!D$1:D$30,MATCH($H110,'planning dogs-n-tiger'!$G$1:$G$42,0)),0)</f>
        <v>0</v>
      </c>
      <c r="E110">
        <f t="shared" si="10"/>
        <v>16</v>
      </c>
      <c r="F110">
        <f t="shared" si="11"/>
        <v>4</v>
      </c>
      <c r="G110">
        <f t="shared" si="12"/>
        <v>2021</v>
      </c>
      <c r="H110" t="str">
        <f t="shared" si="16"/>
        <v>42021</v>
      </c>
      <c r="I110">
        <f t="shared" si="17"/>
        <v>30</v>
      </c>
      <c r="J110">
        <f t="shared" si="13"/>
        <v>0</v>
      </c>
      <c r="K110">
        <f t="shared" si="14"/>
        <v>0</v>
      </c>
      <c r="L110">
        <f t="shared" si="15"/>
        <v>0</v>
      </c>
      <c r="M110" t="str">
        <f t="shared" si="18"/>
        <v>162021</v>
      </c>
      <c r="N110" t="str">
        <f t="shared" si="19"/>
        <v>16-4-2021</v>
      </c>
    </row>
    <row r="111" spans="1:14" x14ac:dyDescent="0.2">
      <c r="A111" s="1">
        <v>44306</v>
      </c>
      <c r="B111">
        <f>IFERROR(INDEX('planning dogs-n-tiger'!B$1:B$30,MATCH($H111,'planning dogs-n-tiger'!$G$1:$G$42,0)),0)</f>
        <v>0</v>
      </c>
      <c r="C111">
        <f>IFERROR(INDEX('planning dogs-n-tiger'!C$1:C$30,MATCH($H111,'planning dogs-n-tiger'!$G$1:$G$42,0)),0)</f>
        <v>0</v>
      </c>
      <c r="D111">
        <f>IFERROR(INDEX('planning dogs-n-tiger'!D$1:D$30,MATCH($H111,'planning dogs-n-tiger'!$G$1:$G$42,0)),0)</f>
        <v>0</v>
      </c>
      <c r="E111">
        <f t="shared" si="10"/>
        <v>16</v>
      </c>
      <c r="F111">
        <f t="shared" si="11"/>
        <v>4</v>
      </c>
      <c r="G111">
        <f t="shared" si="12"/>
        <v>2021</v>
      </c>
      <c r="H111" t="str">
        <f t="shared" si="16"/>
        <v>42021</v>
      </c>
      <c r="I111">
        <f t="shared" si="17"/>
        <v>30</v>
      </c>
      <c r="J111">
        <f t="shared" si="13"/>
        <v>0</v>
      </c>
      <c r="K111">
        <f t="shared" si="14"/>
        <v>0</v>
      </c>
      <c r="L111">
        <f t="shared" si="15"/>
        <v>0</v>
      </c>
      <c r="M111" t="str">
        <f t="shared" si="18"/>
        <v>162021</v>
      </c>
      <c r="N111" t="str">
        <f t="shared" si="19"/>
        <v>16-4-2021</v>
      </c>
    </row>
    <row r="112" spans="1:14" x14ac:dyDescent="0.2">
      <c r="A112" s="1">
        <v>44307</v>
      </c>
      <c r="B112">
        <f>IFERROR(INDEX('planning dogs-n-tiger'!B$1:B$30,MATCH($H112,'planning dogs-n-tiger'!$G$1:$G$42,0)),0)</f>
        <v>0</v>
      </c>
      <c r="C112">
        <f>IFERROR(INDEX('planning dogs-n-tiger'!C$1:C$30,MATCH($H112,'planning dogs-n-tiger'!$G$1:$G$42,0)),0)</f>
        <v>0</v>
      </c>
      <c r="D112">
        <f>IFERROR(INDEX('planning dogs-n-tiger'!D$1:D$30,MATCH($H112,'planning dogs-n-tiger'!$G$1:$G$42,0)),0)</f>
        <v>0</v>
      </c>
      <c r="E112">
        <f t="shared" si="10"/>
        <v>16</v>
      </c>
      <c r="F112">
        <f t="shared" si="11"/>
        <v>4</v>
      </c>
      <c r="G112">
        <f t="shared" si="12"/>
        <v>2021</v>
      </c>
      <c r="H112" t="str">
        <f t="shared" si="16"/>
        <v>42021</v>
      </c>
      <c r="I112">
        <f t="shared" si="17"/>
        <v>30</v>
      </c>
      <c r="J112">
        <f t="shared" si="13"/>
        <v>0</v>
      </c>
      <c r="K112">
        <f t="shared" si="14"/>
        <v>0</v>
      </c>
      <c r="L112">
        <f t="shared" si="15"/>
        <v>0</v>
      </c>
      <c r="M112" t="str">
        <f t="shared" si="18"/>
        <v>162021</v>
      </c>
      <c r="N112" t="str">
        <f t="shared" si="19"/>
        <v>16-4-2021</v>
      </c>
    </row>
    <row r="113" spans="1:14" x14ac:dyDescent="0.2">
      <c r="A113" s="1">
        <v>44308</v>
      </c>
      <c r="B113">
        <f>IFERROR(INDEX('planning dogs-n-tiger'!B$1:B$30,MATCH($H113,'planning dogs-n-tiger'!$G$1:$G$42,0)),0)</f>
        <v>0</v>
      </c>
      <c r="C113">
        <f>IFERROR(INDEX('planning dogs-n-tiger'!C$1:C$30,MATCH($H113,'planning dogs-n-tiger'!$G$1:$G$42,0)),0)</f>
        <v>0</v>
      </c>
      <c r="D113">
        <f>IFERROR(INDEX('planning dogs-n-tiger'!D$1:D$30,MATCH($H113,'planning dogs-n-tiger'!$G$1:$G$42,0)),0)</f>
        <v>0</v>
      </c>
      <c r="E113">
        <f t="shared" si="10"/>
        <v>16</v>
      </c>
      <c r="F113">
        <f t="shared" si="11"/>
        <v>4</v>
      </c>
      <c r="G113">
        <f t="shared" si="12"/>
        <v>2021</v>
      </c>
      <c r="H113" t="str">
        <f t="shared" si="16"/>
        <v>42021</v>
      </c>
      <c r="I113">
        <f t="shared" si="17"/>
        <v>30</v>
      </c>
      <c r="J113">
        <f t="shared" si="13"/>
        <v>0</v>
      </c>
      <c r="K113">
        <f t="shared" si="14"/>
        <v>0</v>
      </c>
      <c r="L113">
        <f t="shared" si="15"/>
        <v>0</v>
      </c>
      <c r="M113" t="str">
        <f t="shared" si="18"/>
        <v>162021</v>
      </c>
      <c r="N113" t="str">
        <f t="shared" si="19"/>
        <v>16-4-2021</v>
      </c>
    </row>
    <row r="114" spans="1:14" x14ac:dyDescent="0.2">
      <c r="A114" s="1">
        <v>44309</v>
      </c>
      <c r="B114">
        <f>IFERROR(INDEX('planning dogs-n-tiger'!B$1:B$30,MATCH($H114,'planning dogs-n-tiger'!$G$1:$G$42,0)),0)</f>
        <v>0</v>
      </c>
      <c r="C114">
        <f>IFERROR(INDEX('planning dogs-n-tiger'!C$1:C$30,MATCH($H114,'planning dogs-n-tiger'!$G$1:$G$42,0)),0)</f>
        <v>0</v>
      </c>
      <c r="D114">
        <f>IFERROR(INDEX('planning dogs-n-tiger'!D$1:D$30,MATCH($H114,'planning dogs-n-tiger'!$G$1:$G$42,0)),0)</f>
        <v>0</v>
      </c>
      <c r="E114">
        <f t="shared" si="10"/>
        <v>16</v>
      </c>
      <c r="F114">
        <f t="shared" si="11"/>
        <v>4</v>
      </c>
      <c r="G114">
        <f t="shared" si="12"/>
        <v>2021</v>
      </c>
      <c r="H114" t="str">
        <f t="shared" si="16"/>
        <v>42021</v>
      </c>
      <c r="I114">
        <f t="shared" si="17"/>
        <v>30</v>
      </c>
      <c r="J114">
        <f t="shared" si="13"/>
        <v>0</v>
      </c>
      <c r="K114">
        <f t="shared" si="14"/>
        <v>0</v>
      </c>
      <c r="L114">
        <f t="shared" si="15"/>
        <v>0</v>
      </c>
      <c r="M114" t="str">
        <f t="shared" si="18"/>
        <v>162021</v>
      </c>
      <c r="N114" t="str">
        <f t="shared" si="19"/>
        <v>16-4-2021</v>
      </c>
    </row>
    <row r="115" spans="1:14" x14ac:dyDescent="0.2">
      <c r="A115" s="1">
        <v>44310</v>
      </c>
      <c r="B115">
        <f>IFERROR(INDEX('planning dogs-n-tiger'!B$1:B$30,MATCH($H115,'planning dogs-n-tiger'!$G$1:$G$42,0)),0)</f>
        <v>0</v>
      </c>
      <c r="C115">
        <f>IFERROR(INDEX('planning dogs-n-tiger'!C$1:C$30,MATCH($H115,'planning dogs-n-tiger'!$G$1:$G$42,0)),0)</f>
        <v>0</v>
      </c>
      <c r="D115">
        <f>IFERROR(INDEX('planning dogs-n-tiger'!D$1:D$30,MATCH($H115,'planning dogs-n-tiger'!$G$1:$G$42,0)),0)</f>
        <v>0</v>
      </c>
      <c r="E115">
        <f t="shared" si="10"/>
        <v>16</v>
      </c>
      <c r="F115">
        <f t="shared" si="11"/>
        <v>4</v>
      </c>
      <c r="G115">
        <f t="shared" si="12"/>
        <v>2021</v>
      </c>
      <c r="H115" t="str">
        <f t="shared" si="16"/>
        <v>42021</v>
      </c>
      <c r="I115">
        <f t="shared" si="17"/>
        <v>30</v>
      </c>
      <c r="J115">
        <f t="shared" si="13"/>
        <v>0</v>
      </c>
      <c r="K115">
        <f t="shared" si="14"/>
        <v>0</v>
      </c>
      <c r="L115">
        <f t="shared" si="15"/>
        <v>0</v>
      </c>
      <c r="M115" t="str">
        <f t="shared" si="18"/>
        <v>162021</v>
      </c>
      <c r="N115" t="str">
        <f t="shared" si="19"/>
        <v>16-4-2021</v>
      </c>
    </row>
    <row r="116" spans="1:14" x14ac:dyDescent="0.2">
      <c r="A116" s="1">
        <v>44311</v>
      </c>
      <c r="B116">
        <f>IFERROR(INDEX('planning dogs-n-tiger'!B$1:B$30,MATCH($H116,'planning dogs-n-tiger'!$G$1:$G$42,0)),0)</f>
        <v>0</v>
      </c>
      <c r="C116">
        <f>IFERROR(INDEX('planning dogs-n-tiger'!C$1:C$30,MATCH($H116,'planning dogs-n-tiger'!$G$1:$G$42,0)),0)</f>
        <v>0</v>
      </c>
      <c r="D116">
        <f>IFERROR(INDEX('planning dogs-n-tiger'!D$1:D$30,MATCH($H116,'planning dogs-n-tiger'!$G$1:$G$42,0)),0)</f>
        <v>0</v>
      </c>
      <c r="E116">
        <f t="shared" si="10"/>
        <v>16</v>
      </c>
      <c r="F116">
        <f t="shared" si="11"/>
        <v>4</v>
      </c>
      <c r="G116">
        <f t="shared" si="12"/>
        <v>2021</v>
      </c>
      <c r="H116" t="str">
        <f t="shared" si="16"/>
        <v>42021</v>
      </c>
      <c r="I116">
        <f t="shared" si="17"/>
        <v>30</v>
      </c>
      <c r="J116">
        <f t="shared" si="13"/>
        <v>0</v>
      </c>
      <c r="K116">
        <f t="shared" si="14"/>
        <v>0</v>
      </c>
      <c r="L116">
        <f t="shared" si="15"/>
        <v>0</v>
      </c>
      <c r="M116" t="str">
        <f t="shared" si="18"/>
        <v>162021</v>
      </c>
      <c r="N116" t="str">
        <f t="shared" si="19"/>
        <v>16-4-2021</v>
      </c>
    </row>
    <row r="117" spans="1:14" x14ac:dyDescent="0.2">
      <c r="A117" s="1">
        <v>44312</v>
      </c>
      <c r="B117">
        <f>IFERROR(INDEX('planning dogs-n-tiger'!B$1:B$30,MATCH($H117,'planning dogs-n-tiger'!$G$1:$G$42,0)),0)</f>
        <v>0</v>
      </c>
      <c r="C117">
        <f>IFERROR(INDEX('planning dogs-n-tiger'!C$1:C$30,MATCH($H117,'planning dogs-n-tiger'!$G$1:$G$42,0)),0)</f>
        <v>0</v>
      </c>
      <c r="D117">
        <f>IFERROR(INDEX('planning dogs-n-tiger'!D$1:D$30,MATCH($H117,'planning dogs-n-tiger'!$G$1:$G$42,0)),0)</f>
        <v>0</v>
      </c>
      <c r="E117">
        <f t="shared" si="10"/>
        <v>17</v>
      </c>
      <c r="F117">
        <f t="shared" si="11"/>
        <v>4</v>
      </c>
      <c r="G117">
        <f t="shared" si="12"/>
        <v>2021</v>
      </c>
      <c r="H117" t="str">
        <f t="shared" si="16"/>
        <v>42021</v>
      </c>
      <c r="I117">
        <f t="shared" si="17"/>
        <v>30</v>
      </c>
      <c r="J117">
        <f t="shared" si="13"/>
        <v>0</v>
      </c>
      <c r="K117">
        <f t="shared" si="14"/>
        <v>0</v>
      </c>
      <c r="L117">
        <f t="shared" si="15"/>
        <v>0</v>
      </c>
      <c r="M117" t="str">
        <f t="shared" si="18"/>
        <v>172021</v>
      </c>
      <c r="N117" t="str">
        <f t="shared" si="19"/>
        <v>17-4-2021</v>
      </c>
    </row>
    <row r="118" spans="1:14" x14ac:dyDescent="0.2">
      <c r="A118" s="1">
        <v>44313</v>
      </c>
      <c r="B118">
        <f>IFERROR(INDEX('planning dogs-n-tiger'!B$1:B$30,MATCH($H118,'planning dogs-n-tiger'!$G$1:$G$42,0)),0)</f>
        <v>0</v>
      </c>
      <c r="C118">
        <f>IFERROR(INDEX('planning dogs-n-tiger'!C$1:C$30,MATCH($H118,'planning dogs-n-tiger'!$G$1:$G$42,0)),0)</f>
        <v>0</v>
      </c>
      <c r="D118">
        <f>IFERROR(INDEX('planning dogs-n-tiger'!D$1:D$30,MATCH($H118,'planning dogs-n-tiger'!$G$1:$G$42,0)),0)</f>
        <v>0</v>
      </c>
      <c r="E118">
        <f t="shared" si="10"/>
        <v>17</v>
      </c>
      <c r="F118">
        <f t="shared" si="11"/>
        <v>4</v>
      </c>
      <c r="G118">
        <f t="shared" si="12"/>
        <v>2021</v>
      </c>
      <c r="H118" t="str">
        <f t="shared" si="16"/>
        <v>42021</v>
      </c>
      <c r="I118">
        <f t="shared" si="17"/>
        <v>30</v>
      </c>
      <c r="J118">
        <f t="shared" si="13"/>
        <v>0</v>
      </c>
      <c r="K118">
        <f t="shared" si="14"/>
        <v>0</v>
      </c>
      <c r="L118">
        <f t="shared" si="15"/>
        <v>0</v>
      </c>
      <c r="M118" t="str">
        <f t="shared" si="18"/>
        <v>172021</v>
      </c>
      <c r="N118" t="str">
        <f t="shared" si="19"/>
        <v>17-4-2021</v>
      </c>
    </row>
    <row r="119" spans="1:14" x14ac:dyDescent="0.2">
      <c r="A119" s="1">
        <v>44314</v>
      </c>
      <c r="B119">
        <f>IFERROR(INDEX('planning dogs-n-tiger'!B$1:B$30,MATCH($H119,'planning dogs-n-tiger'!$G$1:$G$42,0)),0)</f>
        <v>0</v>
      </c>
      <c r="C119">
        <f>IFERROR(INDEX('planning dogs-n-tiger'!C$1:C$30,MATCH($H119,'planning dogs-n-tiger'!$G$1:$G$42,0)),0)</f>
        <v>0</v>
      </c>
      <c r="D119">
        <f>IFERROR(INDEX('planning dogs-n-tiger'!D$1:D$30,MATCH($H119,'planning dogs-n-tiger'!$G$1:$G$42,0)),0)</f>
        <v>0</v>
      </c>
      <c r="E119">
        <f t="shared" si="10"/>
        <v>17</v>
      </c>
      <c r="F119">
        <f t="shared" si="11"/>
        <v>4</v>
      </c>
      <c r="G119">
        <f t="shared" si="12"/>
        <v>2021</v>
      </c>
      <c r="H119" t="str">
        <f t="shared" si="16"/>
        <v>42021</v>
      </c>
      <c r="I119">
        <f t="shared" si="17"/>
        <v>30</v>
      </c>
      <c r="J119">
        <f t="shared" si="13"/>
        <v>0</v>
      </c>
      <c r="K119">
        <f t="shared" si="14"/>
        <v>0</v>
      </c>
      <c r="L119">
        <f t="shared" si="15"/>
        <v>0</v>
      </c>
      <c r="M119" t="str">
        <f t="shared" si="18"/>
        <v>172021</v>
      </c>
      <c r="N119" t="str">
        <f t="shared" si="19"/>
        <v>17-4-2021</v>
      </c>
    </row>
    <row r="120" spans="1:14" x14ac:dyDescent="0.2">
      <c r="A120" s="1">
        <v>44315</v>
      </c>
      <c r="B120">
        <f>IFERROR(INDEX('planning dogs-n-tiger'!B$1:B$30,MATCH($H120,'planning dogs-n-tiger'!$G$1:$G$42,0)),0)</f>
        <v>0</v>
      </c>
      <c r="C120">
        <f>IFERROR(INDEX('planning dogs-n-tiger'!C$1:C$30,MATCH($H120,'planning dogs-n-tiger'!$G$1:$G$42,0)),0)</f>
        <v>0</v>
      </c>
      <c r="D120">
        <f>IFERROR(INDEX('planning dogs-n-tiger'!D$1:D$30,MATCH($H120,'planning dogs-n-tiger'!$G$1:$G$42,0)),0)</f>
        <v>0</v>
      </c>
      <c r="E120">
        <f t="shared" si="10"/>
        <v>17</v>
      </c>
      <c r="F120">
        <f t="shared" si="11"/>
        <v>4</v>
      </c>
      <c r="G120">
        <f t="shared" si="12"/>
        <v>2021</v>
      </c>
      <c r="H120" t="str">
        <f t="shared" si="16"/>
        <v>42021</v>
      </c>
      <c r="I120">
        <f t="shared" si="17"/>
        <v>30</v>
      </c>
      <c r="J120">
        <f t="shared" si="13"/>
        <v>0</v>
      </c>
      <c r="K120">
        <f t="shared" si="14"/>
        <v>0</v>
      </c>
      <c r="L120">
        <f t="shared" si="15"/>
        <v>0</v>
      </c>
      <c r="M120" t="str">
        <f t="shared" si="18"/>
        <v>172021</v>
      </c>
      <c r="N120" t="str">
        <f t="shared" si="19"/>
        <v>17-4-2021</v>
      </c>
    </row>
    <row r="121" spans="1:14" x14ac:dyDescent="0.2">
      <c r="A121" s="1">
        <v>44316</v>
      </c>
      <c r="B121">
        <f>IFERROR(INDEX('planning dogs-n-tiger'!B$1:B$30,MATCH($H121,'planning dogs-n-tiger'!$G$1:$G$42,0)),0)</f>
        <v>0</v>
      </c>
      <c r="C121">
        <f>IFERROR(INDEX('planning dogs-n-tiger'!C$1:C$30,MATCH($H121,'planning dogs-n-tiger'!$G$1:$G$42,0)),0)</f>
        <v>0</v>
      </c>
      <c r="D121">
        <f>IFERROR(INDEX('planning dogs-n-tiger'!D$1:D$30,MATCH($H121,'planning dogs-n-tiger'!$G$1:$G$42,0)),0)</f>
        <v>0</v>
      </c>
      <c r="E121">
        <f t="shared" si="10"/>
        <v>17</v>
      </c>
      <c r="F121">
        <f t="shared" si="11"/>
        <v>4</v>
      </c>
      <c r="G121">
        <f t="shared" si="12"/>
        <v>2021</v>
      </c>
      <c r="H121" t="str">
        <f t="shared" si="16"/>
        <v>42021</v>
      </c>
      <c r="I121">
        <f t="shared" si="17"/>
        <v>30</v>
      </c>
      <c r="J121">
        <f t="shared" si="13"/>
        <v>0</v>
      </c>
      <c r="K121">
        <f t="shared" si="14"/>
        <v>0</v>
      </c>
      <c r="L121">
        <f t="shared" si="15"/>
        <v>0</v>
      </c>
      <c r="M121" t="str">
        <f t="shared" si="18"/>
        <v>172021</v>
      </c>
      <c r="N121" t="str">
        <f t="shared" si="19"/>
        <v>17-4-2021</v>
      </c>
    </row>
    <row r="122" spans="1:14" x14ac:dyDescent="0.2">
      <c r="A122" s="1">
        <v>44317</v>
      </c>
      <c r="B122">
        <f>IFERROR(INDEX('planning dogs-n-tiger'!B$1:B$30,MATCH($H122,'planning dogs-n-tiger'!$G$1:$G$42,0)),0)</f>
        <v>0</v>
      </c>
      <c r="C122">
        <f>IFERROR(INDEX('planning dogs-n-tiger'!C$1:C$30,MATCH($H122,'planning dogs-n-tiger'!$G$1:$G$42,0)),0)</f>
        <v>0</v>
      </c>
      <c r="D122">
        <f>IFERROR(INDEX('planning dogs-n-tiger'!D$1:D$30,MATCH($H122,'planning dogs-n-tiger'!$G$1:$G$42,0)),0)</f>
        <v>0</v>
      </c>
      <c r="E122">
        <f t="shared" si="10"/>
        <v>17</v>
      </c>
      <c r="F122">
        <f t="shared" si="11"/>
        <v>5</v>
      </c>
      <c r="G122">
        <f t="shared" si="12"/>
        <v>2021</v>
      </c>
      <c r="H122" t="str">
        <f t="shared" si="16"/>
        <v>52021</v>
      </c>
      <c r="I122">
        <f t="shared" si="17"/>
        <v>31</v>
      </c>
      <c r="J122">
        <f t="shared" si="13"/>
        <v>0</v>
      </c>
      <c r="K122">
        <f t="shared" si="14"/>
        <v>0</v>
      </c>
      <c r="L122">
        <f t="shared" si="15"/>
        <v>0</v>
      </c>
      <c r="M122" t="str">
        <f t="shared" si="18"/>
        <v>172021</v>
      </c>
      <c r="N122" t="str">
        <f t="shared" si="19"/>
        <v>17-5-2021</v>
      </c>
    </row>
    <row r="123" spans="1:14" x14ac:dyDescent="0.2">
      <c r="A123" s="1">
        <v>44318</v>
      </c>
      <c r="B123">
        <f>IFERROR(INDEX('planning dogs-n-tiger'!B$1:B$30,MATCH($H123,'planning dogs-n-tiger'!$G$1:$G$42,0)),0)</f>
        <v>0</v>
      </c>
      <c r="C123">
        <f>IFERROR(INDEX('planning dogs-n-tiger'!C$1:C$30,MATCH($H123,'planning dogs-n-tiger'!$G$1:$G$42,0)),0)</f>
        <v>0</v>
      </c>
      <c r="D123">
        <f>IFERROR(INDEX('planning dogs-n-tiger'!D$1:D$30,MATCH($H123,'planning dogs-n-tiger'!$G$1:$G$42,0)),0)</f>
        <v>0</v>
      </c>
      <c r="E123">
        <f t="shared" si="10"/>
        <v>17</v>
      </c>
      <c r="F123">
        <f t="shared" si="11"/>
        <v>5</v>
      </c>
      <c r="G123">
        <f t="shared" si="12"/>
        <v>2021</v>
      </c>
      <c r="H123" t="str">
        <f t="shared" si="16"/>
        <v>52021</v>
      </c>
      <c r="I123">
        <f t="shared" si="17"/>
        <v>31</v>
      </c>
      <c r="J123">
        <f t="shared" si="13"/>
        <v>0</v>
      </c>
      <c r="K123">
        <f t="shared" si="14"/>
        <v>0</v>
      </c>
      <c r="L123">
        <f t="shared" si="15"/>
        <v>0</v>
      </c>
      <c r="M123" t="str">
        <f t="shared" si="18"/>
        <v>172021</v>
      </c>
      <c r="N123" t="str">
        <f t="shared" si="19"/>
        <v>17-5-2021</v>
      </c>
    </row>
    <row r="124" spans="1:14" x14ac:dyDescent="0.2">
      <c r="A124" s="1">
        <v>44319</v>
      </c>
      <c r="B124">
        <f>IFERROR(INDEX('planning dogs-n-tiger'!B$1:B$30,MATCH($H124,'planning dogs-n-tiger'!$G$1:$G$42,0)),0)</f>
        <v>0</v>
      </c>
      <c r="C124">
        <f>IFERROR(INDEX('planning dogs-n-tiger'!C$1:C$30,MATCH($H124,'planning dogs-n-tiger'!$G$1:$G$42,0)),0)</f>
        <v>0</v>
      </c>
      <c r="D124">
        <f>IFERROR(INDEX('planning dogs-n-tiger'!D$1:D$30,MATCH($H124,'planning dogs-n-tiger'!$G$1:$G$42,0)),0)</f>
        <v>0</v>
      </c>
      <c r="E124">
        <f t="shared" si="10"/>
        <v>18</v>
      </c>
      <c r="F124">
        <f t="shared" si="11"/>
        <v>5</v>
      </c>
      <c r="G124">
        <f t="shared" si="12"/>
        <v>2021</v>
      </c>
      <c r="H124" t="str">
        <f t="shared" si="16"/>
        <v>52021</v>
      </c>
      <c r="I124">
        <f t="shared" si="17"/>
        <v>31</v>
      </c>
      <c r="J124">
        <f t="shared" si="13"/>
        <v>0</v>
      </c>
      <c r="K124">
        <f t="shared" si="14"/>
        <v>0</v>
      </c>
      <c r="L124">
        <f t="shared" si="15"/>
        <v>0</v>
      </c>
      <c r="M124" t="str">
        <f t="shared" si="18"/>
        <v>182021</v>
      </c>
      <c r="N124" t="str">
        <f t="shared" si="19"/>
        <v>18-5-2021</v>
      </c>
    </row>
    <row r="125" spans="1:14" x14ac:dyDescent="0.2">
      <c r="A125" s="1">
        <v>44320</v>
      </c>
      <c r="B125">
        <f>IFERROR(INDEX('planning dogs-n-tiger'!B$1:B$30,MATCH($H125,'planning dogs-n-tiger'!$G$1:$G$42,0)),0)</f>
        <v>0</v>
      </c>
      <c r="C125">
        <f>IFERROR(INDEX('planning dogs-n-tiger'!C$1:C$30,MATCH($H125,'planning dogs-n-tiger'!$G$1:$G$42,0)),0)</f>
        <v>0</v>
      </c>
      <c r="D125">
        <f>IFERROR(INDEX('planning dogs-n-tiger'!D$1:D$30,MATCH($H125,'planning dogs-n-tiger'!$G$1:$G$42,0)),0)</f>
        <v>0</v>
      </c>
      <c r="E125">
        <f t="shared" si="10"/>
        <v>18</v>
      </c>
      <c r="F125">
        <f t="shared" si="11"/>
        <v>5</v>
      </c>
      <c r="G125">
        <f t="shared" si="12"/>
        <v>2021</v>
      </c>
      <c r="H125" t="str">
        <f t="shared" si="16"/>
        <v>52021</v>
      </c>
      <c r="I125">
        <f t="shared" si="17"/>
        <v>31</v>
      </c>
      <c r="J125">
        <f t="shared" si="13"/>
        <v>0</v>
      </c>
      <c r="K125">
        <f t="shared" si="14"/>
        <v>0</v>
      </c>
      <c r="L125">
        <f t="shared" si="15"/>
        <v>0</v>
      </c>
      <c r="M125" t="str">
        <f t="shared" si="18"/>
        <v>182021</v>
      </c>
      <c r="N125" t="str">
        <f t="shared" si="19"/>
        <v>18-5-2021</v>
      </c>
    </row>
    <row r="126" spans="1:14" x14ac:dyDescent="0.2">
      <c r="A126" s="1">
        <v>44321</v>
      </c>
      <c r="B126">
        <f>IFERROR(INDEX('planning dogs-n-tiger'!B$1:B$30,MATCH($H126,'planning dogs-n-tiger'!$G$1:$G$42,0)),0)</f>
        <v>0</v>
      </c>
      <c r="C126">
        <f>IFERROR(INDEX('planning dogs-n-tiger'!C$1:C$30,MATCH($H126,'planning dogs-n-tiger'!$G$1:$G$42,0)),0)</f>
        <v>0</v>
      </c>
      <c r="D126">
        <f>IFERROR(INDEX('planning dogs-n-tiger'!D$1:D$30,MATCH($H126,'planning dogs-n-tiger'!$G$1:$G$42,0)),0)</f>
        <v>0</v>
      </c>
      <c r="E126">
        <f t="shared" si="10"/>
        <v>18</v>
      </c>
      <c r="F126">
        <f t="shared" si="11"/>
        <v>5</v>
      </c>
      <c r="G126">
        <f t="shared" si="12"/>
        <v>2021</v>
      </c>
      <c r="H126" t="str">
        <f t="shared" si="16"/>
        <v>52021</v>
      </c>
      <c r="I126">
        <f t="shared" si="17"/>
        <v>31</v>
      </c>
      <c r="J126">
        <f t="shared" si="13"/>
        <v>0</v>
      </c>
      <c r="K126">
        <f t="shared" si="14"/>
        <v>0</v>
      </c>
      <c r="L126">
        <f t="shared" si="15"/>
        <v>0</v>
      </c>
      <c r="M126" t="str">
        <f t="shared" si="18"/>
        <v>182021</v>
      </c>
      <c r="N126" t="str">
        <f t="shared" si="19"/>
        <v>18-5-2021</v>
      </c>
    </row>
    <row r="127" spans="1:14" x14ac:dyDescent="0.2">
      <c r="A127" s="1">
        <v>44322</v>
      </c>
      <c r="B127">
        <f>IFERROR(INDEX('planning dogs-n-tiger'!B$1:B$30,MATCH($H127,'planning dogs-n-tiger'!$G$1:$G$42,0)),0)</f>
        <v>0</v>
      </c>
      <c r="C127">
        <f>IFERROR(INDEX('planning dogs-n-tiger'!C$1:C$30,MATCH($H127,'planning dogs-n-tiger'!$G$1:$G$42,0)),0)</f>
        <v>0</v>
      </c>
      <c r="D127">
        <f>IFERROR(INDEX('planning dogs-n-tiger'!D$1:D$30,MATCH($H127,'planning dogs-n-tiger'!$G$1:$G$42,0)),0)</f>
        <v>0</v>
      </c>
      <c r="E127">
        <f t="shared" si="10"/>
        <v>18</v>
      </c>
      <c r="F127">
        <f t="shared" si="11"/>
        <v>5</v>
      </c>
      <c r="G127">
        <f t="shared" si="12"/>
        <v>2021</v>
      </c>
      <c r="H127" t="str">
        <f t="shared" si="16"/>
        <v>52021</v>
      </c>
      <c r="I127">
        <f t="shared" si="17"/>
        <v>31</v>
      </c>
      <c r="J127">
        <f t="shared" si="13"/>
        <v>0</v>
      </c>
      <c r="K127">
        <f t="shared" si="14"/>
        <v>0</v>
      </c>
      <c r="L127">
        <f t="shared" si="15"/>
        <v>0</v>
      </c>
      <c r="M127" t="str">
        <f t="shared" si="18"/>
        <v>182021</v>
      </c>
      <c r="N127" t="str">
        <f t="shared" si="19"/>
        <v>18-5-2021</v>
      </c>
    </row>
    <row r="128" spans="1:14" x14ac:dyDescent="0.2">
      <c r="A128" s="1">
        <v>44323</v>
      </c>
      <c r="B128">
        <f>IFERROR(INDEX('planning dogs-n-tiger'!B$1:B$30,MATCH($H128,'planning dogs-n-tiger'!$G$1:$G$42,0)),0)</f>
        <v>0</v>
      </c>
      <c r="C128">
        <f>IFERROR(INDEX('planning dogs-n-tiger'!C$1:C$30,MATCH($H128,'planning dogs-n-tiger'!$G$1:$G$42,0)),0)</f>
        <v>0</v>
      </c>
      <c r="D128">
        <f>IFERROR(INDEX('planning dogs-n-tiger'!D$1:D$30,MATCH($H128,'planning dogs-n-tiger'!$G$1:$G$42,0)),0)</f>
        <v>0</v>
      </c>
      <c r="E128">
        <f t="shared" si="10"/>
        <v>18</v>
      </c>
      <c r="F128">
        <f t="shared" si="11"/>
        <v>5</v>
      </c>
      <c r="G128">
        <f t="shared" si="12"/>
        <v>2021</v>
      </c>
      <c r="H128" t="str">
        <f t="shared" si="16"/>
        <v>52021</v>
      </c>
      <c r="I128">
        <f t="shared" si="17"/>
        <v>31</v>
      </c>
      <c r="J128">
        <f t="shared" si="13"/>
        <v>0</v>
      </c>
      <c r="K128">
        <f t="shared" si="14"/>
        <v>0</v>
      </c>
      <c r="L128">
        <f t="shared" si="15"/>
        <v>0</v>
      </c>
      <c r="M128" t="str">
        <f t="shared" si="18"/>
        <v>182021</v>
      </c>
      <c r="N128" t="str">
        <f t="shared" si="19"/>
        <v>18-5-2021</v>
      </c>
    </row>
    <row r="129" spans="1:14" x14ac:dyDescent="0.2">
      <c r="A129" s="1">
        <v>44324</v>
      </c>
      <c r="B129">
        <f>IFERROR(INDEX('planning dogs-n-tiger'!B$1:B$30,MATCH($H129,'planning dogs-n-tiger'!$G$1:$G$42,0)),0)</f>
        <v>0</v>
      </c>
      <c r="C129">
        <f>IFERROR(INDEX('planning dogs-n-tiger'!C$1:C$30,MATCH($H129,'planning dogs-n-tiger'!$G$1:$G$42,0)),0)</f>
        <v>0</v>
      </c>
      <c r="D129">
        <f>IFERROR(INDEX('planning dogs-n-tiger'!D$1:D$30,MATCH($H129,'planning dogs-n-tiger'!$G$1:$G$42,0)),0)</f>
        <v>0</v>
      </c>
      <c r="E129">
        <f t="shared" si="10"/>
        <v>18</v>
      </c>
      <c r="F129">
        <f t="shared" si="11"/>
        <v>5</v>
      </c>
      <c r="G129">
        <f t="shared" si="12"/>
        <v>2021</v>
      </c>
      <c r="H129" t="str">
        <f t="shared" si="16"/>
        <v>52021</v>
      </c>
      <c r="I129">
        <f t="shared" si="17"/>
        <v>31</v>
      </c>
      <c r="J129">
        <f t="shared" si="13"/>
        <v>0</v>
      </c>
      <c r="K129">
        <f t="shared" si="14"/>
        <v>0</v>
      </c>
      <c r="L129">
        <f t="shared" si="15"/>
        <v>0</v>
      </c>
      <c r="M129" t="str">
        <f t="shared" si="18"/>
        <v>182021</v>
      </c>
      <c r="N129" t="str">
        <f t="shared" si="19"/>
        <v>18-5-2021</v>
      </c>
    </row>
    <row r="130" spans="1:14" x14ac:dyDescent="0.2">
      <c r="A130" s="1">
        <v>44325</v>
      </c>
      <c r="B130">
        <f>IFERROR(INDEX('planning dogs-n-tiger'!B$1:B$30,MATCH($H130,'planning dogs-n-tiger'!$G$1:$G$42,0)),0)</f>
        <v>0</v>
      </c>
      <c r="C130">
        <f>IFERROR(INDEX('planning dogs-n-tiger'!C$1:C$30,MATCH($H130,'planning dogs-n-tiger'!$G$1:$G$42,0)),0)</f>
        <v>0</v>
      </c>
      <c r="D130">
        <f>IFERROR(INDEX('planning dogs-n-tiger'!D$1:D$30,MATCH($H130,'planning dogs-n-tiger'!$G$1:$G$42,0)),0)</f>
        <v>0</v>
      </c>
      <c r="E130">
        <f t="shared" ref="E130:E193" si="20">_xlfn.ISOWEEKNUM(A130)</f>
        <v>18</v>
      </c>
      <c r="F130">
        <f t="shared" ref="F130:F193" si="21">MONTH(A130)</f>
        <v>5</v>
      </c>
      <c r="G130">
        <f t="shared" ref="G130:G193" si="22">YEAR(A130)</f>
        <v>2021</v>
      </c>
      <c r="H130" t="str">
        <f t="shared" si="16"/>
        <v>52021</v>
      </c>
      <c r="I130">
        <f t="shared" si="17"/>
        <v>31</v>
      </c>
      <c r="J130">
        <f t="shared" ref="J130:J193" si="23">B130/$I130</f>
        <v>0</v>
      </c>
      <c r="K130">
        <f t="shared" ref="K130:K193" si="24">C130/$I130</f>
        <v>0</v>
      </c>
      <c r="L130">
        <f t="shared" ref="L130:L193" si="25">D130/$I130</f>
        <v>0</v>
      </c>
      <c r="M130" t="str">
        <f t="shared" si="18"/>
        <v>182021</v>
      </c>
      <c r="N130" t="str">
        <f t="shared" si="19"/>
        <v>18-5-2021</v>
      </c>
    </row>
    <row r="131" spans="1:14" x14ac:dyDescent="0.2">
      <c r="A131" s="1">
        <v>44326</v>
      </c>
      <c r="B131">
        <f>IFERROR(INDEX('planning dogs-n-tiger'!B$1:B$30,MATCH($H131,'planning dogs-n-tiger'!$G$1:$G$42,0)),0)</f>
        <v>0</v>
      </c>
      <c r="C131">
        <f>IFERROR(INDEX('planning dogs-n-tiger'!C$1:C$30,MATCH($H131,'planning dogs-n-tiger'!$G$1:$G$42,0)),0)</f>
        <v>0</v>
      </c>
      <c r="D131">
        <f>IFERROR(INDEX('planning dogs-n-tiger'!D$1:D$30,MATCH($H131,'planning dogs-n-tiger'!$G$1:$G$42,0)),0)</f>
        <v>0</v>
      </c>
      <c r="E131">
        <f t="shared" si="20"/>
        <v>19</v>
      </c>
      <c r="F131">
        <f t="shared" si="21"/>
        <v>5</v>
      </c>
      <c r="G131">
        <f t="shared" si="22"/>
        <v>2021</v>
      </c>
      <c r="H131" t="str">
        <f t="shared" ref="H131:H194" si="26">F131&amp;G131</f>
        <v>52021</v>
      </c>
      <c r="I131">
        <f t="shared" ref="I131:I194" si="27">DAY(EOMONTH(DATE(G131,F131,0),1))</f>
        <v>31</v>
      </c>
      <c r="J131">
        <f t="shared" si="23"/>
        <v>0</v>
      </c>
      <c r="K131">
        <f t="shared" si="24"/>
        <v>0</v>
      </c>
      <c r="L131">
        <f t="shared" si="25"/>
        <v>0</v>
      </c>
      <c r="M131" t="str">
        <f t="shared" ref="M131:M194" si="28">E131&amp;G131</f>
        <v>192021</v>
      </c>
      <c r="N131" t="str">
        <f t="shared" ref="N131:N194" si="29">E131&amp;"-"&amp;F131&amp;"-"&amp;G131</f>
        <v>19-5-2021</v>
      </c>
    </row>
    <row r="132" spans="1:14" x14ac:dyDescent="0.2">
      <c r="A132" s="1">
        <v>44327</v>
      </c>
      <c r="B132">
        <f>IFERROR(INDEX('planning dogs-n-tiger'!B$1:B$30,MATCH($H132,'planning dogs-n-tiger'!$G$1:$G$42,0)),0)</f>
        <v>0</v>
      </c>
      <c r="C132">
        <f>IFERROR(INDEX('planning dogs-n-tiger'!C$1:C$30,MATCH($H132,'planning dogs-n-tiger'!$G$1:$G$42,0)),0)</f>
        <v>0</v>
      </c>
      <c r="D132">
        <f>IFERROR(INDEX('planning dogs-n-tiger'!D$1:D$30,MATCH($H132,'planning dogs-n-tiger'!$G$1:$G$42,0)),0)</f>
        <v>0</v>
      </c>
      <c r="E132">
        <f t="shared" si="20"/>
        <v>19</v>
      </c>
      <c r="F132">
        <f t="shared" si="21"/>
        <v>5</v>
      </c>
      <c r="G132">
        <f t="shared" si="22"/>
        <v>2021</v>
      </c>
      <c r="H132" t="str">
        <f t="shared" si="26"/>
        <v>52021</v>
      </c>
      <c r="I132">
        <f t="shared" si="27"/>
        <v>31</v>
      </c>
      <c r="J132">
        <f t="shared" si="23"/>
        <v>0</v>
      </c>
      <c r="K132">
        <f t="shared" si="24"/>
        <v>0</v>
      </c>
      <c r="L132">
        <f t="shared" si="25"/>
        <v>0</v>
      </c>
      <c r="M132" t="str">
        <f t="shared" si="28"/>
        <v>192021</v>
      </c>
      <c r="N132" t="str">
        <f t="shared" si="29"/>
        <v>19-5-2021</v>
      </c>
    </row>
    <row r="133" spans="1:14" x14ac:dyDescent="0.2">
      <c r="A133" s="1">
        <v>44328</v>
      </c>
      <c r="B133">
        <f>IFERROR(INDEX('planning dogs-n-tiger'!B$1:B$30,MATCH($H133,'planning dogs-n-tiger'!$G$1:$G$42,0)),0)</f>
        <v>0</v>
      </c>
      <c r="C133">
        <f>IFERROR(INDEX('planning dogs-n-tiger'!C$1:C$30,MATCH($H133,'planning dogs-n-tiger'!$G$1:$G$42,0)),0)</f>
        <v>0</v>
      </c>
      <c r="D133">
        <f>IFERROR(INDEX('planning dogs-n-tiger'!D$1:D$30,MATCH($H133,'planning dogs-n-tiger'!$G$1:$G$42,0)),0)</f>
        <v>0</v>
      </c>
      <c r="E133">
        <f t="shared" si="20"/>
        <v>19</v>
      </c>
      <c r="F133">
        <f t="shared" si="21"/>
        <v>5</v>
      </c>
      <c r="G133">
        <f t="shared" si="22"/>
        <v>2021</v>
      </c>
      <c r="H133" t="str">
        <f t="shared" si="26"/>
        <v>52021</v>
      </c>
      <c r="I133">
        <f t="shared" si="27"/>
        <v>31</v>
      </c>
      <c r="J133">
        <f t="shared" si="23"/>
        <v>0</v>
      </c>
      <c r="K133">
        <f t="shared" si="24"/>
        <v>0</v>
      </c>
      <c r="L133">
        <f t="shared" si="25"/>
        <v>0</v>
      </c>
      <c r="M133" t="str">
        <f t="shared" si="28"/>
        <v>192021</v>
      </c>
      <c r="N133" t="str">
        <f t="shared" si="29"/>
        <v>19-5-2021</v>
      </c>
    </row>
    <row r="134" spans="1:14" x14ac:dyDescent="0.2">
      <c r="A134" s="1">
        <v>44329</v>
      </c>
      <c r="B134">
        <f>IFERROR(INDEX('planning dogs-n-tiger'!B$1:B$30,MATCH($H134,'planning dogs-n-tiger'!$G$1:$G$42,0)),0)</f>
        <v>0</v>
      </c>
      <c r="C134">
        <f>IFERROR(INDEX('planning dogs-n-tiger'!C$1:C$30,MATCH($H134,'planning dogs-n-tiger'!$G$1:$G$42,0)),0)</f>
        <v>0</v>
      </c>
      <c r="D134">
        <f>IFERROR(INDEX('planning dogs-n-tiger'!D$1:D$30,MATCH($H134,'planning dogs-n-tiger'!$G$1:$G$42,0)),0)</f>
        <v>0</v>
      </c>
      <c r="E134">
        <f t="shared" si="20"/>
        <v>19</v>
      </c>
      <c r="F134">
        <f t="shared" si="21"/>
        <v>5</v>
      </c>
      <c r="G134">
        <f t="shared" si="22"/>
        <v>2021</v>
      </c>
      <c r="H134" t="str">
        <f t="shared" si="26"/>
        <v>52021</v>
      </c>
      <c r="I134">
        <f t="shared" si="27"/>
        <v>31</v>
      </c>
      <c r="J134">
        <f t="shared" si="23"/>
        <v>0</v>
      </c>
      <c r="K134">
        <f t="shared" si="24"/>
        <v>0</v>
      </c>
      <c r="L134">
        <f t="shared" si="25"/>
        <v>0</v>
      </c>
      <c r="M134" t="str">
        <f t="shared" si="28"/>
        <v>192021</v>
      </c>
      <c r="N134" t="str">
        <f t="shared" si="29"/>
        <v>19-5-2021</v>
      </c>
    </row>
    <row r="135" spans="1:14" x14ac:dyDescent="0.2">
      <c r="A135" s="1">
        <v>44330</v>
      </c>
      <c r="B135">
        <f>IFERROR(INDEX('planning dogs-n-tiger'!B$1:B$30,MATCH($H135,'planning dogs-n-tiger'!$G$1:$G$42,0)),0)</f>
        <v>0</v>
      </c>
      <c r="C135">
        <f>IFERROR(INDEX('planning dogs-n-tiger'!C$1:C$30,MATCH($H135,'planning dogs-n-tiger'!$G$1:$G$42,0)),0)</f>
        <v>0</v>
      </c>
      <c r="D135">
        <f>IFERROR(INDEX('planning dogs-n-tiger'!D$1:D$30,MATCH($H135,'planning dogs-n-tiger'!$G$1:$G$42,0)),0)</f>
        <v>0</v>
      </c>
      <c r="E135">
        <f t="shared" si="20"/>
        <v>19</v>
      </c>
      <c r="F135">
        <f t="shared" si="21"/>
        <v>5</v>
      </c>
      <c r="G135">
        <f t="shared" si="22"/>
        <v>2021</v>
      </c>
      <c r="H135" t="str">
        <f t="shared" si="26"/>
        <v>52021</v>
      </c>
      <c r="I135">
        <f t="shared" si="27"/>
        <v>31</v>
      </c>
      <c r="J135">
        <f t="shared" si="23"/>
        <v>0</v>
      </c>
      <c r="K135">
        <f t="shared" si="24"/>
        <v>0</v>
      </c>
      <c r="L135">
        <f t="shared" si="25"/>
        <v>0</v>
      </c>
      <c r="M135" t="str">
        <f t="shared" si="28"/>
        <v>192021</v>
      </c>
      <c r="N135" t="str">
        <f t="shared" si="29"/>
        <v>19-5-2021</v>
      </c>
    </row>
    <row r="136" spans="1:14" x14ac:dyDescent="0.2">
      <c r="A136" s="1">
        <v>44331</v>
      </c>
      <c r="B136">
        <f>IFERROR(INDEX('planning dogs-n-tiger'!B$1:B$30,MATCH($H136,'planning dogs-n-tiger'!$G$1:$G$42,0)),0)</f>
        <v>0</v>
      </c>
      <c r="C136">
        <f>IFERROR(INDEX('planning dogs-n-tiger'!C$1:C$30,MATCH($H136,'planning dogs-n-tiger'!$G$1:$G$42,0)),0)</f>
        <v>0</v>
      </c>
      <c r="D136">
        <f>IFERROR(INDEX('planning dogs-n-tiger'!D$1:D$30,MATCH($H136,'planning dogs-n-tiger'!$G$1:$G$42,0)),0)</f>
        <v>0</v>
      </c>
      <c r="E136">
        <f t="shared" si="20"/>
        <v>19</v>
      </c>
      <c r="F136">
        <f t="shared" si="21"/>
        <v>5</v>
      </c>
      <c r="G136">
        <f t="shared" si="22"/>
        <v>2021</v>
      </c>
      <c r="H136" t="str">
        <f t="shared" si="26"/>
        <v>52021</v>
      </c>
      <c r="I136">
        <f t="shared" si="27"/>
        <v>31</v>
      </c>
      <c r="J136">
        <f t="shared" si="23"/>
        <v>0</v>
      </c>
      <c r="K136">
        <f t="shared" si="24"/>
        <v>0</v>
      </c>
      <c r="L136">
        <f t="shared" si="25"/>
        <v>0</v>
      </c>
      <c r="M136" t="str">
        <f t="shared" si="28"/>
        <v>192021</v>
      </c>
      <c r="N136" t="str">
        <f t="shared" si="29"/>
        <v>19-5-2021</v>
      </c>
    </row>
    <row r="137" spans="1:14" x14ac:dyDescent="0.2">
      <c r="A137" s="1">
        <v>44332</v>
      </c>
      <c r="B137">
        <f>IFERROR(INDEX('planning dogs-n-tiger'!B$1:B$30,MATCH($H137,'planning dogs-n-tiger'!$G$1:$G$42,0)),0)</f>
        <v>0</v>
      </c>
      <c r="C137">
        <f>IFERROR(INDEX('planning dogs-n-tiger'!C$1:C$30,MATCH($H137,'planning dogs-n-tiger'!$G$1:$G$42,0)),0)</f>
        <v>0</v>
      </c>
      <c r="D137">
        <f>IFERROR(INDEX('planning dogs-n-tiger'!D$1:D$30,MATCH($H137,'planning dogs-n-tiger'!$G$1:$G$42,0)),0)</f>
        <v>0</v>
      </c>
      <c r="E137">
        <f t="shared" si="20"/>
        <v>19</v>
      </c>
      <c r="F137">
        <f t="shared" si="21"/>
        <v>5</v>
      </c>
      <c r="G137">
        <f t="shared" si="22"/>
        <v>2021</v>
      </c>
      <c r="H137" t="str">
        <f t="shared" si="26"/>
        <v>52021</v>
      </c>
      <c r="I137">
        <f t="shared" si="27"/>
        <v>31</v>
      </c>
      <c r="J137">
        <f t="shared" si="23"/>
        <v>0</v>
      </c>
      <c r="K137">
        <f t="shared" si="24"/>
        <v>0</v>
      </c>
      <c r="L137">
        <f t="shared" si="25"/>
        <v>0</v>
      </c>
      <c r="M137" t="str">
        <f t="shared" si="28"/>
        <v>192021</v>
      </c>
      <c r="N137" t="str">
        <f t="shared" si="29"/>
        <v>19-5-2021</v>
      </c>
    </row>
    <row r="138" spans="1:14" x14ac:dyDescent="0.2">
      <c r="A138" s="1">
        <v>44333</v>
      </c>
      <c r="B138">
        <f>IFERROR(INDEX('planning dogs-n-tiger'!B$1:B$30,MATCH($H138,'planning dogs-n-tiger'!$G$1:$G$42,0)),0)</f>
        <v>0</v>
      </c>
      <c r="C138">
        <f>IFERROR(INDEX('planning dogs-n-tiger'!C$1:C$30,MATCH($H138,'planning dogs-n-tiger'!$G$1:$G$42,0)),0)</f>
        <v>0</v>
      </c>
      <c r="D138">
        <f>IFERROR(INDEX('planning dogs-n-tiger'!D$1:D$30,MATCH($H138,'planning dogs-n-tiger'!$G$1:$G$42,0)),0)</f>
        <v>0</v>
      </c>
      <c r="E138">
        <f t="shared" si="20"/>
        <v>20</v>
      </c>
      <c r="F138">
        <f t="shared" si="21"/>
        <v>5</v>
      </c>
      <c r="G138">
        <f t="shared" si="22"/>
        <v>2021</v>
      </c>
      <c r="H138" t="str">
        <f t="shared" si="26"/>
        <v>52021</v>
      </c>
      <c r="I138">
        <f t="shared" si="27"/>
        <v>31</v>
      </c>
      <c r="J138">
        <f t="shared" si="23"/>
        <v>0</v>
      </c>
      <c r="K138">
        <f t="shared" si="24"/>
        <v>0</v>
      </c>
      <c r="L138">
        <f t="shared" si="25"/>
        <v>0</v>
      </c>
      <c r="M138" t="str">
        <f t="shared" si="28"/>
        <v>202021</v>
      </c>
      <c r="N138" t="str">
        <f t="shared" si="29"/>
        <v>20-5-2021</v>
      </c>
    </row>
    <row r="139" spans="1:14" x14ac:dyDescent="0.2">
      <c r="A139" s="1">
        <v>44334</v>
      </c>
      <c r="B139">
        <f>IFERROR(INDEX('planning dogs-n-tiger'!B$1:B$30,MATCH($H139,'planning dogs-n-tiger'!$G$1:$G$42,0)),0)</f>
        <v>0</v>
      </c>
      <c r="C139">
        <f>IFERROR(INDEX('planning dogs-n-tiger'!C$1:C$30,MATCH($H139,'planning dogs-n-tiger'!$G$1:$G$42,0)),0)</f>
        <v>0</v>
      </c>
      <c r="D139">
        <f>IFERROR(INDEX('planning dogs-n-tiger'!D$1:D$30,MATCH($H139,'planning dogs-n-tiger'!$G$1:$G$42,0)),0)</f>
        <v>0</v>
      </c>
      <c r="E139">
        <f t="shared" si="20"/>
        <v>20</v>
      </c>
      <c r="F139">
        <f t="shared" si="21"/>
        <v>5</v>
      </c>
      <c r="G139">
        <f t="shared" si="22"/>
        <v>2021</v>
      </c>
      <c r="H139" t="str">
        <f t="shared" si="26"/>
        <v>52021</v>
      </c>
      <c r="I139">
        <f t="shared" si="27"/>
        <v>31</v>
      </c>
      <c r="J139">
        <f t="shared" si="23"/>
        <v>0</v>
      </c>
      <c r="K139">
        <f t="shared" si="24"/>
        <v>0</v>
      </c>
      <c r="L139">
        <f t="shared" si="25"/>
        <v>0</v>
      </c>
      <c r="M139" t="str">
        <f t="shared" si="28"/>
        <v>202021</v>
      </c>
      <c r="N139" t="str">
        <f t="shared" si="29"/>
        <v>20-5-2021</v>
      </c>
    </row>
    <row r="140" spans="1:14" x14ac:dyDescent="0.2">
      <c r="A140" s="1">
        <v>44335</v>
      </c>
      <c r="B140">
        <f>IFERROR(INDEX('planning dogs-n-tiger'!B$1:B$30,MATCH($H140,'planning dogs-n-tiger'!$G$1:$G$42,0)),0)</f>
        <v>0</v>
      </c>
      <c r="C140">
        <f>IFERROR(INDEX('planning dogs-n-tiger'!C$1:C$30,MATCH($H140,'planning dogs-n-tiger'!$G$1:$G$42,0)),0)</f>
        <v>0</v>
      </c>
      <c r="D140">
        <f>IFERROR(INDEX('planning dogs-n-tiger'!D$1:D$30,MATCH($H140,'planning dogs-n-tiger'!$G$1:$G$42,0)),0)</f>
        <v>0</v>
      </c>
      <c r="E140">
        <f t="shared" si="20"/>
        <v>20</v>
      </c>
      <c r="F140">
        <f t="shared" si="21"/>
        <v>5</v>
      </c>
      <c r="G140">
        <f t="shared" si="22"/>
        <v>2021</v>
      </c>
      <c r="H140" t="str">
        <f t="shared" si="26"/>
        <v>52021</v>
      </c>
      <c r="I140">
        <f t="shared" si="27"/>
        <v>31</v>
      </c>
      <c r="J140">
        <f t="shared" si="23"/>
        <v>0</v>
      </c>
      <c r="K140">
        <f t="shared" si="24"/>
        <v>0</v>
      </c>
      <c r="L140">
        <f t="shared" si="25"/>
        <v>0</v>
      </c>
      <c r="M140" t="str">
        <f t="shared" si="28"/>
        <v>202021</v>
      </c>
      <c r="N140" t="str">
        <f t="shared" si="29"/>
        <v>20-5-2021</v>
      </c>
    </row>
    <row r="141" spans="1:14" x14ac:dyDescent="0.2">
      <c r="A141" s="1">
        <v>44336</v>
      </c>
      <c r="B141">
        <f>IFERROR(INDEX('planning dogs-n-tiger'!B$1:B$30,MATCH($H141,'planning dogs-n-tiger'!$G$1:$G$42,0)),0)</f>
        <v>0</v>
      </c>
      <c r="C141">
        <f>IFERROR(INDEX('planning dogs-n-tiger'!C$1:C$30,MATCH($H141,'planning dogs-n-tiger'!$G$1:$G$42,0)),0)</f>
        <v>0</v>
      </c>
      <c r="D141">
        <f>IFERROR(INDEX('planning dogs-n-tiger'!D$1:D$30,MATCH($H141,'planning dogs-n-tiger'!$G$1:$G$42,0)),0)</f>
        <v>0</v>
      </c>
      <c r="E141">
        <f t="shared" si="20"/>
        <v>20</v>
      </c>
      <c r="F141">
        <f t="shared" si="21"/>
        <v>5</v>
      </c>
      <c r="G141">
        <f t="shared" si="22"/>
        <v>2021</v>
      </c>
      <c r="H141" t="str">
        <f t="shared" si="26"/>
        <v>52021</v>
      </c>
      <c r="I141">
        <f t="shared" si="27"/>
        <v>31</v>
      </c>
      <c r="J141">
        <f t="shared" si="23"/>
        <v>0</v>
      </c>
      <c r="K141">
        <f t="shared" si="24"/>
        <v>0</v>
      </c>
      <c r="L141">
        <f t="shared" si="25"/>
        <v>0</v>
      </c>
      <c r="M141" t="str">
        <f t="shared" si="28"/>
        <v>202021</v>
      </c>
      <c r="N141" t="str">
        <f t="shared" si="29"/>
        <v>20-5-2021</v>
      </c>
    </row>
    <row r="142" spans="1:14" x14ac:dyDescent="0.2">
      <c r="A142" s="1">
        <v>44337</v>
      </c>
      <c r="B142">
        <f>IFERROR(INDEX('planning dogs-n-tiger'!B$1:B$30,MATCH($H142,'planning dogs-n-tiger'!$G$1:$G$42,0)),0)</f>
        <v>0</v>
      </c>
      <c r="C142">
        <f>IFERROR(INDEX('planning dogs-n-tiger'!C$1:C$30,MATCH($H142,'planning dogs-n-tiger'!$G$1:$G$42,0)),0)</f>
        <v>0</v>
      </c>
      <c r="D142">
        <f>IFERROR(INDEX('planning dogs-n-tiger'!D$1:D$30,MATCH($H142,'planning dogs-n-tiger'!$G$1:$G$42,0)),0)</f>
        <v>0</v>
      </c>
      <c r="E142">
        <f t="shared" si="20"/>
        <v>20</v>
      </c>
      <c r="F142">
        <f t="shared" si="21"/>
        <v>5</v>
      </c>
      <c r="G142">
        <f t="shared" si="22"/>
        <v>2021</v>
      </c>
      <c r="H142" t="str">
        <f t="shared" si="26"/>
        <v>52021</v>
      </c>
      <c r="I142">
        <f t="shared" si="27"/>
        <v>31</v>
      </c>
      <c r="J142">
        <f t="shared" si="23"/>
        <v>0</v>
      </c>
      <c r="K142">
        <f t="shared" si="24"/>
        <v>0</v>
      </c>
      <c r="L142">
        <f t="shared" si="25"/>
        <v>0</v>
      </c>
      <c r="M142" t="str">
        <f t="shared" si="28"/>
        <v>202021</v>
      </c>
      <c r="N142" t="str">
        <f t="shared" si="29"/>
        <v>20-5-2021</v>
      </c>
    </row>
    <row r="143" spans="1:14" x14ac:dyDescent="0.2">
      <c r="A143" s="1">
        <v>44338</v>
      </c>
      <c r="B143">
        <f>IFERROR(INDEX('planning dogs-n-tiger'!B$1:B$30,MATCH($H143,'planning dogs-n-tiger'!$G$1:$G$42,0)),0)</f>
        <v>0</v>
      </c>
      <c r="C143">
        <f>IFERROR(INDEX('planning dogs-n-tiger'!C$1:C$30,MATCH($H143,'planning dogs-n-tiger'!$G$1:$G$42,0)),0)</f>
        <v>0</v>
      </c>
      <c r="D143">
        <f>IFERROR(INDEX('planning dogs-n-tiger'!D$1:D$30,MATCH($H143,'planning dogs-n-tiger'!$G$1:$G$42,0)),0)</f>
        <v>0</v>
      </c>
      <c r="E143">
        <f t="shared" si="20"/>
        <v>20</v>
      </c>
      <c r="F143">
        <f t="shared" si="21"/>
        <v>5</v>
      </c>
      <c r="G143">
        <f t="shared" si="22"/>
        <v>2021</v>
      </c>
      <c r="H143" t="str">
        <f t="shared" si="26"/>
        <v>52021</v>
      </c>
      <c r="I143">
        <f t="shared" si="27"/>
        <v>31</v>
      </c>
      <c r="J143">
        <f t="shared" si="23"/>
        <v>0</v>
      </c>
      <c r="K143">
        <f t="shared" si="24"/>
        <v>0</v>
      </c>
      <c r="L143">
        <f t="shared" si="25"/>
        <v>0</v>
      </c>
      <c r="M143" t="str">
        <f t="shared" si="28"/>
        <v>202021</v>
      </c>
      <c r="N143" t="str">
        <f t="shared" si="29"/>
        <v>20-5-2021</v>
      </c>
    </row>
    <row r="144" spans="1:14" x14ac:dyDescent="0.2">
      <c r="A144" s="1">
        <v>44339</v>
      </c>
      <c r="B144">
        <f>IFERROR(INDEX('planning dogs-n-tiger'!B$1:B$30,MATCH($H144,'planning dogs-n-tiger'!$G$1:$G$42,0)),0)</f>
        <v>0</v>
      </c>
      <c r="C144">
        <f>IFERROR(INDEX('planning dogs-n-tiger'!C$1:C$30,MATCH($H144,'planning dogs-n-tiger'!$G$1:$G$42,0)),0)</f>
        <v>0</v>
      </c>
      <c r="D144">
        <f>IFERROR(INDEX('planning dogs-n-tiger'!D$1:D$30,MATCH($H144,'planning dogs-n-tiger'!$G$1:$G$42,0)),0)</f>
        <v>0</v>
      </c>
      <c r="E144">
        <f t="shared" si="20"/>
        <v>20</v>
      </c>
      <c r="F144">
        <f t="shared" si="21"/>
        <v>5</v>
      </c>
      <c r="G144">
        <f t="shared" si="22"/>
        <v>2021</v>
      </c>
      <c r="H144" t="str">
        <f t="shared" si="26"/>
        <v>52021</v>
      </c>
      <c r="I144">
        <f t="shared" si="27"/>
        <v>31</v>
      </c>
      <c r="J144">
        <f t="shared" si="23"/>
        <v>0</v>
      </c>
      <c r="K144">
        <f t="shared" si="24"/>
        <v>0</v>
      </c>
      <c r="L144">
        <f t="shared" si="25"/>
        <v>0</v>
      </c>
      <c r="M144" t="str">
        <f t="shared" si="28"/>
        <v>202021</v>
      </c>
      <c r="N144" t="str">
        <f t="shared" si="29"/>
        <v>20-5-2021</v>
      </c>
    </row>
    <row r="145" spans="1:14" x14ac:dyDescent="0.2">
      <c r="A145" s="1">
        <v>44340</v>
      </c>
      <c r="B145">
        <f>IFERROR(INDEX('planning dogs-n-tiger'!B$1:B$30,MATCH($H145,'planning dogs-n-tiger'!$G$1:$G$42,0)),0)</f>
        <v>0</v>
      </c>
      <c r="C145">
        <f>IFERROR(INDEX('planning dogs-n-tiger'!C$1:C$30,MATCH($H145,'planning dogs-n-tiger'!$G$1:$G$42,0)),0)</f>
        <v>0</v>
      </c>
      <c r="D145">
        <f>IFERROR(INDEX('planning dogs-n-tiger'!D$1:D$30,MATCH($H145,'planning dogs-n-tiger'!$G$1:$G$42,0)),0)</f>
        <v>0</v>
      </c>
      <c r="E145">
        <f t="shared" si="20"/>
        <v>21</v>
      </c>
      <c r="F145">
        <f t="shared" si="21"/>
        <v>5</v>
      </c>
      <c r="G145">
        <f t="shared" si="22"/>
        <v>2021</v>
      </c>
      <c r="H145" t="str">
        <f t="shared" si="26"/>
        <v>52021</v>
      </c>
      <c r="I145">
        <f t="shared" si="27"/>
        <v>31</v>
      </c>
      <c r="J145">
        <f t="shared" si="23"/>
        <v>0</v>
      </c>
      <c r="K145">
        <f t="shared" si="24"/>
        <v>0</v>
      </c>
      <c r="L145">
        <f t="shared" si="25"/>
        <v>0</v>
      </c>
      <c r="M145" t="str">
        <f t="shared" si="28"/>
        <v>212021</v>
      </c>
      <c r="N145" t="str">
        <f t="shared" si="29"/>
        <v>21-5-2021</v>
      </c>
    </row>
    <row r="146" spans="1:14" x14ac:dyDescent="0.2">
      <c r="A146" s="1">
        <v>44341</v>
      </c>
      <c r="B146">
        <f>IFERROR(INDEX('planning dogs-n-tiger'!B$1:B$30,MATCH($H146,'planning dogs-n-tiger'!$G$1:$G$42,0)),0)</f>
        <v>0</v>
      </c>
      <c r="C146">
        <f>IFERROR(INDEX('planning dogs-n-tiger'!C$1:C$30,MATCH($H146,'planning dogs-n-tiger'!$G$1:$G$42,0)),0)</f>
        <v>0</v>
      </c>
      <c r="D146">
        <f>IFERROR(INDEX('planning dogs-n-tiger'!D$1:D$30,MATCH($H146,'planning dogs-n-tiger'!$G$1:$G$42,0)),0)</f>
        <v>0</v>
      </c>
      <c r="E146">
        <f t="shared" si="20"/>
        <v>21</v>
      </c>
      <c r="F146">
        <f t="shared" si="21"/>
        <v>5</v>
      </c>
      <c r="G146">
        <f t="shared" si="22"/>
        <v>2021</v>
      </c>
      <c r="H146" t="str">
        <f t="shared" si="26"/>
        <v>52021</v>
      </c>
      <c r="I146">
        <f t="shared" si="27"/>
        <v>31</v>
      </c>
      <c r="J146">
        <f t="shared" si="23"/>
        <v>0</v>
      </c>
      <c r="K146">
        <f t="shared" si="24"/>
        <v>0</v>
      </c>
      <c r="L146">
        <f t="shared" si="25"/>
        <v>0</v>
      </c>
      <c r="M146" t="str">
        <f t="shared" si="28"/>
        <v>212021</v>
      </c>
      <c r="N146" t="str">
        <f t="shared" si="29"/>
        <v>21-5-2021</v>
      </c>
    </row>
    <row r="147" spans="1:14" x14ac:dyDescent="0.2">
      <c r="A147" s="1">
        <v>44342</v>
      </c>
      <c r="B147">
        <f>IFERROR(INDEX('planning dogs-n-tiger'!B$1:B$30,MATCH($H147,'planning dogs-n-tiger'!$G$1:$G$42,0)),0)</f>
        <v>0</v>
      </c>
      <c r="C147">
        <f>IFERROR(INDEX('planning dogs-n-tiger'!C$1:C$30,MATCH($H147,'planning dogs-n-tiger'!$G$1:$G$42,0)),0)</f>
        <v>0</v>
      </c>
      <c r="D147">
        <f>IFERROR(INDEX('planning dogs-n-tiger'!D$1:D$30,MATCH($H147,'planning dogs-n-tiger'!$G$1:$G$42,0)),0)</f>
        <v>0</v>
      </c>
      <c r="E147">
        <f t="shared" si="20"/>
        <v>21</v>
      </c>
      <c r="F147">
        <f t="shared" si="21"/>
        <v>5</v>
      </c>
      <c r="G147">
        <f t="shared" si="22"/>
        <v>2021</v>
      </c>
      <c r="H147" t="str">
        <f t="shared" si="26"/>
        <v>52021</v>
      </c>
      <c r="I147">
        <f t="shared" si="27"/>
        <v>31</v>
      </c>
      <c r="J147">
        <f t="shared" si="23"/>
        <v>0</v>
      </c>
      <c r="K147">
        <f t="shared" si="24"/>
        <v>0</v>
      </c>
      <c r="L147">
        <f t="shared" si="25"/>
        <v>0</v>
      </c>
      <c r="M147" t="str">
        <f t="shared" si="28"/>
        <v>212021</v>
      </c>
      <c r="N147" t="str">
        <f t="shared" si="29"/>
        <v>21-5-2021</v>
      </c>
    </row>
    <row r="148" spans="1:14" x14ac:dyDescent="0.2">
      <c r="A148" s="1">
        <v>44343</v>
      </c>
      <c r="B148">
        <f>IFERROR(INDEX('planning dogs-n-tiger'!B$1:B$30,MATCH($H148,'planning dogs-n-tiger'!$G$1:$G$42,0)),0)</f>
        <v>0</v>
      </c>
      <c r="C148">
        <f>IFERROR(INDEX('planning dogs-n-tiger'!C$1:C$30,MATCH($H148,'planning dogs-n-tiger'!$G$1:$G$42,0)),0)</f>
        <v>0</v>
      </c>
      <c r="D148">
        <f>IFERROR(INDEX('planning dogs-n-tiger'!D$1:D$30,MATCH($H148,'planning dogs-n-tiger'!$G$1:$G$42,0)),0)</f>
        <v>0</v>
      </c>
      <c r="E148">
        <f t="shared" si="20"/>
        <v>21</v>
      </c>
      <c r="F148">
        <f t="shared" si="21"/>
        <v>5</v>
      </c>
      <c r="G148">
        <f t="shared" si="22"/>
        <v>2021</v>
      </c>
      <c r="H148" t="str">
        <f t="shared" si="26"/>
        <v>52021</v>
      </c>
      <c r="I148">
        <f t="shared" si="27"/>
        <v>31</v>
      </c>
      <c r="J148">
        <f t="shared" si="23"/>
        <v>0</v>
      </c>
      <c r="K148">
        <f t="shared" si="24"/>
        <v>0</v>
      </c>
      <c r="L148">
        <f t="shared" si="25"/>
        <v>0</v>
      </c>
      <c r="M148" t="str">
        <f t="shared" si="28"/>
        <v>212021</v>
      </c>
      <c r="N148" t="str">
        <f t="shared" si="29"/>
        <v>21-5-2021</v>
      </c>
    </row>
    <row r="149" spans="1:14" x14ac:dyDescent="0.2">
      <c r="A149" s="1">
        <v>44344</v>
      </c>
      <c r="B149">
        <f>IFERROR(INDEX('planning dogs-n-tiger'!B$1:B$30,MATCH($H149,'planning dogs-n-tiger'!$G$1:$G$42,0)),0)</f>
        <v>0</v>
      </c>
      <c r="C149">
        <f>IFERROR(INDEX('planning dogs-n-tiger'!C$1:C$30,MATCH($H149,'planning dogs-n-tiger'!$G$1:$G$42,0)),0)</f>
        <v>0</v>
      </c>
      <c r="D149">
        <f>IFERROR(INDEX('planning dogs-n-tiger'!D$1:D$30,MATCH($H149,'planning dogs-n-tiger'!$G$1:$G$42,0)),0)</f>
        <v>0</v>
      </c>
      <c r="E149">
        <f t="shared" si="20"/>
        <v>21</v>
      </c>
      <c r="F149">
        <f t="shared" si="21"/>
        <v>5</v>
      </c>
      <c r="G149">
        <f t="shared" si="22"/>
        <v>2021</v>
      </c>
      <c r="H149" t="str">
        <f t="shared" si="26"/>
        <v>52021</v>
      </c>
      <c r="I149">
        <f t="shared" si="27"/>
        <v>31</v>
      </c>
      <c r="J149">
        <f t="shared" si="23"/>
        <v>0</v>
      </c>
      <c r="K149">
        <f t="shared" si="24"/>
        <v>0</v>
      </c>
      <c r="L149">
        <f t="shared" si="25"/>
        <v>0</v>
      </c>
      <c r="M149" t="str">
        <f t="shared" si="28"/>
        <v>212021</v>
      </c>
      <c r="N149" t="str">
        <f t="shared" si="29"/>
        <v>21-5-2021</v>
      </c>
    </row>
    <row r="150" spans="1:14" x14ac:dyDescent="0.2">
      <c r="A150" s="1">
        <v>44345</v>
      </c>
      <c r="B150">
        <f>IFERROR(INDEX('planning dogs-n-tiger'!B$1:B$30,MATCH($H150,'planning dogs-n-tiger'!$G$1:$G$42,0)),0)</f>
        <v>0</v>
      </c>
      <c r="C150">
        <f>IFERROR(INDEX('planning dogs-n-tiger'!C$1:C$30,MATCH($H150,'planning dogs-n-tiger'!$G$1:$G$42,0)),0)</f>
        <v>0</v>
      </c>
      <c r="D150">
        <f>IFERROR(INDEX('planning dogs-n-tiger'!D$1:D$30,MATCH($H150,'planning dogs-n-tiger'!$G$1:$G$42,0)),0)</f>
        <v>0</v>
      </c>
      <c r="E150">
        <f t="shared" si="20"/>
        <v>21</v>
      </c>
      <c r="F150">
        <f t="shared" si="21"/>
        <v>5</v>
      </c>
      <c r="G150">
        <f t="shared" si="22"/>
        <v>2021</v>
      </c>
      <c r="H150" t="str">
        <f t="shared" si="26"/>
        <v>52021</v>
      </c>
      <c r="I150">
        <f t="shared" si="27"/>
        <v>31</v>
      </c>
      <c r="J150">
        <f t="shared" si="23"/>
        <v>0</v>
      </c>
      <c r="K150">
        <f t="shared" si="24"/>
        <v>0</v>
      </c>
      <c r="L150">
        <f t="shared" si="25"/>
        <v>0</v>
      </c>
      <c r="M150" t="str">
        <f t="shared" si="28"/>
        <v>212021</v>
      </c>
      <c r="N150" t="str">
        <f t="shared" si="29"/>
        <v>21-5-2021</v>
      </c>
    </row>
    <row r="151" spans="1:14" x14ac:dyDescent="0.2">
      <c r="A151" s="1">
        <v>44346</v>
      </c>
      <c r="B151">
        <f>IFERROR(INDEX('planning dogs-n-tiger'!B$1:B$30,MATCH($H151,'planning dogs-n-tiger'!$G$1:$G$42,0)),0)</f>
        <v>0</v>
      </c>
      <c r="C151">
        <f>IFERROR(INDEX('planning dogs-n-tiger'!C$1:C$30,MATCH($H151,'planning dogs-n-tiger'!$G$1:$G$42,0)),0)</f>
        <v>0</v>
      </c>
      <c r="D151">
        <f>IFERROR(INDEX('planning dogs-n-tiger'!D$1:D$30,MATCH($H151,'planning dogs-n-tiger'!$G$1:$G$42,0)),0)</f>
        <v>0</v>
      </c>
      <c r="E151">
        <f t="shared" si="20"/>
        <v>21</v>
      </c>
      <c r="F151">
        <f t="shared" si="21"/>
        <v>5</v>
      </c>
      <c r="G151">
        <f t="shared" si="22"/>
        <v>2021</v>
      </c>
      <c r="H151" t="str">
        <f t="shared" si="26"/>
        <v>52021</v>
      </c>
      <c r="I151">
        <f t="shared" si="27"/>
        <v>31</v>
      </c>
      <c r="J151">
        <f t="shared" si="23"/>
        <v>0</v>
      </c>
      <c r="K151">
        <f t="shared" si="24"/>
        <v>0</v>
      </c>
      <c r="L151">
        <f t="shared" si="25"/>
        <v>0</v>
      </c>
      <c r="M151" t="str">
        <f t="shared" si="28"/>
        <v>212021</v>
      </c>
      <c r="N151" t="str">
        <f t="shared" si="29"/>
        <v>21-5-2021</v>
      </c>
    </row>
    <row r="152" spans="1:14" x14ac:dyDescent="0.2">
      <c r="A152" s="1">
        <v>44347</v>
      </c>
      <c r="B152">
        <f>IFERROR(INDEX('planning dogs-n-tiger'!B$1:B$30,MATCH($H152,'planning dogs-n-tiger'!$G$1:$G$42,0)),0)</f>
        <v>0</v>
      </c>
      <c r="C152">
        <f>IFERROR(INDEX('planning dogs-n-tiger'!C$1:C$30,MATCH($H152,'planning dogs-n-tiger'!$G$1:$G$42,0)),0)</f>
        <v>0</v>
      </c>
      <c r="D152">
        <f>IFERROR(INDEX('planning dogs-n-tiger'!D$1:D$30,MATCH($H152,'planning dogs-n-tiger'!$G$1:$G$42,0)),0)</f>
        <v>0</v>
      </c>
      <c r="E152">
        <f t="shared" si="20"/>
        <v>22</v>
      </c>
      <c r="F152">
        <f t="shared" si="21"/>
        <v>5</v>
      </c>
      <c r="G152">
        <f t="shared" si="22"/>
        <v>2021</v>
      </c>
      <c r="H152" t="str">
        <f t="shared" si="26"/>
        <v>52021</v>
      </c>
      <c r="I152">
        <f t="shared" si="27"/>
        <v>31</v>
      </c>
      <c r="J152">
        <f t="shared" si="23"/>
        <v>0</v>
      </c>
      <c r="K152">
        <f t="shared" si="24"/>
        <v>0</v>
      </c>
      <c r="L152">
        <f t="shared" si="25"/>
        <v>0</v>
      </c>
      <c r="M152" t="str">
        <f t="shared" si="28"/>
        <v>222021</v>
      </c>
      <c r="N152" t="str">
        <f t="shared" si="29"/>
        <v>22-5-2021</v>
      </c>
    </row>
    <row r="153" spans="1:14" x14ac:dyDescent="0.2">
      <c r="A153" s="1">
        <v>44348</v>
      </c>
      <c r="B153">
        <f>IFERROR(INDEX('planning dogs-n-tiger'!B$1:B$30,MATCH($H153,'planning dogs-n-tiger'!$G$1:$G$42,0)),0)</f>
        <v>0</v>
      </c>
      <c r="C153">
        <f>IFERROR(INDEX('planning dogs-n-tiger'!C$1:C$30,MATCH($H153,'planning dogs-n-tiger'!$G$1:$G$42,0)),0)</f>
        <v>0</v>
      </c>
      <c r="D153">
        <f>IFERROR(INDEX('planning dogs-n-tiger'!D$1:D$30,MATCH($H153,'planning dogs-n-tiger'!$G$1:$G$42,0)),0)</f>
        <v>0</v>
      </c>
      <c r="E153">
        <f t="shared" si="20"/>
        <v>22</v>
      </c>
      <c r="F153">
        <f t="shared" si="21"/>
        <v>6</v>
      </c>
      <c r="G153">
        <f t="shared" si="22"/>
        <v>2021</v>
      </c>
      <c r="H153" t="str">
        <f t="shared" si="26"/>
        <v>62021</v>
      </c>
      <c r="I153">
        <f t="shared" si="27"/>
        <v>30</v>
      </c>
      <c r="J153">
        <f t="shared" si="23"/>
        <v>0</v>
      </c>
      <c r="K153">
        <f t="shared" si="24"/>
        <v>0</v>
      </c>
      <c r="L153">
        <f t="shared" si="25"/>
        <v>0</v>
      </c>
      <c r="M153" t="str">
        <f t="shared" si="28"/>
        <v>222021</v>
      </c>
      <c r="N153" t="str">
        <f t="shared" si="29"/>
        <v>22-6-2021</v>
      </c>
    </row>
    <row r="154" spans="1:14" x14ac:dyDescent="0.2">
      <c r="A154" s="1">
        <v>44349</v>
      </c>
      <c r="B154">
        <f>IFERROR(INDEX('planning dogs-n-tiger'!B$1:B$30,MATCH($H154,'planning dogs-n-tiger'!$G$1:$G$42,0)),0)</f>
        <v>0</v>
      </c>
      <c r="C154">
        <f>IFERROR(INDEX('planning dogs-n-tiger'!C$1:C$30,MATCH($H154,'planning dogs-n-tiger'!$G$1:$G$42,0)),0)</f>
        <v>0</v>
      </c>
      <c r="D154">
        <f>IFERROR(INDEX('planning dogs-n-tiger'!D$1:D$30,MATCH($H154,'planning dogs-n-tiger'!$G$1:$G$42,0)),0)</f>
        <v>0</v>
      </c>
      <c r="E154">
        <f t="shared" si="20"/>
        <v>22</v>
      </c>
      <c r="F154">
        <f t="shared" si="21"/>
        <v>6</v>
      </c>
      <c r="G154">
        <f t="shared" si="22"/>
        <v>2021</v>
      </c>
      <c r="H154" t="str">
        <f t="shared" si="26"/>
        <v>62021</v>
      </c>
      <c r="I154">
        <f t="shared" si="27"/>
        <v>30</v>
      </c>
      <c r="J154">
        <f t="shared" si="23"/>
        <v>0</v>
      </c>
      <c r="K154">
        <f t="shared" si="24"/>
        <v>0</v>
      </c>
      <c r="L154">
        <f t="shared" si="25"/>
        <v>0</v>
      </c>
      <c r="M154" t="str">
        <f t="shared" si="28"/>
        <v>222021</v>
      </c>
      <c r="N154" t="str">
        <f t="shared" si="29"/>
        <v>22-6-2021</v>
      </c>
    </row>
    <row r="155" spans="1:14" x14ac:dyDescent="0.2">
      <c r="A155" s="1">
        <v>44350</v>
      </c>
      <c r="B155">
        <f>IFERROR(INDEX('planning dogs-n-tiger'!B$1:B$30,MATCH($H155,'planning dogs-n-tiger'!$G$1:$G$42,0)),0)</f>
        <v>0</v>
      </c>
      <c r="C155">
        <f>IFERROR(INDEX('planning dogs-n-tiger'!C$1:C$30,MATCH($H155,'planning dogs-n-tiger'!$G$1:$G$42,0)),0)</f>
        <v>0</v>
      </c>
      <c r="D155">
        <f>IFERROR(INDEX('planning dogs-n-tiger'!D$1:D$30,MATCH($H155,'planning dogs-n-tiger'!$G$1:$G$42,0)),0)</f>
        <v>0</v>
      </c>
      <c r="E155">
        <f t="shared" si="20"/>
        <v>22</v>
      </c>
      <c r="F155">
        <f t="shared" si="21"/>
        <v>6</v>
      </c>
      <c r="G155">
        <f t="shared" si="22"/>
        <v>2021</v>
      </c>
      <c r="H155" t="str">
        <f t="shared" si="26"/>
        <v>62021</v>
      </c>
      <c r="I155">
        <f t="shared" si="27"/>
        <v>30</v>
      </c>
      <c r="J155">
        <f t="shared" si="23"/>
        <v>0</v>
      </c>
      <c r="K155">
        <f t="shared" si="24"/>
        <v>0</v>
      </c>
      <c r="L155">
        <f t="shared" si="25"/>
        <v>0</v>
      </c>
      <c r="M155" t="str">
        <f t="shared" si="28"/>
        <v>222021</v>
      </c>
      <c r="N155" t="str">
        <f t="shared" si="29"/>
        <v>22-6-2021</v>
      </c>
    </row>
    <row r="156" spans="1:14" x14ac:dyDescent="0.2">
      <c r="A156" s="1">
        <v>44351</v>
      </c>
      <c r="B156">
        <f>IFERROR(INDEX('planning dogs-n-tiger'!B$1:B$30,MATCH($H156,'planning dogs-n-tiger'!$G$1:$G$42,0)),0)</f>
        <v>0</v>
      </c>
      <c r="C156">
        <f>IFERROR(INDEX('planning dogs-n-tiger'!C$1:C$30,MATCH($H156,'planning dogs-n-tiger'!$G$1:$G$42,0)),0)</f>
        <v>0</v>
      </c>
      <c r="D156">
        <f>IFERROR(INDEX('planning dogs-n-tiger'!D$1:D$30,MATCH($H156,'planning dogs-n-tiger'!$G$1:$G$42,0)),0)</f>
        <v>0</v>
      </c>
      <c r="E156">
        <f t="shared" si="20"/>
        <v>22</v>
      </c>
      <c r="F156">
        <f t="shared" si="21"/>
        <v>6</v>
      </c>
      <c r="G156">
        <f t="shared" si="22"/>
        <v>2021</v>
      </c>
      <c r="H156" t="str">
        <f t="shared" si="26"/>
        <v>62021</v>
      </c>
      <c r="I156">
        <f t="shared" si="27"/>
        <v>30</v>
      </c>
      <c r="J156">
        <f t="shared" si="23"/>
        <v>0</v>
      </c>
      <c r="K156">
        <f t="shared" si="24"/>
        <v>0</v>
      </c>
      <c r="L156">
        <f t="shared" si="25"/>
        <v>0</v>
      </c>
      <c r="M156" t="str">
        <f t="shared" si="28"/>
        <v>222021</v>
      </c>
      <c r="N156" t="str">
        <f t="shared" si="29"/>
        <v>22-6-2021</v>
      </c>
    </row>
    <row r="157" spans="1:14" x14ac:dyDescent="0.2">
      <c r="A157" s="1">
        <v>44352</v>
      </c>
      <c r="B157">
        <f>IFERROR(INDEX('planning dogs-n-tiger'!B$1:B$30,MATCH($H157,'planning dogs-n-tiger'!$G$1:$G$42,0)),0)</f>
        <v>0</v>
      </c>
      <c r="C157">
        <f>IFERROR(INDEX('planning dogs-n-tiger'!C$1:C$30,MATCH($H157,'planning dogs-n-tiger'!$G$1:$G$42,0)),0)</f>
        <v>0</v>
      </c>
      <c r="D157">
        <f>IFERROR(INDEX('planning dogs-n-tiger'!D$1:D$30,MATCH($H157,'planning dogs-n-tiger'!$G$1:$G$42,0)),0)</f>
        <v>0</v>
      </c>
      <c r="E157">
        <f t="shared" si="20"/>
        <v>22</v>
      </c>
      <c r="F157">
        <f t="shared" si="21"/>
        <v>6</v>
      </c>
      <c r="G157">
        <f t="shared" si="22"/>
        <v>2021</v>
      </c>
      <c r="H157" t="str">
        <f t="shared" si="26"/>
        <v>62021</v>
      </c>
      <c r="I157">
        <f t="shared" si="27"/>
        <v>30</v>
      </c>
      <c r="J157">
        <f t="shared" si="23"/>
        <v>0</v>
      </c>
      <c r="K157">
        <f t="shared" si="24"/>
        <v>0</v>
      </c>
      <c r="L157">
        <f t="shared" si="25"/>
        <v>0</v>
      </c>
      <c r="M157" t="str">
        <f t="shared" si="28"/>
        <v>222021</v>
      </c>
      <c r="N157" t="str">
        <f t="shared" si="29"/>
        <v>22-6-2021</v>
      </c>
    </row>
    <row r="158" spans="1:14" x14ac:dyDescent="0.2">
      <c r="A158" s="1">
        <v>44353</v>
      </c>
      <c r="B158">
        <f>IFERROR(INDEX('planning dogs-n-tiger'!B$1:B$30,MATCH($H158,'planning dogs-n-tiger'!$G$1:$G$42,0)),0)</f>
        <v>0</v>
      </c>
      <c r="C158">
        <f>IFERROR(INDEX('planning dogs-n-tiger'!C$1:C$30,MATCH($H158,'planning dogs-n-tiger'!$G$1:$G$42,0)),0)</f>
        <v>0</v>
      </c>
      <c r="D158">
        <f>IFERROR(INDEX('planning dogs-n-tiger'!D$1:D$30,MATCH($H158,'planning dogs-n-tiger'!$G$1:$G$42,0)),0)</f>
        <v>0</v>
      </c>
      <c r="E158">
        <f t="shared" si="20"/>
        <v>22</v>
      </c>
      <c r="F158">
        <f t="shared" si="21"/>
        <v>6</v>
      </c>
      <c r="G158">
        <f t="shared" si="22"/>
        <v>2021</v>
      </c>
      <c r="H158" t="str">
        <f t="shared" si="26"/>
        <v>62021</v>
      </c>
      <c r="I158">
        <f t="shared" si="27"/>
        <v>30</v>
      </c>
      <c r="J158">
        <f t="shared" si="23"/>
        <v>0</v>
      </c>
      <c r="K158">
        <f t="shared" si="24"/>
        <v>0</v>
      </c>
      <c r="L158">
        <f t="shared" si="25"/>
        <v>0</v>
      </c>
      <c r="M158" t="str">
        <f t="shared" si="28"/>
        <v>222021</v>
      </c>
      <c r="N158" t="str">
        <f t="shared" si="29"/>
        <v>22-6-2021</v>
      </c>
    </row>
    <row r="159" spans="1:14" x14ac:dyDescent="0.2">
      <c r="A159" s="1">
        <v>44354</v>
      </c>
      <c r="B159">
        <f>IFERROR(INDEX('planning dogs-n-tiger'!B$1:B$30,MATCH($H159,'planning dogs-n-tiger'!$G$1:$G$42,0)),0)</f>
        <v>0</v>
      </c>
      <c r="C159">
        <f>IFERROR(INDEX('planning dogs-n-tiger'!C$1:C$30,MATCH($H159,'planning dogs-n-tiger'!$G$1:$G$42,0)),0)</f>
        <v>0</v>
      </c>
      <c r="D159">
        <f>IFERROR(INDEX('planning dogs-n-tiger'!D$1:D$30,MATCH($H159,'planning dogs-n-tiger'!$G$1:$G$42,0)),0)</f>
        <v>0</v>
      </c>
      <c r="E159">
        <f t="shared" si="20"/>
        <v>23</v>
      </c>
      <c r="F159">
        <f t="shared" si="21"/>
        <v>6</v>
      </c>
      <c r="G159">
        <f t="shared" si="22"/>
        <v>2021</v>
      </c>
      <c r="H159" t="str">
        <f t="shared" si="26"/>
        <v>62021</v>
      </c>
      <c r="I159">
        <f t="shared" si="27"/>
        <v>30</v>
      </c>
      <c r="J159">
        <f t="shared" si="23"/>
        <v>0</v>
      </c>
      <c r="K159">
        <f t="shared" si="24"/>
        <v>0</v>
      </c>
      <c r="L159">
        <f t="shared" si="25"/>
        <v>0</v>
      </c>
      <c r="M159" t="str">
        <f t="shared" si="28"/>
        <v>232021</v>
      </c>
      <c r="N159" t="str">
        <f t="shared" si="29"/>
        <v>23-6-2021</v>
      </c>
    </row>
    <row r="160" spans="1:14" x14ac:dyDescent="0.2">
      <c r="A160" s="1">
        <v>44355</v>
      </c>
      <c r="B160">
        <f>IFERROR(INDEX('planning dogs-n-tiger'!B$1:B$30,MATCH($H160,'planning dogs-n-tiger'!$G$1:$G$42,0)),0)</f>
        <v>0</v>
      </c>
      <c r="C160">
        <f>IFERROR(INDEX('planning dogs-n-tiger'!C$1:C$30,MATCH($H160,'planning dogs-n-tiger'!$G$1:$G$42,0)),0)</f>
        <v>0</v>
      </c>
      <c r="D160">
        <f>IFERROR(INDEX('planning dogs-n-tiger'!D$1:D$30,MATCH($H160,'planning dogs-n-tiger'!$G$1:$G$42,0)),0)</f>
        <v>0</v>
      </c>
      <c r="E160">
        <f t="shared" si="20"/>
        <v>23</v>
      </c>
      <c r="F160">
        <f t="shared" si="21"/>
        <v>6</v>
      </c>
      <c r="G160">
        <f t="shared" si="22"/>
        <v>2021</v>
      </c>
      <c r="H160" t="str">
        <f t="shared" si="26"/>
        <v>62021</v>
      </c>
      <c r="I160">
        <f t="shared" si="27"/>
        <v>30</v>
      </c>
      <c r="J160">
        <f t="shared" si="23"/>
        <v>0</v>
      </c>
      <c r="K160">
        <f t="shared" si="24"/>
        <v>0</v>
      </c>
      <c r="L160">
        <f t="shared" si="25"/>
        <v>0</v>
      </c>
      <c r="M160" t="str">
        <f t="shared" si="28"/>
        <v>232021</v>
      </c>
      <c r="N160" t="str">
        <f t="shared" si="29"/>
        <v>23-6-2021</v>
      </c>
    </row>
    <row r="161" spans="1:14" x14ac:dyDescent="0.2">
      <c r="A161" s="1">
        <v>44356</v>
      </c>
      <c r="B161">
        <f>IFERROR(INDEX('planning dogs-n-tiger'!B$1:B$30,MATCH($H161,'planning dogs-n-tiger'!$G$1:$G$42,0)),0)</f>
        <v>0</v>
      </c>
      <c r="C161">
        <f>IFERROR(INDEX('planning dogs-n-tiger'!C$1:C$30,MATCH($H161,'planning dogs-n-tiger'!$G$1:$G$42,0)),0)</f>
        <v>0</v>
      </c>
      <c r="D161">
        <f>IFERROR(INDEX('planning dogs-n-tiger'!D$1:D$30,MATCH($H161,'planning dogs-n-tiger'!$G$1:$G$42,0)),0)</f>
        <v>0</v>
      </c>
      <c r="E161">
        <f t="shared" si="20"/>
        <v>23</v>
      </c>
      <c r="F161">
        <f t="shared" si="21"/>
        <v>6</v>
      </c>
      <c r="G161">
        <f t="shared" si="22"/>
        <v>2021</v>
      </c>
      <c r="H161" t="str">
        <f t="shared" si="26"/>
        <v>62021</v>
      </c>
      <c r="I161">
        <f t="shared" si="27"/>
        <v>30</v>
      </c>
      <c r="J161">
        <f t="shared" si="23"/>
        <v>0</v>
      </c>
      <c r="K161">
        <f t="shared" si="24"/>
        <v>0</v>
      </c>
      <c r="L161">
        <f t="shared" si="25"/>
        <v>0</v>
      </c>
      <c r="M161" t="str">
        <f t="shared" si="28"/>
        <v>232021</v>
      </c>
      <c r="N161" t="str">
        <f t="shared" si="29"/>
        <v>23-6-2021</v>
      </c>
    </row>
    <row r="162" spans="1:14" x14ac:dyDescent="0.2">
      <c r="A162" s="1">
        <v>44357</v>
      </c>
      <c r="B162">
        <f>IFERROR(INDEX('planning dogs-n-tiger'!B$1:B$30,MATCH($H162,'planning dogs-n-tiger'!$G$1:$G$42,0)),0)</f>
        <v>0</v>
      </c>
      <c r="C162">
        <f>IFERROR(INDEX('planning dogs-n-tiger'!C$1:C$30,MATCH($H162,'planning dogs-n-tiger'!$G$1:$G$42,0)),0)</f>
        <v>0</v>
      </c>
      <c r="D162">
        <f>IFERROR(INDEX('planning dogs-n-tiger'!D$1:D$30,MATCH($H162,'planning dogs-n-tiger'!$G$1:$G$42,0)),0)</f>
        <v>0</v>
      </c>
      <c r="E162">
        <f t="shared" si="20"/>
        <v>23</v>
      </c>
      <c r="F162">
        <f t="shared" si="21"/>
        <v>6</v>
      </c>
      <c r="G162">
        <f t="shared" si="22"/>
        <v>2021</v>
      </c>
      <c r="H162" t="str">
        <f t="shared" si="26"/>
        <v>62021</v>
      </c>
      <c r="I162">
        <f t="shared" si="27"/>
        <v>30</v>
      </c>
      <c r="J162">
        <f t="shared" si="23"/>
        <v>0</v>
      </c>
      <c r="K162">
        <f t="shared" si="24"/>
        <v>0</v>
      </c>
      <c r="L162">
        <f t="shared" si="25"/>
        <v>0</v>
      </c>
      <c r="M162" t="str">
        <f t="shared" si="28"/>
        <v>232021</v>
      </c>
      <c r="N162" t="str">
        <f t="shared" si="29"/>
        <v>23-6-2021</v>
      </c>
    </row>
    <row r="163" spans="1:14" x14ac:dyDescent="0.2">
      <c r="A163" s="1">
        <v>44358</v>
      </c>
      <c r="B163">
        <f>IFERROR(INDEX('planning dogs-n-tiger'!B$1:B$30,MATCH($H163,'planning dogs-n-tiger'!$G$1:$G$42,0)),0)</f>
        <v>0</v>
      </c>
      <c r="C163">
        <f>IFERROR(INDEX('planning dogs-n-tiger'!C$1:C$30,MATCH($H163,'planning dogs-n-tiger'!$G$1:$G$42,0)),0)</f>
        <v>0</v>
      </c>
      <c r="D163">
        <f>IFERROR(INDEX('planning dogs-n-tiger'!D$1:D$30,MATCH($H163,'planning dogs-n-tiger'!$G$1:$G$42,0)),0)</f>
        <v>0</v>
      </c>
      <c r="E163">
        <f t="shared" si="20"/>
        <v>23</v>
      </c>
      <c r="F163">
        <f t="shared" si="21"/>
        <v>6</v>
      </c>
      <c r="G163">
        <f t="shared" si="22"/>
        <v>2021</v>
      </c>
      <c r="H163" t="str">
        <f t="shared" si="26"/>
        <v>62021</v>
      </c>
      <c r="I163">
        <f t="shared" si="27"/>
        <v>30</v>
      </c>
      <c r="J163">
        <f t="shared" si="23"/>
        <v>0</v>
      </c>
      <c r="K163">
        <f t="shared" si="24"/>
        <v>0</v>
      </c>
      <c r="L163">
        <f t="shared" si="25"/>
        <v>0</v>
      </c>
      <c r="M163" t="str">
        <f t="shared" si="28"/>
        <v>232021</v>
      </c>
      <c r="N163" t="str">
        <f t="shared" si="29"/>
        <v>23-6-2021</v>
      </c>
    </row>
    <row r="164" spans="1:14" x14ac:dyDescent="0.2">
      <c r="A164" s="1">
        <v>44359</v>
      </c>
      <c r="B164">
        <f>IFERROR(INDEX('planning dogs-n-tiger'!B$1:B$30,MATCH($H164,'planning dogs-n-tiger'!$G$1:$G$42,0)),0)</f>
        <v>0</v>
      </c>
      <c r="C164">
        <f>IFERROR(INDEX('planning dogs-n-tiger'!C$1:C$30,MATCH($H164,'planning dogs-n-tiger'!$G$1:$G$42,0)),0)</f>
        <v>0</v>
      </c>
      <c r="D164">
        <f>IFERROR(INDEX('planning dogs-n-tiger'!D$1:D$30,MATCH($H164,'planning dogs-n-tiger'!$G$1:$G$42,0)),0)</f>
        <v>0</v>
      </c>
      <c r="E164">
        <f t="shared" si="20"/>
        <v>23</v>
      </c>
      <c r="F164">
        <f t="shared" si="21"/>
        <v>6</v>
      </c>
      <c r="G164">
        <f t="shared" si="22"/>
        <v>2021</v>
      </c>
      <c r="H164" t="str">
        <f t="shared" si="26"/>
        <v>62021</v>
      </c>
      <c r="I164">
        <f t="shared" si="27"/>
        <v>30</v>
      </c>
      <c r="J164">
        <f t="shared" si="23"/>
        <v>0</v>
      </c>
      <c r="K164">
        <f t="shared" si="24"/>
        <v>0</v>
      </c>
      <c r="L164">
        <f t="shared" si="25"/>
        <v>0</v>
      </c>
      <c r="M164" t="str">
        <f t="shared" si="28"/>
        <v>232021</v>
      </c>
      <c r="N164" t="str">
        <f t="shared" si="29"/>
        <v>23-6-2021</v>
      </c>
    </row>
    <row r="165" spans="1:14" x14ac:dyDescent="0.2">
      <c r="A165" s="1">
        <v>44360</v>
      </c>
      <c r="B165">
        <f>IFERROR(INDEX('planning dogs-n-tiger'!B$1:B$30,MATCH($H165,'planning dogs-n-tiger'!$G$1:$G$42,0)),0)</f>
        <v>0</v>
      </c>
      <c r="C165">
        <f>IFERROR(INDEX('planning dogs-n-tiger'!C$1:C$30,MATCH($H165,'planning dogs-n-tiger'!$G$1:$G$42,0)),0)</f>
        <v>0</v>
      </c>
      <c r="D165">
        <f>IFERROR(INDEX('planning dogs-n-tiger'!D$1:D$30,MATCH($H165,'planning dogs-n-tiger'!$G$1:$G$42,0)),0)</f>
        <v>0</v>
      </c>
      <c r="E165">
        <f t="shared" si="20"/>
        <v>23</v>
      </c>
      <c r="F165">
        <f t="shared" si="21"/>
        <v>6</v>
      </c>
      <c r="G165">
        <f t="shared" si="22"/>
        <v>2021</v>
      </c>
      <c r="H165" t="str">
        <f t="shared" si="26"/>
        <v>62021</v>
      </c>
      <c r="I165">
        <f t="shared" si="27"/>
        <v>30</v>
      </c>
      <c r="J165">
        <f t="shared" si="23"/>
        <v>0</v>
      </c>
      <c r="K165">
        <f t="shared" si="24"/>
        <v>0</v>
      </c>
      <c r="L165">
        <f t="shared" si="25"/>
        <v>0</v>
      </c>
      <c r="M165" t="str">
        <f t="shared" si="28"/>
        <v>232021</v>
      </c>
      <c r="N165" t="str">
        <f t="shared" si="29"/>
        <v>23-6-2021</v>
      </c>
    </row>
    <row r="166" spans="1:14" x14ac:dyDescent="0.2">
      <c r="A166" s="1">
        <v>44361</v>
      </c>
      <c r="B166">
        <f>IFERROR(INDEX('planning dogs-n-tiger'!B$1:B$30,MATCH($H166,'planning dogs-n-tiger'!$G$1:$G$42,0)),0)</f>
        <v>0</v>
      </c>
      <c r="C166">
        <f>IFERROR(INDEX('planning dogs-n-tiger'!C$1:C$30,MATCH($H166,'planning dogs-n-tiger'!$G$1:$G$42,0)),0)</f>
        <v>0</v>
      </c>
      <c r="D166">
        <f>IFERROR(INDEX('planning dogs-n-tiger'!D$1:D$30,MATCH($H166,'planning dogs-n-tiger'!$G$1:$G$42,0)),0)</f>
        <v>0</v>
      </c>
      <c r="E166">
        <f t="shared" si="20"/>
        <v>24</v>
      </c>
      <c r="F166">
        <f t="shared" si="21"/>
        <v>6</v>
      </c>
      <c r="G166">
        <f t="shared" si="22"/>
        <v>2021</v>
      </c>
      <c r="H166" t="str">
        <f t="shared" si="26"/>
        <v>62021</v>
      </c>
      <c r="I166">
        <f t="shared" si="27"/>
        <v>30</v>
      </c>
      <c r="J166">
        <f t="shared" si="23"/>
        <v>0</v>
      </c>
      <c r="K166">
        <f t="shared" si="24"/>
        <v>0</v>
      </c>
      <c r="L166">
        <f t="shared" si="25"/>
        <v>0</v>
      </c>
      <c r="M166" t="str">
        <f t="shared" si="28"/>
        <v>242021</v>
      </c>
      <c r="N166" t="str">
        <f t="shared" si="29"/>
        <v>24-6-2021</v>
      </c>
    </row>
    <row r="167" spans="1:14" x14ac:dyDescent="0.2">
      <c r="A167" s="1">
        <v>44362</v>
      </c>
      <c r="B167">
        <f>IFERROR(INDEX('planning dogs-n-tiger'!B$1:B$30,MATCH($H167,'planning dogs-n-tiger'!$G$1:$G$42,0)),0)</f>
        <v>0</v>
      </c>
      <c r="C167">
        <f>IFERROR(INDEX('planning dogs-n-tiger'!C$1:C$30,MATCH($H167,'planning dogs-n-tiger'!$G$1:$G$42,0)),0)</f>
        <v>0</v>
      </c>
      <c r="D167">
        <f>IFERROR(INDEX('planning dogs-n-tiger'!D$1:D$30,MATCH($H167,'planning dogs-n-tiger'!$G$1:$G$42,0)),0)</f>
        <v>0</v>
      </c>
      <c r="E167">
        <f t="shared" si="20"/>
        <v>24</v>
      </c>
      <c r="F167">
        <f t="shared" si="21"/>
        <v>6</v>
      </c>
      <c r="G167">
        <f t="shared" si="22"/>
        <v>2021</v>
      </c>
      <c r="H167" t="str">
        <f t="shared" si="26"/>
        <v>62021</v>
      </c>
      <c r="I167">
        <f t="shared" si="27"/>
        <v>30</v>
      </c>
      <c r="J167">
        <f t="shared" si="23"/>
        <v>0</v>
      </c>
      <c r="K167">
        <f t="shared" si="24"/>
        <v>0</v>
      </c>
      <c r="L167">
        <f t="shared" si="25"/>
        <v>0</v>
      </c>
      <c r="M167" t="str">
        <f t="shared" si="28"/>
        <v>242021</v>
      </c>
      <c r="N167" t="str">
        <f t="shared" si="29"/>
        <v>24-6-2021</v>
      </c>
    </row>
    <row r="168" spans="1:14" x14ac:dyDescent="0.2">
      <c r="A168" s="1">
        <v>44363</v>
      </c>
      <c r="B168">
        <f>IFERROR(INDEX('planning dogs-n-tiger'!B$1:B$30,MATCH($H168,'planning dogs-n-tiger'!$G$1:$G$42,0)),0)</f>
        <v>0</v>
      </c>
      <c r="C168">
        <f>IFERROR(INDEX('planning dogs-n-tiger'!C$1:C$30,MATCH($H168,'planning dogs-n-tiger'!$G$1:$G$42,0)),0)</f>
        <v>0</v>
      </c>
      <c r="D168">
        <f>IFERROR(INDEX('planning dogs-n-tiger'!D$1:D$30,MATCH($H168,'planning dogs-n-tiger'!$G$1:$G$42,0)),0)</f>
        <v>0</v>
      </c>
      <c r="E168">
        <f t="shared" si="20"/>
        <v>24</v>
      </c>
      <c r="F168">
        <f t="shared" si="21"/>
        <v>6</v>
      </c>
      <c r="G168">
        <f t="shared" si="22"/>
        <v>2021</v>
      </c>
      <c r="H168" t="str">
        <f t="shared" si="26"/>
        <v>62021</v>
      </c>
      <c r="I168">
        <f t="shared" si="27"/>
        <v>30</v>
      </c>
      <c r="J168">
        <f t="shared" si="23"/>
        <v>0</v>
      </c>
      <c r="K168">
        <f t="shared" si="24"/>
        <v>0</v>
      </c>
      <c r="L168">
        <f t="shared" si="25"/>
        <v>0</v>
      </c>
      <c r="M168" t="str">
        <f t="shared" si="28"/>
        <v>242021</v>
      </c>
      <c r="N168" t="str">
        <f t="shared" si="29"/>
        <v>24-6-2021</v>
      </c>
    </row>
    <row r="169" spans="1:14" x14ac:dyDescent="0.2">
      <c r="A169" s="1">
        <v>44364</v>
      </c>
      <c r="B169">
        <f>IFERROR(INDEX('planning dogs-n-tiger'!B$1:B$30,MATCH($H169,'planning dogs-n-tiger'!$G$1:$G$42,0)),0)</f>
        <v>0</v>
      </c>
      <c r="C169">
        <f>IFERROR(INDEX('planning dogs-n-tiger'!C$1:C$30,MATCH($H169,'planning dogs-n-tiger'!$G$1:$G$42,0)),0)</f>
        <v>0</v>
      </c>
      <c r="D169">
        <f>IFERROR(INDEX('planning dogs-n-tiger'!D$1:D$30,MATCH($H169,'planning dogs-n-tiger'!$G$1:$G$42,0)),0)</f>
        <v>0</v>
      </c>
      <c r="E169">
        <f t="shared" si="20"/>
        <v>24</v>
      </c>
      <c r="F169">
        <f t="shared" si="21"/>
        <v>6</v>
      </c>
      <c r="G169">
        <f t="shared" si="22"/>
        <v>2021</v>
      </c>
      <c r="H169" t="str">
        <f t="shared" si="26"/>
        <v>62021</v>
      </c>
      <c r="I169">
        <f t="shared" si="27"/>
        <v>30</v>
      </c>
      <c r="J169">
        <f t="shared" si="23"/>
        <v>0</v>
      </c>
      <c r="K169">
        <f t="shared" si="24"/>
        <v>0</v>
      </c>
      <c r="L169">
        <f t="shared" si="25"/>
        <v>0</v>
      </c>
      <c r="M169" t="str">
        <f t="shared" si="28"/>
        <v>242021</v>
      </c>
      <c r="N169" t="str">
        <f t="shared" si="29"/>
        <v>24-6-2021</v>
      </c>
    </row>
    <row r="170" spans="1:14" x14ac:dyDescent="0.2">
      <c r="A170" s="1">
        <v>44365</v>
      </c>
      <c r="B170">
        <f>IFERROR(INDEX('planning dogs-n-tiger'!B$1:B$30,MATCH($H170,'planning dogs-n-tiger'!$G$1:$G$42,0)),0)</f>
        <v>0</v>
      </c>
      <c r="C170">
        <f>IFERROR(INDEX('planning dogs-n-tiger'!C$1:C$30,MATCH($H170,'planning dogs-n-tiger'!$G$1:$G$42,0)),0)</f>
        <v>0</v>
      </c>
      <c r="D170">
        <f>IFERROR(INDEX('planning dogs-n-tiger'!D$1:D$30,MATCH($H170,'planning dogs-n-tiger'!$G$1:$G$42,0)),0)</f>
        <v>0</v>
      </c>
      <c r="E170">
        <f t="shared" si="20"/>
        <v>24</v>
      </c>
      <c r="F170">
        <f t="shared" si="21"/>
        <v>6</v>
      </c>
      <c r="G170">
        <f t="shared" si="22"/>
        <v>2021</v>
      </c>
      <c r="H170" t="str">
        <f t="shared" si="26"/>
        <v>62021</v>
      </c>
      <c r="I170">
        <f t="shared" si="27"/>
        <v>30</v>
      </c>
      <c r="J170">
        <f t="shared" si="23"/>
        <v>0</v>
      </c>
      <c r="K170">
        <f t="shared" si="24"/>
        <v>0</v>
      </c>
      <c r="L170">
        <f t="shared" si="25"/>
        <v>0</v>
      </c>
      <c r="M170" t="str">
        <f t="shared" si="28"/>
        <v>242021</v>
      </c>
      <c r="N170" t="str">
        <f t="shared" si="29"/>
        <v>24-6-2021</v>
      </c>
    </row>
    <row r="171" spans="1:14" x14ac:dyDescent="0.2">
      <c r="A171" s="1">
        <v>44366</v>
      </c>
      <c r="B171">
        <f>IFERROR(INDEX('planning dogs-n-tiger'!B$1:B$30,MATCH($H171,'planning dogs-n-tiger'!$G$1:$G$42,0)),0)</f>
        <v>0</v>
      </c>
      <c r="C171">
        <f>IFERROR(INDEX('planning dogs-n-tiger'!C$1:C$30,MATCH($H171,'planning dogs-n-tiger'!$G$1:$G$42,0)),0)</f>
        <v>0</v>
      </c>
      <c r="D171">
        <f>IFERROR(INDEX('planning dogs-n-tiger'!D$1:D$30,MATCH($H171,'planning dogs-n-tiger'!$G$1:$G$42,0)),0)</f>
        <v>0</v>
      </c>
      <c r="E171">
        <f t="shared" si="20"/>
        <v>24</v>
      </c>
      <c r="F171">
        <f t="shared" si="21"/>
        <v>6</v>
      </c>
      <c r="G171">
        <f t="shared" si="22"/>
        <v>2021</v>
      </c>
      <c r="H171" t="str">
        <f t="shared" si="26"/>
        <v>62021</v>
      </c>
      <c r="I171">
        <f t="shared" si="27"/>
        <v>30</v>
      </c>
      <c r="J171">
        <f t="shared" si="23"/>
        <v>0</v>
      </c>
      <c r="K171">
        <f t="shared" si="24"/>
        <v>0</v>
      </c>
      <c r="L171">
        <f t="shared" si="25"/>
        <v>0</v>
      </c>
      <c r="M171" t="str">
        <f t="shared" si="28"/>
        <v>242021</v>
      </c>
      <c r="N171" t="str">
        <f t="shared" si="29"/>
        <v>24-6-2021</v>
      </c>
    </row>
    <row r="172" spans="1:14" x14ac:dyDescent="0.2">
      <c r="A172" s="1">
        <v>44367</v>
      </c>
      <c r="B172">
        <f>IFERROR(INDEX('planning dogs-n-tiger'!B$1:B$30,MATCH($H172,'planning dogs-n-tiger'!$G$1:$G$42,0)),0)</f>
        <v>0</v>
      </c>
      <c r="C172">
        <f>IFERROR(INDEX('planning dogs-n-tiger'!C$1:C$30,MATCH($H172,'planning dogs-n-tiger'!$G$1:$G$42,0)),0)</f>
        <v>0</v>
      </c>
      <c r="D172">
        <f>IFERROR(INDEX('planning dogs-n-tiger'!D$1:D$30,MATCH($H172,'planning dogs-n-tiger'!$G$1:$G$42,0)),0)</f>
        <v>0</v>
      </c>
      <c r="E172">
        <f t="shared" si="20"/>
        <v>24</v>
      </c>
      <c r="F172">
        <f t="shared" si="21"/>
        <v>6</v>
      </c>
      <c r="G172">
        <f t="shared" si="22"/>
        <v>2021</v>
      </c>
      <c r="H172" t="str">
        <f t="shared" si="26"/>
        <v>62021</v>
      </c>
      <c r="I172">
        <f t="shared" si="27"/>
        <v>30</v>
      </c>
      <c r="J172">
        <f t="shared" si="23"/>
        <v>0</v>
      </c>
      <c r="K172">
        <f t="shared" si="24"/>
        <v>0</v>
      </c>
      <c r="L172">
        <f t="shared" si="25"/>
        <v>0</v>
      </c>
      <c r="M172" t="str">
        <f t="shared" si="28"/>
        <v>242021</v>
      </c>
      <c r="N172" t="str">
        <f t="shared" si="29"/>
        <v>24-6-2021</v>
      </c>
    </row>
    <row r="173" spans="1:14" x14ac:dyDescent="0.2">
      <c r="A173" s="1">
        <v>44368</v>
      </c>
      <c r="B173">
        <f>IFERROR(INDEX('planning dogs-n-tiger'!B$1:B$30,MATCH($H173,'planning dogs-n-tiger'!$G$1:$G$42,0)),0)</f>
        <v>0</v>
      </c>
      <c r="C173">
        <f>IFERROR(INDEX('planning dogs-n-tiger'!C$1:C$30,MATCH($H173,'planning dogs-n-tiger'!$G$1:$G$42,0)),0)</f>
        <v>0</v>
      </c>
      <c r="D173">
        <f>IFERROR(INDEX('planning dogs-n-tiger'!D$1:D$30,MATCH($H173,'planning dogs-n-tiger'!$G$1:$G$42,0)),0)</f>
        <v>0</v>
      </c>
      <c r="E173">
        <f t="shared" si="20"/>
        <v>25</v>
      </c>
      <c r="F173">
        <f t="shared" si="21"/>
        <v>6</v>
      </c>
      <c r="G173">
        <f t="shared" si="22"/>
        <v>2021</v>
      </c>
      <c r="H173" t="str">
        <f t="shared" si="26"/>
        <v>62021</v>
      </c>
      <c r="I173">
        <f t="shared" si="27"/>
        <v>30</v>
      </c>
      <c r="J173">
        <f t="shared" si="23"/>
        <v>0</v>
      </c>
      <c r="K173">
        <f t="shared" si="24"/>
        <v>0</v>
      </c>
      <c r="L173">
        <f t="shared" si="25"/>
        <v>0</v>
      </c>
      <c r="M173" t="str">
        <f t="shared" si="28"/>
        <v>252021</v>
      </c>
      <c r="N173" t="str">
        <f t="shared" si="29"/>
        <v>25-6-2021</v>
      </c>
    </row>
    <row r="174" spans="1:14" x14ac:dyDescent="0.2">
      <c r="A174" s="1">
        <v>44369</v>
      </c>
      <c r="B174">
        <f>IFERROR(INDEX('planning dogs-n-tiger'!B$1:B$30,MATCH($H174,'planning dogs-n-tiger'!$G$1:$G$42,0)),0)</f>
        <v>0</v>
      </c>
      <c r="C174">
        <f>IFERROR(INDEX('planning dogs-n-tiger'!C$1:C$30,MATCH($H174,'planning dogs-n-tiger'!$G$1:$G$42,0)),0)</f>
        <v>0</v>
      </c>
      <c r="D174">
        <f>IFERROR(INDEX('planning dogs-n-tiger'!D$1:D$30,MATCH($H174,'planning dogs-n-tiger'!$G$1:$G$42,0)),0)</f>
        <v>0</v>
      </c>
      <c r="E174">
        <f t="shared" si="20"/>
        <v>25</v>
      </c>
      <c r="F174">
        <f t="shared" si="21"/>
        <v>6</v>
      </c>
      <c r="G174">
        <f t="shared" si="22"/>
        <v>2021</v>
      </c>
      <c r="H174" t="str">
        <f t="shared" si="26"/>
        <v>62021</v>
      </c>
      <c r="I174">
        <f t="shared" si="27"/>
        <v>30</v>
      </c>
      <c r="J174">
        <f t="shared" si="23"/>
        <v>0</v>
      </c>
      <c r="K174">
        <f t="shared" si="24"/>
        <v>0</v>
      </c>
      <c r="L174">
        <f t="shared" si="25"/>
        <v>0</v>
      </c>
      <c r="M174" t="str">
        <f t="shared" si="28"/>
        <v>252021</v>
      </c>
      <c r="N174" t="str">
        <f t="shared" si="29"/>
        <v>25-6-2021</v>
      </c>
    </row>
    <row r="175" spans="1:14" x14ac:dyDescent="0.2">
      <c r="A175" s="1">
        <v>44370</v>
      </c>
      <c r="B175">
        <f>IFERROR(INDEX('planning dogs-n-tiger'!B$1:B$30,MATCH($H175,'planning dogs-n-tiger'!$G$1:$G$42,0)),0)</f>
        <v>0</v>
      </c>
      <c r="C175">
        <f>IFERROR(INDEX('planning dogs-n-tiger'!C$1:C$30,MATCH($H175,'planning dogs-n-tiger'!$G$1:$G$42,0)),0)</f>
        <v>0</v>
      </c>
      <c r="D175">
        <f>IFERROR(INDEX('planning dogs-n-tiger'!D$1:D$30,MATCH($H175,'planning dogs-n-tiger'!$G$1:$G$42,0)),0)</f>
        <v>0</v>
      </c>
      <c r="E175">
        <f t="shared" si="20"/>
        <v>25</v>
      </c>
      <c r="F175">
        <f t="shared" si="21"/>
        <v>6</v>
      </c>
      <c r="G175">
        <f t="shared" si="22"/>
        <v>2021</v>
      </c>
      <c r="H175" t="str">
        <f t="shared" si="26"/>
        <v>62021</v>
      </c>
      <c r="I175">
        <f t="shared" si="27"/>
        <v>30</v>
      </c>
      <c r="J175">
        <f t="shared" si="23"/>
        <v>0</v>
      </c>
      <c r="K175">
        <f t="shared" si="24"/>
        <v>0</v>
      </c>
      <c r="L175">
        <f t="shared" si="25"/>
        <v>0</v>
      </c>
      <c r="M175" t="str">
        <f t="shared" si="28"/>
        <v>252021</v>
      </c>
      <c r="N175" t="str">
        <f t="shared" si="29"/>
        <v>25-6-2021</v>
      </c>
    </row>
    <row r="176" spans="1:14" x14ac:dyDescent="0.2">
      <c r="A176" s="1">
        <v>44371</v>
      </c>
      <c r="B176">
        <f>IFERROR(INDEX('planning dogs-n-tiger'!B$1:B$30,MATCH($H176,'planning dogs-n-tiger'!$G$1:$G$42,0)),0)</f>
        <v>0</v>
      </c>
      <c r="C176">
        <f>IFERROR(INDEX('planning dogs-n-tiger'!C$1:C$30,MATCH($H176,'planning dogs-n-tiger'!$G$1:$G$42,0)),0)</f>
        <v>0</v>
      </c>
      <c r="D176">
        <f>IFERROR(INDEX('planning dogs-n-tiger'!D$1:D$30,MATCH($H176,'planning dogs-n-tiger'!$G$1:$G$42,0)),0)</f>
        <v>0</v>
      </c>
      <c r="E176">
        <f t="shared" si="20"/>
        <v>25</v>
      </c>
      <c r="F176">
        <f t="shared" si="21"/>
        <v>6</v>
      </c>
      <c r="G176">
        <f t="shared" si="22"/>
        <v>2021</v>
      </c>
      <c r="H176" t="str">
        <f t="shared" si="26"/>
        <v>62021</v>
      </c>
      <c r="I176">
        <f t="shared" si="27"/>
        <v>30</v>
      </c>
      <c r="J176">
        <f t="shared" si="23"/>
        <v>0</v>
      </c>
      <c r="K176">
        <f t="shared" si="24"/>
        <v>0</v>
      </c>
      <c r="L176">
        <f t="shared" si="25"/>
        <v>0</v>
      </c>
      <c r="M176" t="str">
        <f t="shared" si="28"/>
        <v>252021</v>
      </c>
      <c r="N176" t="str">
        <f t="shared" si="29"/>
        <v>25-6-2021</v>
      </c>
    </row>
    <row r="177" spans="1:14" x14ac:dyDescent="0.2">
      <c r="A177" s="1">
        <v>44372</v>
      </c>
      <c r="B177">
        <f>IFERROR(INDEX('planning dogs-n-tiger'!B$1:B$30,MATCH($H177,'planning dogs-n-tiger'!$G$1:$G$42,0)),0)</f>
        <v>0</v>
      </c>
      <c r="C177">
        <f>IFERROR(INDEX('planning dogs-n-tiger'!C$1:C$30,MATCH($H177,'planning dogs-n-tiger'!$G$1:$G$42,0)),0)</f>
        <v>0</v>
      </c>
      <c r="D177">
        <f>IFERROR(INDEX('planning dogs-n-tiger'!D$1:D$30,MATCH($H177,'planning dogs-n-tiger'!$G$1:$G$42,0)),0)</f>
        <v>0</v>
      </c>
      <c r="E177">
        <f t="shared" si="20"/>
        <v>25</v>
      </c>
      <c r="F177">
        <f t="shared" si="21"/>
        <v>6</v>
      </c>
      <c r="G177">
        <f t="shared" si="22"/>
        <v>2021</v>
      </c>
      <c r="H177" t="str">
        <f t="shared" si="26"/>
        <v>62021</v>
      </c>
      <c r="I177">
        <f t="shared" si="27"/>
        <v>30</v>
      </c>
      <c r="J177">
        <f t="shared" si="23"/>
        <v>0</v>
      </c>
      <c r="K177">
        <f t="shared" si="24"/>
        <v>0</v>
      </c>
      <c r="L177">
        <f t="shared" si="25"/>
        <v>0</v>
      </c>
      <c r="M177" t="str">
        <f t="shared" si="28"/>
        <v>252021</v>
      </c>
      <c r="N177" t="str">
        <f t="shared" si="29"/>
        <v>25-6-2021</v>
      </c>
    </row>
    <row r="178" spans="1:14" x14ac:dyDescent="0.2">
      <c r="A178" s="1">
        <v>44373</v>
      </c>
      <c r="B178">
        <f>IFERROR(INDEX('planning dogs-n-tiger'!B$1:B$30,MATCH($H178,'planning dogs-n-tiger'!$G$1:$G$42,0)),0)</f>
        <v>0</v>
      </c>
      <c r="C178">
        <f>IFERROR(INDEX('planning dogs-n-tiger'!C$1:C$30,MATCH($H178,'planning dogs-n-tiger'!$G$1:$G$42,0)),0)</f>
        <v>0</v>
      </c>
      <c r="D178">
        <f>IFERROR(INDEX('planning dogs-n-tiger'!D$1:D$30,MATCH($H178,'planning dogs-n-tiger'!$G$1:$G$42,0)),0)</f>
        <v>0</v>
      </c>
      <c r="E178">
        <f t="shared" si="20"/>
        <v>25</v>
      </c>
      <c r="F178">
        <f t="shared" si="21"/>
        <v>6</v>
      </c>
      <c r="G178">
        <f t="shared" si="22"/>
        <v>2021</v>
      </c>
      <c r="H178" t="str">
        <f t="shared" si="26"/>
        <v>62021</v>
      </c>
      <c r="I178">
        <f t="shared" si="27"/>
        <v>30</v>
      </c>
      <c r="J178">
        <f t="shared" si="23"/>
        <v>0</v>
      </c>
      <c r="K178">
        <f t="shared" si="24"/>
        <v>0</v>
      </c>
      <c r="L178">
        <f t="shared" si="25"/>
        <v>0</v>
      </c>
      <c r="M178" t="str">
        <f t="shared" si="28"/>
        <v>252021</v>
      </c>
      <c r="N178" t="str">
        <f t="shared" si="29"/>
        <v>25-6-2021</v>
      </c>
    </row>
    <row r="179" spans="1:14" x14ac:dyDescent="0.2">
      <c r="A179" s="1">
        <v>44374</v>
      </c>
      <c r="B179">
        <f>IFERROR(INDEX('planning dogs-n-tiger'!B$1:B$30,MATCH($H179,'planning dogs-n-tiger'!$G$1:$G$42,0)),0)</f>
        <v>0</v>
      </c>
      <c r="C179">
        <f>IFERROR(INDEX('planning dogs-n-tiger'!C$1:C$30,MATCH($H179,'planning dogs-n-tiger'!$G$1:$G$42,0)),0)</f>
        <v>0</v>
      </c>
      <c r="D179">
        <f>IFERROR(INDEX('planning dogs-n-tiger'!D$1:D$30,MATCH($H179,'planning dogs-n-tiger'!$G$1:$G$42,0)),0)</f>
        <v>0</v>
      </c>
      <c r="E179">
        <f t="shared" si="20"/>
        <v>25</v>
      </c>
      <c r="F179">
        <f t="shared" si="21"/>
        <v>6</v>
      </c>
      <c r="G179">
        <f t="shared" si="22"/>
        <v>2021</v>
      </c>
      <c r="H179" t="str">
        <f t="shared" si="26"/>
        <v>62021</v>
      </c>
      <c r="I179">
        <f t="shared" si="27"/>
        <v>30</v>
      </c>
      <c r="J179">
        <f t="shared" si="23"/>
        <v>0</v>
      </c>
      <c r="K179">
        <f t="shared" si="24"/>
        <v>0</v>
      </c>
      <c r="L179">
        <f t="shared" si="25"/>
        <v>0</v>
      </c>
      <c r="M179" t="str">
        <f t="shared" si="28"/>
        <v>252021</v>
      </c>
      <c r="N179" t="str">
        <f t="shared" si="29"/>
        <v>25-6-2021</v>
      </c>
    </row>
    <row r="180" spans="1:14" x14ac:dyDescent="0.2">
      <c r="A180" s="1">
        <v>44375</v>
      </c>
      <c r="B180">
        <f>IFERROR(INDEX('planning dogs-n-tiger'!B$1:B$30,MATCH($H180,'planning dogs-n-tiger'!$G$1:$G$42,0)),0)</f>
        <v>0</v>
      </c>
      <c r="C180">
        <f>IFERROR(INDEX('planning dogs-n-tiger'!C$1:C$30,MATCH($H180,'planning dogs-n-tiger'!$G$1:$G$42,0)),0)</f>
        <v>0</v>
      </c>
      <c r="D180">
        <f>IFERROR(INDEX('planning dogs-n-tiger'!D$1:D$30,MATCH($H180,'planning dogs-n-tiger'!$G$1:$G$42,0)),0)</f>
        <v>0</v>
      </c>
      <c r="E180">
        <f t="shared" si="20"/>
        <v>26</v>
      </c>
      <c r="F180">
        <f t="shared" si="21"/>
        <v>6</v>
      </c>
      <c r="G180">
        <f t="shared" si="22"/>
        <v>2021</v>
      </c>
      <c r="H180" t="str">
        <f t="shared" si="26"/>
        <v>62021</v>
      </c>
      <c r="I180">
        <f t="shared" si="27"/>
        <v>30</v>
      </c>
      <c r="J180">
        <f t="shared" si="23"/>
        <v>0</v>
      </c>
      <c r="K180">
        <f t="shared" si="24"/>
        <v>0</v>
      </c>
      <c r="L180">
        <f t="shared" si="25"/>
        <v>0</v>
      </c>
      <c r="M180" t="str">
        <f t="shared" si="28"/>
        <v>262021</v>
      </c>
      <c r="N180" t="str">
        <f t="shared" si="29"/>
        <v>26-6-2021</v>
      </c>
    </row>
    <row r="181" spans="1:14" x14ac:dyDescent="0.2">
      <c r="A181" s="1">
        <v>44376</v>
      </c>
      <c r="B181">
        <f>IFERROR(INDEX('planning dogs-n-tiger'!B$1:B$30,MATCH($H181,'planning dogs-n-tiger'!$G$1:$G$42,0)),0)</f>
        <v>0</v>
      </c>
      <c r="C181">
        <f>IFERROR(INDEX('planning dogs-n-tiger'!C$1:C$30,MATCH($H181,'planning dogs-n-tiger'!$G$1:$G$42,0)),0)</f>
        <v>0</v>
      </c>
      <c r="D181">
        <f>IFERROR(INDEX('planning dogs-n-tiger'!D$1:D$30,MATCH($H181,'planning dogs-n-tiger'!$G$1:$G$42,0)),0)</f>
        <v>0</v>
      </c>
      <c r="E181">
        <f t="shared" si="20"/>
        <v>26</v>
      </c>
      <c r="F181">
        <f t="shared" si="21"/>
        <v>6</v>
      </c>
      <c r="G181">
        <f t="shared" si="22"/>
        <v>2021</v>
      </c>
      <c r="H181" t="str">
        <f t="shared" si="26"/>
        <v>62021</v>
      </c>
      <c r="I181">
        <f t="shared" si="27"/>
        <v>30</v>
      </c>
      <c r="J181">
        <f t="shared" si="23"/>
        <v>0</v>
      </c>
      <c r="K181">
        <f t="shared" si="24"/>
        <v>0</v>
      </c>
      <c r="L181">
        <f t="shared" si="25"/>
        <v>0</v>
      </c>
      <c r="M181" t="str">
        <f t="shared" si="28"/>
        <v>262021</v>
      </c>
      <c r="N181" t="str">
        <f t="shared" si="29"/>
        <v>26-6-2021</v>
      </c>
    </row>
    <row r="182" spans="1:14" x14ac:dyDescent="0.2">
      <c r="A182" s="1">
        <v>44377</v>
      </c>
      <c r="B182">
        <f>IFERROR(INDEX('planning dogs-n-tiger'!B$1:B$30,MATCH($H182,'planning dogs-n-tiger'!$G$1:$G$42,0)),0)</f>
        <v>0</v>
      </c>
      <c r="C182">
        <f>IFERROR(INDEX('planning dogs-n-tiger'!C$1:C$30,MATCH($H182,'planning dogs-n-tiger'!$G$1:$G$42,0)),0)</f>
        <v>0</v>
      </c>
      <c r="D182">
        <f>IFERROR(INDEX('planning dogs-n-tiger'!D$1:D$30,MATCH($H182,'planning dogs-n-tiger'!$G$1:$G$42,0)),0)</f>
        <v>0</v>
      </c>
      <c r="E182">
        <f t="shared" si="20"/>
        <v>26</v>
      </c>
      <c r="F182">
        <f t="shared" si="21"/>
        <v>6</v>
      </c>
      <c r="G182">
        <f t="shared" si="22"/>
        <v>2021</v>
      </c>
      <c r="H182" t="str">
        <f t="shared" si="26"/>
        <v>62021</v>
      </c>
      <c r="I182">
        <f t="shared" si="27"/>
        <v>30</v>
      </c>
      <c r="J182">
        <f t="shared" si="23"/>
        <v>0</v>
      </c>
      <c r="K182">
        <f t="shared" si="24"/>
        <v>0</v>
      </c>
      <c r="L182">
        <f t="shared" si="25"/>
        <v>0</v>
      </c>
      <c r="M182" t="str">
        <f t="shared" si="28"/>
        <v>262021</v>
      </c>
      <c r="N182" t="str">
        <f t="shared" si="29"/>
        <v>26-6-2021</v>
      </c>
    </row>
    <row r="183" spans="1:14" x14ac:dyDescent="0.2">
      <c r="A183" s="1">
        <v>44378</v>
      </c>
      <c r="B183">
        <f>IFERROR(INDEX('planning dogs-n-tiger'!B$1:B$30,MATCH($H183,'planning dogs-n-tiger'!$G$1:$G$42,0)),0)</f>
        <v>0</v>
      </c>
      <c r="C183">
        <f>IFERROR(INDEX('planning dogs-n-tiger'!C$1:C$30,MATCH($H183,'planning dogs-n-tiger'!$G$1:$G$42,0)),0)</f>
        <v>0</v>
      </c>
      <c r="D183">
        <f>IFERROR(INDEX('planning dogs-n-tiger'!D$1:D$30,MATCH($H183,'planning dogs-n-tiger'!$G$1:$G$42,0)),0)</f>
        <v>0</v>
      </c>
      <c r="E183">
        <f t="shared" si="20"/>
        <v>26</v>
      </c>
      <c r="F183">
        <f t="shared" si="21"/>
        <v>7</v>
      </c>
      <c r="G183">
        <f t="shared" si="22"/>
        <v>2021</v>
      </c>
      <c r="H183" t="str">
        <f t="shared" si="26"/>
        <v>72021</v>
      </c>
      <c r="I183">
        <f t="shared" si="27"/>
        <v>31</v>
      </c>
      <c r="J183">
        <f t="shared" si="23"/>
        <v>0</v>
      </c>
      <c r="K183">
        <f t="shared" si="24"/>
        <v>0</v>
      </c>
      <c r="L183">
        <f t="shared" si="25"/>
        <v>0</v>
      </c>
      <c r="M183" t="str">
        <f t="shared" si="28"/>
        <v>262021</v>
      </c>
      <c r="N183" t="str">
        <f t="shared" si="29"/>
        <v>26-7-2021</v>
      </c>
    </row>
    <row r="184" spans="1:14" x14ac:dyDescent="0.2">
      <c r="A184" s="1">
        <v>44379</v>
      </c>
      <c r="B184">
        <f>IFERROR(INDEX('planning dogs-n-tiger'!B$1:B$30,MATCH($H184,'planning dogs-n-tiger'!$G$1:$G$42,0)),0)</f>
        <v>0</v>
      </c>
      <c r="C184">
        <f>IFERROR(INDEX('planning dogs-n-tiger'!C$1:C$30,MATCH($H184,'planning dogs-n-tiger'!$G$1:$G$42,0)),0)</f>
        <v>0</v>
      </c>
      <c r="D184">
        <f>IFERROR(INDEX('planning dogs-n-tiger'!D$1:D$30,MATCH($H184,'planning dogs-n-tiger'!$G$1:$G$42,0)),0)</f>
        <v>0</v>
      </c>
      <c r="E184">
        <f t="shared" si="20"/>
        <v>26</v>
      </c>
      <c r="F184">
        <f t="shared" si="21"/>
        <v>7</v>
      </c>
      <c r="G184">
        <f t="shared" si="22"/>
        <v>2021</v>
      </c>
      <c r="H184" t="str">
        <f t="shared" si="26"/>
        <v>72021</v>
      </c>
      <c r="I184">
        <f t="shared" si="27"/>
        <v>31</v>
      </c>
      <c r="J184">
        <f t="shared" si="23"/>
        <v>0</v>
      </c>
      <c r="K184">
        <f t="shared" si="24"/>
        <v>0</v>
      </c>
      <c r="L184">
        <f t="shared" si="25"/>
        <v>0</v>
      </c>
      <c r="M184" t="str">
        <f t="shared" si="28"/>
        <v>262021</v>
      </c>
      <c r="N184" t="str">
        <f t="shared" si="29"/>
        <v>26-7-2021</v>
      </c>
    </row>
    <row r="185" spans="1:14" x14ac:dyDescent="0.2">
      <c r="A185" s="1">
        <v>44380</v>
      </c>
      <c r="B185">
        <f>IFERROR(INDEX('planning dogs-n-tiger'!B$1:B$30,MATCH($H185,'planning dogs-n-tiger'!$G$1:$G$42,0)),0)</f>
        <v>0</v>
      </c>
      <c r="C185">
        <f>IFERROR(INDEX('planning dogs-n-tiger'!C$1:C$30,MATCH($H185,'planning dogs-n-tiger'!$G$1:$G$42,0)),0)</f>
        <v>0</v>
      </c>
      <c r="D185">
        <f>IFERROR(INDEX('planning dogs-n-tiger'!D$1:D$30,MATCH($H185,'planning dogs-n-tiger'!$G$1:$G$42,0)),0)</f>
        <v>0</v>
      </c>
      <c r="E185">
        <f t="shared" si="20"/>
        <v>26</v>
      </c>
      <c r="F185">
        <f t="shared" si="21"/>
        <v>7</v>
      </c>
      <c r="G185">
        <f t="shared" si="22"/>
        <v>2021</v>
      </c>
      <c r="H185" t="str">
        <f t="shared" si="26"/>
        <v>72021</v>
      </c>
      <c r="I185">
        <f t="shared" si="27"/>
        <v>31</v>
      </c>
      <c r="J185">
        <f t="shared" si="23"/>
        <v>0</v>
      </c>
      <c r="K185">
        <f t="shared" si="24"/>
        <v>0</v>
      </c>
      <c r="L185">
        <f t="shared" si="25"/>
        <v>0</v>
      </c>
      <c r="M185" t="str">
        <f t="shared" si="28"/>
        <v>262021</v>
      </c>
      <c r="N185" t="str">
        <f t="shared" si="29"/>
        <v>26-7-2021</v>
      </c>
    </row>
    <row r="186" spans="1:14" x14ac:dyDescent="0.2">
      <c r="A186" s="1">
        <v>44381</v>
      </c>
      <c r="B186">
        <f>IFERROR(INDEX('planning dogs-n-tiger'!B$1:B$30,MATCH($H186,'planning dogs-n-tiger'!$G$1:$G$42,0)),0)</f>
        <v>0</v>
      </c>
      <c r="C186">
        <f>IFERROR(INDEX('planning dogs-n-tiger'!C$1:C$30,MATCH($H186,'planning dogs-n-tiger'!$G$1:$G$42,0)),0)</f>
        <v>0</v>
      </c>
      <c r="D186">
        <f>IFERROR(INDEX('planning dogs-n-tiger'!D$1:D$30,MATCH($H186,'planning dogs-n-tiger'!$G$1:$G$42,0)),0)</f>
        <v>0</v>
      </c>
      <c r="E186">
        <f t="shared" si="20"/>
        <v>26</v>
      </c>
      <c r="F186">
        <f t="shared" si="21"/>
        <v>7</v>
      </c>
      <c r="G186">
        <f t="shared" si="22"/>
        <v>2021</v>
      </c>
      <c r="H186" t="str">
        <f t="shared" si="26"/>
        <v>72021</v>
      </c>
      <c r="I186">
        <f t="shared" si="27"/>
        <v>31</v>
      </c>
      <c r="J186">
        <f t="shared" si="23"/>
        <v>0</v>
      </c>
      <c r="K186">
        <f t="shared" si="24"/>
        <v>0</v>
      </c>
      <c r="L186">
        <f t="shared" si="25"/>
        <v>0</v>
      </c>
      <c r="M186" t="str">
        <f t="shared" si="28"/>
        <v>262021</v>
      </c>
      <c r="N186" t="str">
        <f t="shared" si="29"/>
        <v>26-7-2021</v>
      </c>
    </row>
    <row r="187" spans="1:14" x14ac:dyDescent="0.2">
      <c r="A187" s="1">
        <v>44382</v>
      </c>
      <c r="B187">
        <f>IFERROR(INDEX('planning dogs-n-tiger'!B$1:B$30,MATCH($H187,'planning dogs-n-tiger'!$G$1:$G$42,0)),0)</f>
        <v>0</v>
      </c>
      <c r="C187">
        <f>IFERROR(INDEX('planning dogs-n-tiger'!C$1:C$30,MATCH($H187,'planning dogs-n-tiger'!$G$1:$G$42,0)),0)</f>
        <v>0</v>
      </c>
      <c r="D187">
        <f>IFERROR(INDEX('planning dogs-n-tiger'!D$1:D$30,MATCH($H187,'planning dogs-n-tiger'!$G$1:$G$42,0)),0)</f>
        <v>0</v>
      </c>
      <c r="E187">
        <f t="shared" si="20"/>
        <v>27</v>
      </c>
      <c r="F187">
        <f t="shared" si="21"/>
        <v>7</v>
      </c>
      <c r="G187">
        <f t="shared" si="22"/>
        <v>2021</v>
      </c>
      <c r="H187" t="str">
        <f t="shared" si="26"/>
        <v>72021</v>
      </c>
      <c r="I187">
        <f t="shared" si="27"/>
        <v>31</v>
      </c>
      <c r="J187">
        <f t="shared" si="23"/>
        <v>0</v>
      </c>
      <c r="K187">
        <f t="shared" si="24"/>
        <v>0</v>
      </c>
      <c r="L187">
        <f t="shared" si="25"/>
        <v>0</v>
      </c>
      <c r="M187" t="str">
        <f t="shared" si="28"/>
        <v>272021</v>
      </c>
      <c r="N187" t="str">
        <f t="shared" si="29"/>
        <v>27-7-2021</v>
      </c>
    </row>
    <row r="188" spans="1:14" x14ac:dyDescent="0.2">
      <c r="A188" s="1">
        <v>44383</v>
      </c>
      <c r="B188">
        <f>IFERROR(INDEX('planning dogs-n-tiger'!B$1:B$30,MATCH($H188,'planning dogs-n-tiger'!$G$1:$G$42,0)),0)</f>
        <v>0</v>
      </c>
      <c r="C188">
        <f>IFERROR(INDEX('planning dogs-n-tiger'!C$1:C$30,MATCH($H188,'planning dogs-n-tiger'!$G$1:$G$42,0)),0)</f>
        <v>0</v>
      </c>
      <c r="D188">
        <f>IFERROR(INDEX('planning dogs-n-tiger'!D$1:D$30,MATCH($H188,'planning dogs-n-tiger'!$G$1:$G$42,0)),0)</f>
        <v>0</v>
      </c>
      <c r="E188">
        <f t="shared" si="20"/>
        <v>27</v>
      </c>
      <c r="F188">
        <f t="shared" si="21"/>
        <v>7</v>
      </c>
      <c r="G188">
        <f t="shared" si="22"/>
        <v>2021</v>
      </c>
      <c r="H188" t="str">
        <f t="shared" si="26"/>
        <v>72021</v>
      </c>
      <c r="I188">
        <f t="shared" si="27"/>
        <v>31</v>
      </c>
      <c r="J188">
        <f t="shared" si="23"/>
        <v>0</v>
      </c>
      <c r="K188">
        <f t="shared" si="24"/>
        <v>0</v>
      </c>
      <c r="L188">
        <f t="shared" si="25"/>
        <v>0</v>
      </c>
      <c r="M188" t="str">
        <f t="shared" si="28"/>
        <v>272021</v>
      </c>
      <c r="N188" t="str">
        <f t="shared" si="29"/>
        <v>27-7-2021</v>
      </c>
    </row>
    <row r="189" spans="1:14" x14ac:dyDescent="0.2">
      <c r="A189" s="1">
        <v>44384</v>
      </c>
      <c r="B189">
        <f>IFERROR(INDEX('planning dogs-n-tiger'!B$1:B$30,MATCH($H189,'planning dogs-n-tiger'!$G$1:$G$42,0)),0)</f>
        <v>0</v>
      </c>
      <c r="C189">
        <f>IFERROR(INDEX('planning dogs-n-tiger'!C$1:C$30,MATCH($H189,'planning dogs-n-tiger'!$G$1:$G$42,0)),0)</f>
        <v>0</v>
      </c>
      <c r="D189">
        <f>IFERROR(INDEX('planning dogs-n-tiger'!D$1:D$30,MATCH($H189,'planning dogs-n-tiger'!$G$1:$G$42,0)),0)</f>
        <v>0</v>
      </c>
      <c r="E189">
        <f t="shared" si="20"/>
        <v>27</v>
      </c>
      <c r="F189">
        <f t="shared" si="21"/>
        <v>7</v>
      </c>
      <c r="G189">
        <f t="shared" si="22"/>
        <v>2021</v>
      </c>
      <c r="H189" t="str">
        <f t="shared" si="26"/>
        <v>72021</v>
      </c>
      <c r="I189">
        <f t="shared" si="27"/>
        <v>31</v>
      </c>
      <c r="J189">
        <f t="shared" si="23"/>
        <v>0</v>
      </c>
      <c r="K189">
        <f t="shared" si="24"/>
        <v>0</v>
      </c>
      <c r="L189">
        <f t="shared" si="25"/>
        <v>0</v>
      </c>
      <c r="M189" t="str">
        <f t="shared" si="28"/>
        <v>272021</v>
      </c>
      <c r="N189" t="str">
        <f t="shared" si="29"/>
        <v>27-7-2021</v>
      </c>
    </row>
    <row r="190" spans="1:14" x14ac:dyDescent="0.2">
      <c r="A190" s="1">
        <v>44385</v>
      </c>
      <c r="B190">
        <f>IFERROR(INDEX('planning dogs-n-tiger'!B$1:B$30,MATCH($H190,'planning dogs-n-tiger'!$G$1:$G$42,0)),0)</f>
        <v>0</v>
      </c>
      <c r="C190">
        <f>IFERROR(INDEX('planning dogs-n-tiger'!C$1:C$30,MATCH($H190,'planning dogs-n-tiger'!$G$1:$G$42,0)),0)</f>
        <v>0</v>
      </c>
      <c r="D190">
        <f>IFERROR(INDEX('planning dogs-n-tiger'!D$1:D$30,MATCH($H190,'planning dogs-n-tiger'!$G$1:$G$42,0)),0)</f>
        <v>0</v>
      </c>
      <c r="E190">
        <f t="shared" si="20"/>
        <v>27</v>
      </c>
      <c r="F190">
        <f t="shared" si="21"/>
        <v>7</v>
      </c>
      <c r="G190">
        <f t="shared" si="22"/>
        <v>2021</v>
      </c>
      <c r="H190" t="str">
        <f t="shared" si="26"/>
        <v>72021</v>
      </c>
      <c r="I190">
        <f t="shared" si="27"/>
        <v>31</v>
      </c>
      <c r="J190">
        <f t="shared" si="23"/>
        <v>0</v>
      </c>
      <c r="K190">
        <f t="shared" si="24"/>
        <v>0</v>
      </c>
      <c r="L190">
        <f t="shared" si="25"/>
        <v>0</v>
      </c>
      <c r="M190" t="str">
        <f t="shared" si="28"/>
        <v>272021</v>
      </c>
      <c r="N190" t="str">
        <f t="shared" si="29"/>
        <v>27-7-2021</v>
      </c>
    </row>
    <row r="191" spans="1:14" x14ac:dyDescent="0.2">
      <c r="A191" s="1">
        <v>44386</v>
      </c>
      <c r="B191">
        <f>IFERROR(INDEX('planning dogs-n-tiger'!B$1:B$30,MATCH($H191,'planning dogs-n-tiger'!$G$1:$G$42,0)),0)</f>
        <v>0</v>
      </c>
      <c r="C191">
        <f>IFERROR(INDEX('planning dogs-n-tiger'!C$1:C$30,MATCH($H191,'planning dogs-n-tiger'!$G$1:$G$42,0)),0)</f>
        <v>0</v>
      </c>
      <c r="D191">
        <f>IFERROR(INDEX('planning dogs-n-tiger'!D$1:D$30,MATCH($H191,'planning dogs-n-tiger'!$G$1:$G$42,0)),0)</f>
        <v>0</v>
      </c>
      <c r="E191">
        <f t="shared" si="20"/>
        <v>27</v>
      </c>
      <c r="F191">
        <f t="shared" si="21"/>
        <v>7</v>
      </c>
      <c r="G191">
        <f t="shared" si="22"/>
        <v>2021</v>
      </c>
      <c r="H191" t="str">
        <f t="shared" si="26"/>
        <v>72021</v>
      </c>
      <c r="I191">
        <f t="shared" si="27"/>
        <v>31</v>
      </c>
      <c r="J191">
        <f t="shared" si="23"/>
        <v>0</v>
      </c>
      <c r="K191">
        <f t="shared" si="24"/>
        <v>0</v>
      </c>
      <c r="L191">
        <f t="shared" si="25"/>
        <v>0</v>
      </c>
      <c r="M191" t="str">
        <f t="shared" si="28"/>
        <v>272021</v>
      </c>
      <c r="N191" t="str">
        <f t="shared" si="29"/>
        <v>27-7-2021</v>
      </c>
    </row>
    <row r="192" spans="1:14" x14ac:dyDescent="0.2">
      <c r="A192" s="1">
        <v>44387</v>
      </c>
      <c r="B192">
        <f>IFERROR(INDEX('planning dogs-n-tiger'!B$1:B$30,MATCH($H192,'planning dogs-n-tiger'!$G$1:$G$42,0)),0)</f>
        <v>0</v>
      </c>
      <c r="C192">
        <f>IFERROR(INDEX('planning dogs-n-tiger'!C$1:C$30,MATCH($H192,'planning dogs-n-tiger'!$G$1:$G$42,0)),0)</f>
        <v>0</v>
      </c>
      <c r="D192">
        <f>IFERROR(INDEX('planning dogs-n-tiger'!D$1:D$30,MATCH($H192,'planning dogs-n-tiger'!$G$1:$G$42,0)),0)</f>
        <v>0</v>
      </c>
      <c r="E192">
        <f t="shared" si="20"/>
        <v>27</v>
      </c>
      <c r="F192">
        <f t="shared" si="21"/>
        <v>7</v>
      </c>
      <c r="G192">
        <f t="shared" si="22"/>
        <v>2021</v>
      </c>
      <c r="H192" t="str">
        <f t="shared" si="26"/>
        <v>72021</v>
      </c>
      <c r="I192">
        <f t="shared" si="27"/>
        <v>31</v>
      </c>
      <c r="J192">
        <f t="shared" si="23"/>
        <v>0</v>
      </c>
      <c r="K192">
        <f t="shared" si="24"/>
        <v>0</v>
      </c>
      <c r="L192">
        <f t="shared" si="25"/>
        <v>0</v>
      </c>
      <c r="M192" t="str">
        <f t="shared" si="28"/>
        <v>272021</v>
      </c>
      <c r="N192" t="str">
        <f t="shared" si="29"/>
        <v>27-7-2021</v>
      </c>
    </row>
    <row r="193" spans="1:14" x14ac:dyDescent="0.2">
      <c r="A193" s="1">
        <v>44388</v>
      </c>
      <c r="B193">
        <f>IFERROR(INDEX('planning dogs-n-tiger'!B$1:B$30,MATCH($H193,'planning dogs-n-tiger'!$G$1:$G$42,0)),0)</f>
        <v>0</v>
      </c>
      <c r="C193">
        <f>IFERROR(INDEX('planning dogs-n-tiger'!C$1:C$30,MATCH($H193,'planning dogs-n-tiger'!$G$1:$G$42,0)),0)</f>
        <v>0</v>
      </c>
      <c r="D193">
        <f>IFERROR(INDEX('planning dogs-n-tiger'!D$1:D$30,MATCH($H193,'planning dogs-n-tiger'!$G$1:$G$42,0)),0)</f>
        <v>0</v>
      </c>
      <c r="E193">
        <f t="shared" si="20"/>
        <v>27</v>
      </c>
      <c r="F193">
        <f t="shared" si="21"/>
        <v>7</v>
      </c>
      <c r="G193">
        <f t="shared" si="22"/>
        <v>2021</v>
      </c>
      <c r="H193" t="str">
        <f t="shared" si="26"/>
        <v>72021</v>
      </c>
      <c r="I193">
        <f t="shared" si="27"/>
        <v>31</v>
      </c>
      <c r="J193">
        <f t="shared" si="23"/>
        <v>0</v>
      </c>
      <c r="K193">
        <f t="shared" si="24"/>
        <v>0</v>
      </c>
      <c r="L193">
        <f t="shared" si="25"/>
        <v>0</v>
      </c>
      <c r="M193" t="str">
        <f t="shared" si="28"/>
        <v>272021</v>
      </c>
      <c r="N193" t="str">
        <f t="shared" si="29"/>
        <v>27-7-2021</v>
      </c>
    </row>
    <row r="194" spans="1:14" x14ac:dyDescent="0.2">
      <c r="A194" s="1">
        <v>44389</v>
      </c>
      <c r="B194">
        <f>IFERROR(INDEX('planning dogs-n-tiger'!B$1:B$30,MATCH($H194,'planning dogs-n-tiger'!$G$1:$G$42,0)),0)</f>
        <v>0</v>
      </c>
      <c r="C194">
        <f>IFERROR(INDEX('planning dogs-n-tiger'!C$1:C$30,MATCH($H194,'planning dogs-n-tiger'!$G$1:$G$42,0)),0)</f>
        <v>0</v>
      </c>
      <c r="D194">
        <f>IFERROR(INDEX('planning dogs-n-tiger'!D$1:D$30,MATCH($H194,'planning dogs-n-tiger'!$G$1:$G$42,0)),0)</f>
        <v>0</v>
      </c>
      <c r="E194">
        <f t="shared" ref="E194:E257" si="30">_xlfn.ISOWEEKNUM(A194)</f>
        <v>28</v>
      </c>
      <c r="F194">
        <f t="shared" ref="F194:F257" si="31">MONTH(A194)</f>
        <v>7</v>
      </c>
      <c r="G194">
        <f t="shared" ref="G194:G257" si="32">YEAR(A194)</f>
        <v>2021</v>
      </c>
      <c r="H194" t="str">
        <f t="shared" si="26"/>
        <v>72021</v>
      </c>
      <c r="I194">
        <f t="shared" si="27"/>
        <v>31</v>
      </c>
      <c r="J194">
        <f t="shared" ref="J194:J257" si="33">B194/$I194</f>
        <v>0</v>
      </c>
      <c r="K194">
        <f t="shared" ref="K194:K257" si="34">C194/$I194</f>
        <v>0</v>
      </c>
      <c r="L194">
        <f t="shared" ref="L194:L257" si="35">D194/$I194</f>
        <v>0</v>
      </c>
      <c r="M194" t="str">
        <f t="shared" si="28"/>
        <v>282021</v>
      </c>
      <c r="N194" t="str">
        <f t="shared" si="29"/>
        <v>28-7-2021</v>
      </c>
    </row>
    <row r="195" spans="1:14" x14ac:dyDescent="0.2">
      <c r="A195" s="1">
        <v>44390</v>
      </c>
      <c r="B195">
        <f>IFERROR(INDEX('planning dogs-n-tiger'!B$1:B$30,MATCH($H195,'planning dogs-n-tiger'!$G$1:$G$42,0)),0)</f>
        <v>0</v>
      </c>
      <c r="C195">
        <f>IFERROR(INDEX('planning dogs-n-tiger'!C$1:C$30,MATCH($H195,'planning dogs-n-tiger'!$G$1:$G$42,0)),0)</f>
        <v>0</v>
      </c>
      <c r="D195">
        <f>IFERROR(INDEX('planning dogs-n-tiger'!D$1:D$30,MATCH($H195,'planning dogs-n-tiger'!$G$1:$G$42,0)),0)</f>
        <v>0</v>
      </c>
      <c r="E195">
        <f t="shared" si="30"/>
        <v>28</v>
      </c>
      <c r="F195">
        <f t="shared" si="31"/>
        <v>7</v>
      </c>
      <c r="G195">
        <f t="shared" si="32"/>
        <v>2021</v>
      </c>
      <c r="H195" t="str">
        <f t="shared" ref="H195:H258" si="36">F195&amp;G195</f>
        <v>72021</v>
      </c>
      <c r="I195">
        <f t="shared" ref="I195:I258" si="37">DAY(EOMONTH(DATE(G195,F195,0),1))</f>
        <v>31</v>
      </c>
      <c r="J195">
        <f t="shared" si="33"/>
        <v>0</v>
      </c>
      <c r="K195">
        <f t="shared" si="34"/>
        <v>0</v>
      </c>
      <c r="L195">
        <f t="shared" si="35"/>
        <v>0</v>
      </c>
      <c r="M195" t="str">
        <f t="shared" ref="M195:M258" si="38">E195&amp;G195</f>
        <v>282021</v>
      </c>
      <c r="N195" t="str">
        <f t="shared" ref="N195:N258" si="39">E195&amp;"-"&amp;F195&amp;"-"&amp;G195</f>
        <v>28-7-2021</v>
      </c>
    </row>
    <row r="196" spans="1:14" x14ac:dyDescent="0.2">
      <c r="A196" s="1">
        <v>44391</v>
      </c>
      <c r="B196">
        <f>IFERROR(INDEX('planning dogs-n-tiger'!B$1:B$30,MATCH($H196,'planning dogs-n-tiger'!$G$1:$G$42,0)),0)</f>
        <v>0</v>
      </c>
      <c r="C196">
        <f>IFERROR(INDEX('planning dogs-n-tiger'!C$1:C$30,MATCH($H196,'planning dogs-n-tiger'!$G$1:$G$42,0)),0)</f>
        <v>0</v>
      </c>
      <c r="D196">
        <f>IFERROR(INDEX('planning dogs-n-tiger'!D$1:D$30,MATCH($H196,'planning dogs-n-tiger'!$G$1:$G$42,0)),0)</f>
        <v>0</v>
      </c>
      <c r="E196">
        <f t="shared" si="30"/>
        <v>28</v>
      </c>
      <c r="F196">
        <f t="shared" si="31"/>
        <v>7</v>
      </c>
      <c r="G196">
        <f t="shared" si="32"/>
        <v>2021</v>
      </c>
      <c r="H196" t="str">
        <f t="shared" si="36"/>
        <v>72021</v>
      </c>
      <c r="I196">
        <f t="shared" si="37"/>
        <v>31</v>
      </c>
      <c r="J196">
        <f t="shared" si="33"/>
        <v>0</v>
      </c>
      <c r="K196">
        <f t="shared" si="34"/>
        <v>0</v>
      </c>
      <c r="L196">
        <f t="shared" si="35"/>
        <v>0</v>
      </c>
      <c r="M196" t="str">
        <f t="shared" si="38"/>
        <v>282021</v>
      </c>
      <c r="N196" t="str">
        <f t="shared" si="39"/>
        <v>28-7-2021</v>
      </c>
    </row>
    <row r="197" spans="1:14" x14ac:dyDescent="0.2">
      <c r="A197" s="1">
        <v>44392</v>
      </c>
      <c r="B197">
        <f>IFERROR(INDEX('planning dogs-n-tiger'!B$1:B$30,MATCH($H197,'planning dogs-n-tiger'!$G$1:$G$42,0)),0)</f>
        <v>0</v>
      </c>
      <c r="C197">
        <f>IFERROR(INDEX('planning dogs-n-tiger'!C$1:C$30,MATCH($H197,'planning dogs-n-tiger'!$G$1:$G$42,0)),0)</f>
        <v>0</v>
      </c>
      <c r="D197">
        <f>IFERROR(INDEX('planning dogs-n-tiger'!D$1:D$30,MATCH($H197,'planning dogs-n-tiger'!$G$1:$G$42,0)),0)</f>
        <v>0</v>
      </c>
      <c r="E197">
        <f t="shared" si="30"/>
        <v>28</v>
      </c>
      <c r="F197">
        <f t="shared" si="31"/>
        <v>7</v>
      </c>
      <c r="G197">
        <f t="shared" si="32"/>
        <v>2021</v>
      </c>
      <c r="H197" t="str">
        <f t="shared" si="36"/>
        <v>72021</v>
      </c>
      <c r="I197">
        <f t="shared" si="37"/>
        <v>31</v>
      </c>
      <c r="J197">
        <f t="shared" si="33"/>
        <v>0</v>
      </c>
      <c r="K197">
        <f t="shared" si="34"/>
        <v>0</v>
      </c>
      <c r="L197">
        <f t="shared" si="35"/>
        <v>0</v>
      </c>
      <c r="M197" t="str">
        <f t="shared" si="38"/>
        <v>282021</v>
      </c>
      <c r="N197" t="str">
        <f t="shared" si="39"/>
        <v>28-7-2021</v>
      </c>
    </row>
    <row r="198" spans="1:14" x14ac:dyDescent="0.2">
      <c r="A198" s="1">
        <v>44393</v>
      </c>
      <c r="B198">
        <f>IFERROR(INDEX('planning dogs-n-tiger'!B$1:B$30,MATCH($H198,'planning dogs-n-tiger'!$G$1:$G$42,0)),0)</f>
        <v>0</v>
      </c>
      <c r="C198">
        <f>IFERROR(INDEX('planning dogs-n-tiger'!C$1:C$30,MATCH($H198,'planning dogs-n-tiger'!$G$1:$G$42,0)),0)</f>
        <v>0</v>
      </c>
      <c r="D198">
        <f>IFERROR(INDEX('planning dogs-n-tiger'!D$1:D$30,MATCH($H198,'planning dogs-n-tiger'!$G$1:$G$42,0)),0)</f>
        <v>0</v>
      </c>
      <c r="E198">
        <f t="shared" si="30"/>
        <v>28</v>
      </c>
      <c r="F198">
        <f t="shared" si="31"/>
        <v>7</v>
      </c>
      <c r="G198">
        <f t="shared" si="32"/>
        <v>2021</v>
      </c>
      <c r="H198" t="str">
        <f t="shared" si="36"/>
        <v>72021</v>
      </c>
      <c r="I198">
        <f t="shared" si="37"/>
        <v>31</v>
      </c>
      <c r="J198">
        <f t="shared" si="33"/>
        <v>0</v>
      </c>
      <c r="K198">
        <f t="shared" si="34"/>
        <v>0</v>
      </c>
      <c r="L198">
        <f t="shared" si="35"/>
        <v>0</v>
      </c>
      <c r="M198" t="str">
        <f t="shared" si="38"/>
        <v>282021</v>
      </c>
      <c r="N198" t="str">
        <f t="shared" si="39"/>
        <v>28-7-2021</v>
      </c>
    </row>
    <row r="199" spans="1:14" x14ac:dyDescent="0.2">
      <c r="A199" s="1">
        <v>44394</v>
      </c>
      <c r="B199">
        <f>IFERROR(INDEX('planning dogs-n-tiger'!B$1:B$30,MATCH($H199,'planning dogs-n-tiger'!$G$1:$G$42,0)),0)</f>
        <v>0</v>
      </c>
      <c r="C199">
        <f>IFERROR(INDEX('planning dogs-n-tiger'!C$1:C$30,MATCH($H199,'planning dogs-n-tiger'!$G$1:$G$42,0)),0)</f>
        <v>0</v>
      </c>
      <c r="D199">
        <f>IFERROR(INDEX('planning dogs-n-tiger'!D$1:D$30,MATCH($H199,'planning dogs-n-tiger'!$G$1:$G$42,0)),0)</f>
        <v>0</v>
      </c>
      <c r="E199">
        <f t="shared" si="30"/>
        <v>28</v>
      </c>
      <c r="F199">
        <f t="shared" si="31"/>
        <v>7</v>
      </c>
      <c r="G199">
        <f t="shared" si="32"/>
        <v>2021</v>
      </c>
      <c r="H199" t="str">
        <f t="shared" si="36"/>
        <v>72021</v>
      </c>
      <c r="I199">
        <f t="shared" si="37"/>
        <v>31</v>
      </c>
      <c r="J199">
        <f t="shared" si="33"/>
        <v>0</v>
      </c>
      <c r="K199">
        <f t="shared" si="34"/>
        <v>0</v>
      </c>
      <c r="L199">
        <f t="shared" si="35"/>
        <v>0</v>
      </c>
      <c r="M199" t="str">
        <f t="shared" si="38"/>
        <v>282021</v>
      </c>
      <c r="N199" t="str">
        <f t="shared" si="39"/>
        <v>28-7-2021</v>
      </c>
    </row>
    <row r="200" spans="1:14" x14ac:dyDescent="0.2">
      <c r="A200" s="1">
        <v>44395</v>
      </c>
      <c r="B200">
        <f>IFERROR(INDEX('planning dogs-n-tiger'!B$1:B$30,MATCH($H200,'planning dogs-n-tiger'!$G$1:$G$42,0)),0)</f>
        <v>0</v>
      </c>
      <c r="C200">
        <f>IFERROR(INDEX('planning dogs-n-tiger'!C$1:C$30,MATCH($H200,'planning dogs-n-tiger'!$G$1:$G$42,0)),0)</f>
        <v>0</v>
      </c>
      <c r="D200">
        <f>IFERROR(INDEX('planning dogs-n-tiger'!D$1:D$30,MATCH($H200,'planning dogs-n-tiger'!$G$1:$G$42,0)),0)</f>
        <v>0</v>
      </c>
      <c r="E200">
        <f t="shared" si="30"/>
        <v>28</v>
      </c>
      <c r="F200">
        <f t="shared" si="31"/>
        <v>7</v>
      </c>
      <c r="G200">
        <f t="shared" si="32"/>
        <v>2021</v>
      </c>
      <c r="H200" t="str">
        <f t="shared" si="36"/>
        <v>72021</v>
      </c>
      <c r="I200">
        <f t="shared" si="37"/>
        <v>31</v>
      </c>
      <c r="J200">
        <f t="shared" si="33"/>
        <v>0</v>
      </c>
      <c r="K200">
        <f t="shared" si="34"/>
        <v>0</v>
      </c>
      <c r="L200">
        <f t="shared" si="35"/>
        <v>0</v>
      </c>
      <c r="M200" t="str">
        <f t="shared" si="38"/>
        <v>282021</v>
      </c>
      <c r="N200" t="str">
        <f t="shared" si="39"/>
        <v>28-7-2021</v>
      </c>
    </row>
    <row r="201" spans="1:14" x14ac:dyDescent="0.2">
      <c r="A201" s="1">
        <v>44396</v>
      </c>
      <c r="B201">
        <f>IFERROR(INDEX('planning dogs-n-tiger'!B$1:B$30,MATCH($H201,'planning dogs-n-tiger'!$G$1:$G$42,0)),0)</f>
        <v>0</v>
      </c>
      <c r="C201">
        <f>IFERROR(INDEX('planning dogs-n-tiger'!C$1:C$30,MATCH($H201,'planning dogs-n-tiger'!$G$1:$G$42,0)),0)</f>
        <v>0</v>
      </c>
      <c r="D201">
        <f>IFERROR(INDEX('planning dogs-n-tiger'!D$1:D$30,MATCH($H201,'planning dogs-n-tiger'!$G$1:$G$42,0)),0)</f>
        <v>0</v>
      </c>
      <c r="E201">
        <f t="shared" si="30"/>
        <v>29</v>
      </c>
      <c r="F201">
        <f t="shared" si="31"/>
        <v>7</v>
      </c>
      <c r="G201">
        <f t="shared" si="32"/>
        <v>2021</v>
      </c>
      <c r="H201" t="str">
        <f t="shared" si="36"/>
        <v>72021</v>
      </c>
      <c r="I201">
        <f t="shared" si="37"/>
        <v>31</v>
      </c>
      <c r="J201">
        <f t="shared" si="33"/>
        <v>0</v>
      </c>
      <c r="K201">
        <f t="shared" si="34"/>
        <v>0</v>
      </c>
      <c r="L201">
        <f t="shared" si="35"/>
        <v>0</v>
      </c>
      <c r="M201" t="str">
        <f t="shared" si="38"/>
        <v>292021</v>
      </c>
      <c r="N201" t="str">
        <f t="shared" si="39"/>
        <v>29-7-2021</v>
      </c>
    </row>
    <row r="202" spans="1:14" x14ac:dyDescent="0.2">
      <c r="A202" s="1">
        <v>44397</v>
      </c>
      <c r="B202">
        <f>IFERROR(INDEX('planning dogs-n-tiger'!B$1:B$30,MATCH($H202,'planning dogs-n-tiger'!$G$1:$G$42,0)),0)</f>
        <v>0</v>
      </c>
      <c r="C202">
        <f>IFERROR(INDEX('planning dogs-n-tiger'!C$1:C$30,MATCH($H202,'planning dogs-n-tiger'!$G$1:$G$42,0)),0)</f>
        <v>0</v>
      </c>
      <c r="D202">
        <f>IFERROR(INDEX('planning dogs-n-tiger'!D$1:D$30,MATCH($H202,'planning dogs-n-tiger'!$G$1:$G$42,0)),0)</f>
        <v>0</v>
      </c>
      <c r="E202">
        <f t="shared" si="30"/>
        <v>29</v>
      </c>
      <c r="F202">
        <f t="shared" si="31"/>
        <v>7</v>
      </c>
      <c r="G202">
        <f t="shared" si="32"/>
        <v>2021</v>
      </c>
      <c r="H202" t="str">
        <f t="shared" si="36"/>
        <v>72021</v>
      </c>
      <c r="I202">
        <f t="shared" si="37"/>
        <v>31</v>
      </c>
      <c r="J202">
        <f t="shared" si="33"/>
        <v>0</v>
      </c>
      <c r="K202">
        <f t="shared" si="34"/>
        <v>0</v>
      </c>
      <c r="L202">
        <f t="shared" si="35"/>
        <v>0</v>
      </c>
      <c r="M202" t="str">
        <f t="shared" si="38"/>
        <v>292021</v>
      </c>
      <c r="N202" t="str">
        <f t="shared" si="39"/>
        <v>29-7-2021</v>
      </c>
    </row>
    <row r="203" spans="1:14" x14ac:dyDescent="0.2">
      <c r="A203" s="1">
        <v>44398</v>
      </c>
      <c r="B203">
        <f>IFERROR(INDEX('planning dogs-n-tiger'!B$1:B$30,MATCH($H203,'planning dogs-n-tiger'!$G$1:$G$42,0)),0)</f>
        <v>0</v>
      </c>
      <c r="C203">
        <f>IFERROR(INDEX('planning dogs-n-tiger'!C$1:C$30,MATCH($H203,'planning dogs-n-tiger'!$G$1:$G$42,0)),0)</f>
        <v>0</v>
      </c>
      <c r="D203">
        <f>IFERROR(INDEX('planning dogs-n-tiger'!D$1:D$30,MATCH($H203,'planning dogs-n-tiger'!$G$1:$G$42,0)),0)</f>
        <v>0</v>
      </c>
      <c r="E203">
        <f t="shared" si="30"/>
        <v>29</v>
      </c>
      <c r="F203">
        <f t="shared" si="31"/>
        <v>7</v>
      </c>
      <c r="G203">
        <f t="shared" si="32"/>
        <v>2021</v>
      </c>
      <c r="H203" t="str">
        <f t="shared" si="36"/>
        <v>72021</v>
      </c>
      <c r="I203">
        <f t="shared" si="37"/>
        <v>31</v>
      </c>
      <c r="J203">
        <f t="shared" si="33"/>
        <v>0</v>
      </c>
      <c r="K203">
        <f t="shared" si="34"/>
        <v>0</v>
      </c>
      <c r="L203">
        <f t="shared" si="35"/>
        <v>0</v>
      </c>
      <c r="M203" t="str">
        <f t="shared" si="38"/>
        <v>292021</v>
      </c>
      <c r="N203" t="str">
        <f t="shared" si="39"/>
        <v>29-7-2021</v>
      </c>
    </row>
    <row r="204" spans="1:14" x14ac:dyDescent="0.2">
      <c r="A204" s="1">
        <v>44399</v>
      </c>
      <c r="B204">
        <f>IFERROR(INDEX('planning dogs-n-tiger'!B$1:B$30,MATCH($H204,'planning dogs-n-tiger'!$G$1:$G$42,0)),0)</f>
        <v>0</v>
      </c>
      <c r="C204">
        <f>IFERROR(INDEX('planning dogs-n-tiger'!C$1:C$30,MATCH($H204,'planning dogs-n-tiger'!$G$1:$G$42,0)),0)</f>
        <v>0</v>
      </c>
      <c r="D204">
        <f>IFERROR(INDEX('planning dogs-n-tiger'!D$1:D$30,MATCH($H204,'planning dogs-n-tiger'!$G$1:$G$42,0)),0)</f>
        <v>0</v>
      </c>
      <c r="E204">
        <f t="shared" si="30"/>
        <v>29</v>
      </c>
      <c r="F204">
        <f t="shared" si="31"/>
        <v>7</v>
      </c>
      <c r="G204">
        <f t="shared" si="32"/>
        <v>2021</v>
      </c>
      <c r="H204" t="str">
        <f t="shared" si="36"/>
        <v>72021</v>
      </c>
      <c r="I204">
        <f t="shared" si="37"/>
        <v>31</v>
      </c>
      <c r="J204">
        <f t="shared" si="33"/>
        <v>0</v>
      </c>
      <c r="K204">
        <f t="shared" si="34"/>
        <v>0</v>
      </c>
      <c r="L204">
        <f t="shared" si="35"/>
        <v>0</v>
      </c>
      <c r="M204" t="str">
        <f t="shared" si="38"/>
        <v>292021</v>
      </c>
      <c r="N204" t="str">
        <f t="shared" si="39"/>
        <v>29-7-2021</v>
      </c>
    </row>
    <row r="205" spans="1:14" x14ac:dyDescent="0.2">
      <c r="A205" s="1">
        <v>44400</v>
      </c>
      <c r="B205">
        <f>IFERROR(INDEX('planning dogs-n-tiger'!B$1:B$30,MATCH($H205,'planning dogs-n-tiger'!$G$1:$G$42,0)),0)</f>
        <v>0</v>
      </c>
      <c r="C205">
        <f>IFERROR(INDEX('planning dogs-n-tiger'!C$1:C$30,MATCH($H205,'planning dogs-n-tiger'!$G$1:$G$42,0)),0)</f>
        <v>0</v>
      </c>
      <c r="D205">
        <f>IFERROR(INDEX('planning dogs-n-tiger'!D$1:D$30,MATCH($H205,'planning dogs-n-tiger'!$G$1:$G$42,0)),0)</f>
        <v>0</v>
      </c>
      <c r="E205">
        <f t="shared" si="30"/>
        <v>29</v>
      </c>
      <c r="F205">
        <f t="shared" si="31"/>
        <v>7</v>
      </c>
      <c r="G205">
        <f t="shared" si="32"/>
        <v>2021</v>
      </c>
      <c r="H205" t="str">
        <f t="shared" si="36"/>
        <v>72021</v>
      </c>
      <c r="I205">
        <f t="shared" si="37"/>
        <v>31</v>
      </c>
      <c r="J205">
        <f t="shared" si="33"/>
        <v>0</v>
      </c>
      <c r="K205">
        <f t="shared" si="34"/>
        <v>0</v>
      </c>
      <c r="L205">
        <f t="shared" si="35"/>
        <v>0</v>
      </c>
      <c r="M205" t="str">
        <f t="shared" si="38"/>
        <v>292021</v>
      </c>
      <c r="N205" t="str">
        <f t="shared" si="39"/>
        <v>29-7-2021</v>
      </c>
    </row>
    <row r="206" spans="1:14" x14ac:dyDescent="0.2">
      <c r="A206" s="1">
        <v>44401</v>
      </c>
      <c r="B206">
        <f>IFERROR(INDEX('planning dogs-n-tiger'!B$1:B$30,MATCH($H206,'planning dogs-n-tiger'!$G$1:$G$42,0)),0)</f>
        <v>0</v>
      </c>
      <c r="C206">
        <f>IFERROR(INDEX('planning dogs-n-tiger'!C$1:C$30,MATCH($H206,'planning dogs-n-tiger'!$G$1:$G$42,0)),0)</f>
        <v>0</v>
      </c>
      <c r="D206">
        <f>IFERROR(INDEX('planning dogs-n-tiger'!D$1:D$30,MATCH($H206,'planning dogs-n-tiger'!$G$1:$G$42,0)),0)</f>
        <v>0</v>
      </c>
      <c r="E206">
        <f t="shared" si="30"/>
        <v>29</v>
      </c>
      <c r="F206">
        <f t="shared" si="31"/>
        <v>7</v>
      </c>
      <c r="G206">
        <f t="shared" si="32"/>
        <v>2021</v>
      </c>
      <c r="H206" t="str">
        <f t="shared" si="36"/>
        <v>72021</v>
      </c>
      <c r="I206">
        <f t="shared" si="37"/>
        <v>31</v>
      </c>
      <c r="J206">
        <f t="shared" si="33"/>
        <v>0</v>
      </c>
      <c r="K206">
        <f t="shared" si="34"/>
        <v>0</v>
      </c>
      <c r="L206">
        <f t="shared" si="35"/>
        <v>0</v>
      </c>
      <c r="M206" t="str">
        <f t="shared" si="38"/>
        <v>292021</v>
      </c>
      <c r="N206" t="str">
        <f t="shared" si="39"/>
        <v>29-7-2021</v>
      </c>
    </row>
    <row r="207" spans="1:14" x14ac:dyDescent="0.2">
      <c r="A207" s="1">
        <v>44402</v>
      </c>
      <c r="B207">
        <f>IFERROR(INDEX('planning dogs-n-tiger'!B$1:B$30,MATCH($H207,'planning dogs-n-tiger'!$G$1:$G$42,0)),0)</f>
        <v>0</v>
      </c>
      <c r="C207">
        <f>IFERROR(INDEX('planning dogs-n-tiger'!C$1:C$30,MATCH($H207,'planning dogs-n-tiger'!$G$1:$G$42,0)),0)</f>
        <v>0</v>
      </c>
      <c r="D207">
        <f>IFERROR(INDEX('planning dogs-n-tiger'!D$1:D$30,MATCH($H207,'planning dogs-n-tiger'!$G$1:$G$42,0)),0)</f>
        <v>0</v>
      </c>
      <c r="E207">
        <f t="shared" si="30"/>
        <v>29</v>
      </c>
      <c r="F207">
        <f t="shared" si="31"/>
        <v>7</v>
      </c>
      <c r="G207">
        <f t="shared" si="32"/>
        <v>2021</v>
      </c>
      <c r="H207" t="str">
        <f t="shared" si="36"/>
        <v>72021</v>
      </c>
      <c r="I207">
        <f t="shared" si="37"/>
        <v>31</v>
      </c>
      <c r="J207">
        <f t="shared" si="33"/>
        <v>0</v>
      </c>
      <c r="K207">
        <f t="shared" si="34"/>
        <v>0</v>
      </c>
      <c r="L207">
        <f t="shared" si="35"/>
        <v>0</v>
      </c>
      <c r="M207" t="str">
        <f t="shared" si="38"/>
        <v>292021</v>
      </c>
      <c r="N207" t="str">
        <f t="shared" si="39"/>
        <v>29-7-2021</v>
      </c>
    </row>
    <row r="208" spans="1:14" x14ac:dyDescent="0.2">
      <c r="A208" s="1">
        <v>44403</v>
      </c>
      <c r="B208">
        <f>IFERROR(INDEX('planning dogs-n-tiger'!B$1:B$30,MATCH($H208,'planning dogs-n-tiger'!$G$1:$G$42,0)),0)</f>
        <v>0</v>
      </c>
      <c r="C208">
        <f>IFERROR(INDEX('planning dogs-n-tiger'!C$1:C$30,MATCH($H208,'planning dogs-n-tiger'!$G$1:$G$42,0)),0)</f>
        <v>0</v>
      </c>
      <c r="D208">
        <f>IFERROR(INDEX('planning dogs-n-tiger'!D$1:D$30,MATCH($H208,'planning dogs-n-tiger'!$G$1:$G$42,0)),0)</f>
        <v>0</v>
      </c>
      <c r="E208">
        <f t="shared" si="30"/>
        <v>30</v>
      </c>
      <c r="F208">
        <f t="shared" si="31"/>
        <v>7</v>
      </c>
      <c r="G208">
        <f t="shared" si="32"/>
        <v>2021</v>
      </c>
      <c r="H208" t="str">
        <f t="shared" si="36"/>
        <v>72021</v>
      </c>
      <c r="I208">
        <f t="shared" si="37"/>
        <v>31</v>
      </c>
      <c r="J208">
        <f t="shared" si="33"/>
        <v>0</v>
      </c>
      <c r="K208">
        <f t="shared" si="34"/>
        <v>0</v>
      </c>
      <c r="L208">
        <f t="shared" si="35"/>
        <v>0</v>
      </c>
      <c r="M208" t="str">
        <f t="shared" si="38"/>
        <v>302021</v>
      </c>
      <c r="N208" t="str">
        <f t="shared" si="39"/>
        <v>30-7-2021</v>
      </c>
    </row>
    <row r="209" spans="1:14" x14ac:dyDescent="0.2">
      <c r="A209" s="1">
        <v>44404</v>
      </c>
      <c r="B209">
        <f>IFERROR(INDEX('planning dogs-n-tiger'!B$1:B$30,MATCH($H209,'planning dogs-n-tiger'!$G$1:$G$42,0)),0)</f>
        <v>0</v>
      </c>
      <c r="C209">
        <f>IFERROR(INDEX('planning dogs-n-tiger'!C$1:C$30,MATCH($H209,'planning dogs-n-tiger'!$G$1:$G$42,0)),0)</f>
        <v>0</v>
      </c>
      <c r="D209">
        <f>IFERROR(INDEX('planning dogs-n-tiger'!D$1:D$30,MATCH($H209,'planning dogs-n-tiger'!$G$1:$G$42,0)),0)</f>
        <v>0</v>
      </c>
      <c r="E209">
        <f t="shared" si="30"/>
        <v>30</v>
      </c>
      <c r="F209">
        <f t="shared" si="31"/>
        <v>7</v>
      </c>
      <c r="G209">
        <f t="shared" si="32"/>
        <v>2021</v>
      </c>
      <c r="H209" t="str">
        <f t="shared" si="36"/>
        <v>72021</v>
      </c>
      <c r="I209">
        <f t="shared" si="37"/>
        <v>31</v>
      </c>
      <c r="J209">
        <f t="shared" si="33"/>
        <v>0</v>
      </c>
      <c r="K209">
        <f t="shared" si="34"/>
        <v>0</v>
      </c>
      <c r="L209">
        <f t="shared" si="35"/>
        <v>0</v>
      </c>
      <c r="M209" t="str">
        <f t="shared" si="38"/>
        <v>302021</v>
      </c>
      <c r="N209" t="str">
        <f t="shared" si="39"/>
        <v>30-7-2021</v>
      </c>
    </row>
    <row r="210" spans="1:14" x14ac:dyDescent="0.2">
      <c r="A210" s="1">
        <v>44405</v>
      </c>
      <c r="B210">
        <f>IFERROR(INDEX('planning dogs-n-tiger'!B$1:B$30,MATCH($H210,'planning dogs-n-tiger'!$G$1:$G$42,0)),0)</f>
        <v>0</v>
      </c>
      <c r="C210">
        <f>IFERROR(INDEX('planning dogs-n-tiger'!C$1:C$30,MATCH($H210,'planning dogs-n-tiger'!$G$1:$G$42,0)),0)</f>
        <v>0</v>
      </c>
      <c r="D210">
        <f>IFERROR(INDEX('planning dogs-n-tiger'!D$1:D$30,MATCH($H210,'planning dogs-n-tiger'!$G$1:$G$42,0)),0)</f>
        <v>0</v>
      </c>
      <c r="E210">
        <f t="shared" si="30"/>
        <v>30</v>
      </c>
      <c r="F210">
        <f t="shared" si="31"/>
        <v>7</v>
      </c>
      <c r="G210">
        <f t="shared" si="32"/>
        <v>2021</v>
      </c>
      <c r="H210" t="str">
        <f t="shared" si="36"/>
        <v>72021</v>
      </c>
      <c r="I210">
        <f t="shared" si="37"/>
        <v>31</v>
      </c>
      <c r="J210">
        <f t="shared" si="33"/>
        <v>0</v>
      </c>
      <c r="K210">
        <f t="shared" si="34"/>
        <v>0</v>
      </c>
      <c r="L210">
        <f t="shared" si="35"/>
        <v>0</v>
      </c>
      <c r="M210" t="str">
        <f t="shared" si="38"/>
        <v>302021</v>
      </c>
      <c r="N210" t="str">
        <f t="shared" si="39"/>
        <v>30-7-2021</v>
      </c>
    </row>
    <row r="211" spans="1:14" x14ac:dyDescent="0.2">
      <c r="A211" s="1">
        <v>44406</v>
      </c>
      <c r="B211">
        <f>IFERROR(INDEX('planning dogs-n-tiger'!B$1:B$30,MATCH($H211,'planning dogs-n-tiger'!$G$1:$G$42,0)),0)</f>
        <v>0</v>
      </c>
      <c r="C211">
        <f>IFERROR(INDEX('planning dogs-n-tiger'!C$1:C$30,MATCH($H211,'planning dogs-n-tiger'!$G$1:$G$42,0)),0)</f>
        <v>0</v>
      </c>
      <c r="D211">
        <f>IFERROR(INDEX('planning dogs-n-tiger'!D$1:D$30,MATCH($H211,'planning dogs-n-tiger'!$G$1:$G$42,0)),0)</f>
        <v>0</v>
      </c>
      <c r="E211">
        <f t="shared" si="30"/>
        <v>30</v>
      </c>
      <c r="F211">
        <f t="shared" si="31"/>
        <v>7</v>
      </c>
      <c r="G211">
        <f t="shared" si="32"/>
        <v>2021</v>
      </c>
      <c r="H211" t="str">
        <f t="shared" si="36"/>
        <v>72021</v>
      </c>
      <c r="I211">
        <f t="shared" si="37"/>
        <v>31</v>
      </c>
      <c r="J211">
        <f t="shared" si="33"/>
        <v>0</v>
      </c>
      <c r="K211">
        <f t="shared" si="34"/>
        <v>0</v>
      </c>
      <c r="L211">
        <f t="shared" si="35"/>
        <v>0</v>
      </c>
      <c r="M211" t="str">
        <f t="shared" si="38"/>
        <v>302021</v>
      </c>
      <c r="N211" t="str">
        <f t="shared" si="39"/>
        <v>30-7-2021</v>
      </c>
    </row>
    <row r="212" spans="1:14" x14ac:dyDescent="0.2">
      <c r="A212" s="1">
        <v>44407</v>
      </c>
      <c r="B212">
        <f>IFERROR(INDEX('planning dogs-n-tiger'!B$1:B$30,MATCH($H212,'planning dogs-n-tiger'!$G$1:$G$42,0)),0)</f>
        <v>0</v>
      </c>
      <c r="C212">
        <f>IFERROR(INDEX('planning dogs-n-tiger'!C$1:C$30,MATCH($H212,'planning dogs-n-tiger'!$G$1:$G$42,0)),0)</f>
        <v>0</v>
      </c>
      <c r="D212">
        <f>IFERROR(INDEX('planning dogs-n-tiger'!D$1:D$30,MATCH($H212,'planning dogs-n-tiger'!$G$1:$G$42,0)),0)</f>
        <v>0</v>
      </c>
      <c r="E212">
        <f t="shared" si="30"/>
        <v>30</v>
      </c>
      <c r="F212">
        <f t="shared" si="31"/>
        <v>7</v>
      </c>
      <c r="G212">
        <f t="shared" si="32"/>
        <v>2021</v>
      </c>
      <c r="H212" t="str">
        <f t="shared" si="36"/>
        <v>72021</v>
      </c>
      <c r="I212">
        <f t="shared" si="37"/>
        <v>31</v>
      </c>
      <c r="J212">
        <f t="shared" si="33"/>
        <v>0</v>
      </c>
      <c r="K212">
        <f t="shared" si="34"/>
        <v>0</v>
      </c>
      <c r="L212">
        <f t="shared" si="35"/>
        <v>0</v>
      </c>
      <c r="M212" t="str">
        <f t="shared" si="38"/>
        <v>302021</v>
      </c>
      <c r="N212" t="str">
        <f t="shared" si="39"/>
        <v>30-7-2021</v>
      </c>
    </row>
    <row r="213" spans="1:14" x14ac:dyDescent="0.2">
      <c r="A213" s="1">
        <v>44408</v>
      </c>
      <c r="B213">
        <f>IFERROR(INDEX('planning dogs-n-tiger'!B$1:B$30,MATCH($H213,'planning dogs-n-tiger'!$G$1:$G$42,0)),0)</f>
        <v>0</v>
      </c>
      <c r="C213">
        <f>IFERROR(INDEX('planning dogs-n-tiger'!C$1:C$30,MATCH($H213,'planning dogs-n-tiger'!$G$1:$G$42,0)),0)</f>
        <v>0</v>
      </c>
      <c r="D213">
        <f>IFERROR(INDEX('planning dogs-n-tiger'!D$1:D$30,MATCH($H213,'planning dogs-n-tiger'!$G$1:$G$42,0)),0)</f>
        <v>0</v>
      </c>
      <c r="E213">
        <f t="shared" si="30"/>
        <v>30</v>
      </c>
      <c r="F213">
        <f t="shared" si="31"/>
        <v>7</v>
      </c>
      <c r="G213">
        <f t="shared" si="32"/>
        <v>2021</v>
      </c>
      <c r="H213" t="str">
        <f t="shared" si="36"/>
        <v>72021</v>
      </c>
      <c r="I213">
        <f t="shared" si="37"/>
        <v>31</v>
      </c>
      <c r="J213">
        <f t="shared" si="33"/>
        <v>0</v>
      </c>
      <c r="K213">
        <f t="shared" si="34"/>
        <v>0</v>
      </c>
      <c r="L213">
        <f t="shared" si="35"/>
        <v>0</v>
      </c>
      <c r="M213" t="str">
        <f t="shared" si="38"/>
        <v>302021</v>
      </c>
      <c r="N213" t="str">
        <f t="shared" si="39"/>
        <v>30-7-2021</v>
      </c>
    </row>
    <row r="214" spans="1:14" x14ac:dyDescent="0.2">
      <c r="A214" s="1">
        <v>44409</v>
      </c>
      <c r="B214">
        <f>IFERROR(INDEX('planning dogs-n-tiger'!B$1:B$30,MATCH($H214,'planning dogs-n-tiger'!$G$1:$G$42,0)),0)</f>
        <v>1813</v>
      </c>
      <c r="C214">
        <f>IFERROR(INDEX('planning dogs-n-tiger'!C$1:C$30,MATCH($H214,'planning dogs-n-tiger'!$G$1:$G$42,0)),0)</f>
        <v>4720.17</v>
      </c>
      <c r="D214">
        <f>IFERROR(INDEX('planning dogs-n-tiger'!D$1:D$30,MATCH($H214,'planning dogs-n-tiger'!$G$1:$G$42,0)),0)</f>
        <v>0</v>
      </c>
      <c r="E214">
        <f t="shared" si="30"/>
        <v>30</v>
      </c>
      <c r="F214">
        <f t="shared" si="31"/>
        <v>8</v>
      </c>
      <c r="G214">
        <f t="shared" si="32"/>
        <v>2021</v>
      </c>
      <c r="H214" t="str">
        <f t="shared" si="36"/>
        <v>82021</v>
      </c>
      <c r="I214">
        <f t="shared" si="37"/>
        <v>31</v>
      </c>
      <c r="J214">
        <f t="shared" si="33"/>
        <v>58.483870967741936</v>
      </c>
      <c r="K214">
        <f t="shared" si="34"/>
        <v>152.26354838709679</v>
      </c>
      <c r="L214">
        <f t="shared" si="35"/>
        <v>0</v>
      </c>
      <c r="M214" t="str">
        <f t="shared" si="38"/>
        <v>302021</v>
      </c>
      <c r="N214" t="str">
        <f t="shared" si="39"/>
        <v>30-8-2021</v>
      </c>
    </row>
    <row r="215" spans="1:14" x14ac:dyDescent="0.2">
      <c r="A215" s="1">
        <v>44410</v>
      </c>
      <c r="B215">
        <f>IFERROR(INDEX('planning dogs-n-tiger'!B$1:B$30,MATCH($H215,'planning dogs-n-tiger'!$G$1:$G$42,0)),0)</f>
        <v>1813</v>
      </c>
      <c r="C215">
        <f>IFERROR(INDEX('planning dogs-n-tiger'!C$1:C$30,MATCH($H215,'planning dogs-n-tiger'!$G$1:$G$42,0)),0)</f>
        <v>4720.17</v>
      </c>
      <c r="D215">
        <f>IFERROR(INDEX('planning dogs-n-tiger'!D$1:D$30,MATCH($H215,'planning dogs-n-tiger'!$G$1:$G$42,0)),0)</f>
        <v>0</v>
      </c>
      <c r="E215">
        <f t="shared" si="30"/>
        <v>31</v>
      </c>
      <c r="F215">
        <f t="shared" si="31"/>
        <v>8</v>
      </c>
      <c r="G215">
        <f t="shared" si="32"/>
        <v>2021</v>
      </c>
      <c r="H215" t="str">
        <f t="shared" si="36"/>
        <v>82021</v>
      </c>
      <c r="I215">
        <f t="shared" si="37"/>
        <v>31</v>
      </c>
      <c r="J215">
        <f t="shared" si="33"/>
        <v>58.483870967741936</v>
      </c>
      <c r="K215">
        <f t="shared" si="34"/>
        <v>152.26354838709679</v>
      </c>
      <c r="L215">
        <f t="shared" si="35"/>
        <v>0</v>
      </c>
      <c r="M215" t="str">
        <f t="shared" si="38"/>
        <v>312021</v>
      </c>
      <c r="N215" t="str">
        <f t="shared" si="39"/>
        <v>31-8-2021</v>
      </c>
    </row>
    <row r="216" spans="1:14" x14ac:dyDescent="0.2">
      <c r="A216" s="1">
        <v>44411</v>
      </c>
      <c r="B216">
        <f>IFERROR(INDEX('planning dogs-n-tiger'!B$1:B$30,MATCH($H216,'planning dogs-n-tiger'!$G$1:$G$42,0)),0)</f>
        <v>1813</v>
      </c>
      <c r="C216">
        <f>IFERROR(INDEX('planning dogs-n-tiger'!C$1:C$30,MATCH($H216,'planning dogs-n-tiger'!$G$1:$G$42,0)),0)</f>
        <v>4720.17</v>
      </c>
      <c r="D216">
        <f>IFERROR(INDEX('planning dogs-n-tiger'!D$1:D$30,MATCH($H216,'planning dogs-n-tiger'!$G$1:$G$42,0)),0)</f>
        <v>0</v>
      </c>
      <c r="E216">
        <f t="shared" si="30"/>
        <v>31</v>
      </c>
      <c r="F216">
        <f t="shared" si="31"/>
        <v>8</v>
      </c>
      <c r="G216">
        <f t="shared" si="32"/>
        <v>2021</v>
      </c>
      <c r="H216" t="str">
        <f t="shared" si="36"/>
        <v>82021</v>
      </c>
      <c r="I216">
        <f t="shared" si="37"/>
        <v>31</v>
      </c>
      <c r="J216">
        <f t="shared" si="33"/>
        <v>58.483870967741936</v>
      </c>
      <c r="K216">
        <f t="shared" si="34"/>
        <v>152.26354838709679</v>
      </c>
      <c r="L216">
        <f t="shared" si="35"/>
        <v>0</v>
      </c>
      <c r="M216" t="str">
        <f t="shared" si="38"/>
        <v>312021</v>
      </c>
      <c r="N216" t="str">
        <f t="shared" si="39"/>
        <v>31-8-2021</v>
      </c>
    </row>
    <row r="217" spans="1:14" x14ac:dyDescent="0.2">
      <c r="A217" s="1">
        <v>44412</v>
      </c>
      <c r="B217">
        <f>IFERROR(INDEX('planning dogs-n-tiger'!B$1:B$30,MATCH($H217,'planning dogs-n-tiger'!$G$1:$G$42,0)),0)</f>
        <v>1813</v>
      </c>
      <c r="C217">
        <f>IFERROR(INDEX('planning dogs-n-tiger'!C$1:C$30,MATCH($H217,'planning dogs-n-tiger'!$G$1:$G$42,0)),0)</f>
        <v>4720.17</v>
      </c>
      <c r="D217">
        <f>IFERROR(INDEX('planning dogs-n-tiger'!D$1:D$30,MATCH($H217,'planning dogs-n-tiger'!$G$1:$G$42,0)),0)</f>
        <v>0</v>
      </c>
      <c r="E217">
        <f t="shared" si="30"/>
        <v>31</v>
      </c>
      <c r="F217">
        <f t="shared" si="31"/>
        <v>8</v>
      </c>
      <c r="G217">
        <f t="shared" si="32"/>
        <v>2021</v>
      </c>
      <c r="H217" t="str">
        <f t="shared" si="36"/>
        <v>82021</v>
      </c>
      <c r="I217">
        <f t="shared" si="37"/>
        <v>31</v>
      </c>
      <c r="J217">
        <f t="shared" si="33"/>
        <v>58.483870967741936</v>
      </c>
      <c r="K217">
        <f t="shared" si="34"/>
        <v>152.26354838709679</v>
      </c>
      <c r="L217">
        <f t="shared" si="35"/>
        <v>0</v>
      </c>
      <c r="M217" t="str">
        <f t="shared" si="38"/>
        <v>312021</v>
      </c>
      <c r="N217" t="str">
        <f t="shared" si="39"/>
        <v>31-8-2021</v>
      </c>
    </row>
    <row r="218" spans="1:14" x14ac:dyDescent="0.2">
      <c r="A218" s="1">
        <v>44413</v>
      </c>
      <c r="B218">
        <f>IFERROR(INDEX('planning dogs-n-tiger'!B$1:B$30,MATCH($H218,'planning dogs-n-tiger'!$G$1:$G$42,0)),0)</f>
        <v>1813</v>
      </c>
      <c r="C218">
        <f>IFERROR(INDEX('planning dogs-n-tiger'!C$1:C$30,MATCH($H218,'planning dogs-n-tiger'!$G$1:$G$42,0)),0)</f>
        <v>4720.17</v>
      </c>
      <c r="D218">
        <f>IFERROR(INDEX('planning dogs-n-tiger'!D$1:D$30,MATCH($H218,'planning dogs-n-tiger'!$G$1:$G$42,0)),0)</f>
        <v>0</v>
      </c>
      <c r="E218">
        <f t="shared" si="30"/>
        <v>31</v>
      </c>
      <c r="F218">
        <f t="shared" si="31"/>
        <v>8</v>
      </c>
      <c r="G218">
        <f t="shared" si="32"/>
        <v>2021</v>
      </c>
      <c r="H218" t="str">
        <f t="shared" si="36"/>
        <v>82021</v>
      </c>
      <c r="I218">
        <f t="shared" si="37"/>
        <v>31</v>
      </c>
      <c r="J218">
        <f t="shared" si="33"/>
        <v>58.483870967741936</v>
      </c>
      <c r="K218">
        <f t="shared" si="34"/>
        <v>152.26354838709679</v>
      </c>
      <c r="L218">
        <f t="shared" si="35"/>
        <v>0</v>
      </c>
      <c r="M218" t="str">
        <f t="shared" si="38"/>
        <v>312021</v>
      </c>
      <c r="N218" t="str">
        <f t="shared" si="39"/>
        <v>31-8-2021</v>
      </c>
    </row>
    <row r="219" spans="1:14" x14ac:dyDescent="0.2">
      <c r="A219" s="1">
        <v>44414</v>
      </c>
      <c r="B219">
        <f>IFERROR(INDEX('planning dogs-n-tiger'!B$1:B$30,MATCH($H219,'planning dogs-n-tiger'!$G$1:$G$42,0)),0)</f>
        <v>1813</v>
      </c>
      <c r="C219">
        <f>IFERROR(INDEX('planning dogs-n-tiger'!C$1:C$30,MATCH($H219,'planning dogs-n-tiger'!$G$1:$G$42,0)),0)</f>
        <v>4720.17</v>
      </c>
      <c r="D219">
        <f>IFERROR(INDEX('planning dogs-n-tiger'!D$1:D$30,MATCH($H219,'planning dogs-n-tiger'!$G$1:$G$42,0)),0)</f>
        <v>0</v>
      </c>
      <c r="E219">
        <f t="shared" si="30"/>
        <v>31</v>
      </c>
      <c r="F219">
        <f t="shared" si="31"/>
        <v>8</v>
      </c>
      <c r="G219">
        <f t="shared" si="32"/>
        <v>2021</v>
      </c>
      <c r="H219" t="str">
        <f t="shared" si="36"/>
        <v>82021</v>
      </c>
      <c r="I219">
        <f t="shared" si="37"/>
        <v>31</v>
      </c>
      <c r="J219">
        <f t="shared" si="33"/>
        <v>58.483870967741936</v>
      </c>
      <c r="K219">
        <f t="shared" si="34"/>
        <v>152.26354838709679</v>
      </c>
      <c r="L219">
        <f t="shared" si="35"/>
        <v>0</v>
      </c>
      <c r="M219" t="str">
        <f t="shared" si="38"/>
        <v>312021</v>
      </c>
      <c r="N219" t="str">
        <f t="shared" si="39"/>
        <v>31-8-2021</v>
      </c>
    </row>
    <row r="220" spans="1:14" x14ac:dyDescent="0.2">
      <c r="A220" s="1">
        <v>44415</v>
      </c>
      <c r="B220">
        <f>IFERROR(INDEX('planning dogs-n-tiger'!B$1:B$30,MATCH($H220,'planning dogs-n-tiger'!$G$1:$G$42,0)),0)</f>
        <v>1813</v>
      </c>
      <c r="C220">
        <f>IFERROR(INDEX('planning dogs-n-tiger'!C$1:C$30,MATCH($H220,'planning dogs-n-tiger'!$G$1:$G$42,0)),0)</f>
        <v>4720.17</v>
      </c>
      <c r="D220">
        <f>IFERROR(INDEX('planning dogs-n-tiger'!D$1:D$30,MATCH($H220,'planning dogs-n-tiger'!$G$1:$G$42,0)),0)</f>
        <v>0</v>
      </c>
      <c r="E220">
        <f t="shared" si="30"/>
        <v>31</v>
      </c>
      <c r="F220">
        <f t="shared" si="31"/>
        <v>8</v>
      </c>
      <c r="G220">
        <f t="shared" si="32"/>
        <v>2021</v>
      </c>
      <c r="H220" t="str">
        <f t="shared" si="36"/>
        <v>82021</v>
      </c>
      <c r="I220">
        <f t="shared" si="37"/>
        <v>31</v>
      </c>
      <c r="J220">
        <f t="shared" si="33"/>
        <v>58.483870967741936</v>
      </c>
      <c r="K220">
        <f t="shared" si="34"/>
        <v>152.26354838709679</v>
      </c>
      <c r="L220">
        <f t="shared" si="35"/>
        <v>0</v>
      </c>
      <c r="M220" t="str">
        <f t="shared" si="38"/>
        <v>312021</v>
      </c>
      <c r="N220" t="str">
        <f t="shared" si="39"/>
        <v>31-8-2021</v>
      </c>
    </row>
    <row r="221" spans="1:14" x14ac:dyDescent="0.2">
      <c r="A221" s="1">
        <v>44416</v>
      </c>
      <c r="B221">
        <f>IFERROR(INDEX('planning dogs-n-tiger'!B$1:B$30,MATCH($H221,'planning dogs-n-tiger'!$G$1:$G$42,0)),0)</f>
        <v>1813</v>
      </c>
      <c r="C221">
        <f>IFERROR(INDEX('planning dogs-n-tiger'!C$1:C$30,MATCH($H221,'planning dogs-n-tiger'!$G$1:$G$42,0)),0)</f>
        <v>4720.17</v>
      </c>
      <c r="D221">
        <f>IFERROR(INDEX('planning dogs-n-tiger'!D$1:D$30,MATCH($H221,'planning dogs-n-tiger'!$G$1:$G$42,0)),0)</f>
        <v>0</v>
      </c>
      <c r="E221">
        <f t="shared" si="30"/>
        <v>31</v>
      </c>
      <c r="F221">
        <f t="shared" si="31"/>
        <v>8</v>
      </c>
      <c r="G221">
        <f t="shared" si="32"/>
        <v>2021</v>
      </c>
      <c r="H221" t="str">
        <f t="shared" si="36"/>
        <v>82021</v>
      </c>
      <c r="I221">
        <f t="shared" si="37"/>
        <v>31</v>
      </c>
      <c r="J221">
        <f t="shared" si="33"/>
        <v>58.483870967741936</v>
      </c>
      <c r="K221">
        <f t="shared" si="34"/>
        <v>152.26354838709679</v>
      </c>
      <c r="L221">
        <f t="shared" si="35"/>
        <v>0</v>
      </c>
      <c r="M221" t="str">
        <f t="shared" si="38"/>
        <v>312021</v>
      </c>
      <c r="N221" t="str">
        <f t="shared" si="39"/>
        <v>31-8-2021</v>
      </c>
    </row>
    <row r="222" spans="1:14" x14ac:dyDescent="0.2">
      <c r="A222" s="1">
        <v>44417</v>
      </c>
      <c r="B222">
        <f>IFERROR(INDEX('planning dogs-n-tiger'!B$1:B$30,MATCH($H222,'planning dogs-n-tiger'!$G$1:$G$42,0)),0)</f>
        <v>1813</v>
      </c>
      <c r="C222">
        <f>IFERROR(INDEX('planning dogs-n-tiger'!C$1:C$30,MATCH($H222,'planning dogs-n-tiger'!$G$1:$G$42,0)),0)</f>
        <v>4720.17</v>
      </c>
      <c r="D222">
        <f>IFERROR(INDEX('planning dogs-n-tiger'!D$1:D$30,MATCH($H222,'planning dogs-n-tiger'!$G$1:$G$42,0)),0)</f>
        <v>0</v>
      </c>
      <c r="E222">
        <f t="shared" si="30"/>
        <v>32</v>
      </c>
      <c r="F222">
        <f t="shared" si="31"/>
        <v>8</v>
      </c>
      <c r="G222">
        <f t="shared" si="32"/>
        <v>2021</v>
      </c>
      <c r="H222" t="str">
        <f t="shared" si="36"/>
        <v>82021</v>
      </c>
      <c r="I222">
        <f t="shared" si="37"/>
        <v>31</v>
      </c>
      <c r="J222">
        <f t="shared" si="33"/>
        <v>58.483870967741936</v>
      </c>
      <c r="K222">
        <f t="shared" si="34"/>
        <v>152.26354838709679</v>
      </c>
      <c r="L222">
        <f t="shared" si="35"/>
        <v>0</v>
      </c>
      <c r="M222" t="str">
        <f t="shared" si="38"/>
        <v>322021</v>
      </c>
      <c r="N222" t="str">
        <f t="shared" si="39"/>
        <v>32-8-2021</v>
      </c>
    </row>
    <row r="223" spans="1:14" x14ac:dyDescent="0.2">
      <c r="A223" s="1">
        <v>44418</v>
      </c>
      <c r="B223">
        <f>IFERROR(INDEX('planning dogs-n-tiger'!B$1:B$30,MATCH($H223,'planning dogs-n-tiger'!$G$1:$G$42,0)),0)</f>
        <v>1813</v>
      </c>
      <c r="C223">
        <f>IFERROR(INDEX('planning dogs-n-tiger'!C$1:C$30,MATCH($H223,'planning dogs-n-tiger'!$G$1:$G$42,0)),0)</f>
        <v>4720.17</v>
      </c>
      <c r="D223">
        <f>IFERROR(INDEX('planning dogs-n-tiger'!D$1:D$30,MATCH($H223,'planning dogs-n-tiger'!$G$1:$G$42,0)),0)</f>
        <v>0</v>
      </c>
      <c r="E223">
        <f t="shared" si="30"/>
        <v>32</v>
      </c>
      <c r="F223">
        <f t="shared" si="31"/>
        <v>8</v>
      </c>
      <c r="G223">
        <f t="shared" si="32"/>
        <v>2021</v>
      </c>
      <c r="H223" t="str">
        <f t="shared" si="36"/>
        <v>82021</v>
      </c>
      <c r="I223">
        <f t="shared" si="37"/>
        <v>31</v>
      </c>
      <c r="J223">
        <f t="shared" si="33"/>
        <v>58.483870967741936</v>
      </c>
      <c r="K223">
        <f t="shared" si="34"/>
        <v>152.26354838709679</v>
      </c>
      <c r="L223">
        <f t="shared" si="35"/>
        <v>0</v>
      </c>
      <c r="M223" t="str">
        <f t="shared" si="38"/>
        <v>322021</v>
      </c>
      <c r="N223" t="str">
        <f t="shared" si="39"/>
        <v>32-8-2021</v>
      </c>
    </row>
    <row r="224" spans="1:14" x14ac:dyDescent="0.2">
      <c r="A224" s="1">
        <v>44419</v>
      </c>
      <c r="B224">
        <f>IFERROR(INDEX('planning dogs-n-tiger'!B$1:B$30,MATCH($H224,'planning dogs-n-tiger'!$G$1:$G$42,0)),0)</f>
        <v>1813</v>
      </c>
      <c r="C224">
        <f>IFERROR(INDEX('planning dogs-n-tiger'!C$1:C$30,MATCH($H224,'planning dogs-n-tiger'!$G$1:$G$42,0)),0)</f>
        <v>4720.17</v>
      </c>
      <c r="D224">
        <f>IFERROR(INDEX('planning dogs-n-tiger'!D$1:D$30,MATCH($H224,'planning dogs-n-tiger'!$G$1:$G$42,0)),0)</f>
        <v>0</v>
      </c>
      <c r="E224">
        <f t="shared" si="30"/>
        <v>32</v>
      </c>
      <c r="F224">
        <f t="shared" si="31"/>
        <v>8</v>
      </c>
      <c r="G224">
        <f t="shared" si="32"/>
        <v>2021</v>
      </c>
      <c r="H224" t="str">
        <f t="shared" si="36"/>
        <v>82021</v>
      </c>
      <c r="I224">
        <f t="shared" si="37"/>
        <v>31</v>
      </c>
      <c r="J224">
        <f t="shared" si="33"/>
        <v>58.483870967741936</v>
      </c>
      <c r="K224">
        <f t="shared" si="34"/>
        <v>152.26354838709679</v>
      </c>
      <c r="L224">
        <f t="shared" si="35"/>
        <v>0</v>
      </c>
      <c r="M224" t="str">
        <f t="shared" si="38"/>
        <v>322021</v>
      </c>
      <c r="N224" t="str">
        <f t="shared" si="39"/>
        <v>32-8-2021</v>
      </c>
    </row>
    <row r="225" spans="1:14" x14ac:dyDescent="0.2">
      <c r="A225" s="1">
        <v>44420</v>
      </c>
      <c r="B225">
        <f>IFERROR(INDEX('planning dogs-n-tiger'!B$1:B$30,MATCH($H225,'planning dogs-n-tiger'!$G$1:$G$42,0)),0)</f>
        <v>1813</v>
      </c>
      <c r="C225">
        <f>IFERROR(INDEX('planning dogs-n-tiger'!C$1:C$30,MATCH($H225,'planning dogs-n-tiger'!$G$1:$G$42,0)),0)</f>
        <v>4720.17</v>
      </c>
      <c r="D225">
        <f>IFERROR(INDEX('planning dogs-n-tiger'!D$1:D$30,MATCH($H225,'planning dogs-n-tiger'!$G$1:$G$42,0)),0)</f>
        <v>0</v>
      </c>
      <c r="E225">
        <f t="shared" si="30"/>
        <v>32</v>
      </c>
      <c r="F225">
        <f t="shared" si="31"/>
        <v>8</v>
      </c>
      <c r="G225">
        <f t="shared" si="32"/>
        <v>2021</v>
      </c>
      <c r="H225" t="str">
        <f t="shared" si="36"/>
        <v>82021</v>
      </c>
      <c r="I225">
        <f t="shared" si="37"/>
        <v>31</v>
      </c>
      <c r="J225">
        <f t="shared" si="33"/>
        <v>58.483870967741936</v>
      </c>
      <c r="K225">
        <f t="shared" si="34"/>
        <v>152.26354838709679</v>
      </c>
      <c r="L225">
        <f t="shared" si="35"/>
        <v>0</v>
      </c>
      <c r="M225" t="str">
        <f t="shared" si="38"/>
        <v>322021</v>
      </c>
      <c r="N225" t="str">
        <f t="shared" si="39"/>
        <v>32-8-2021</v>
      </c>
    </row>
    <row r="226" spans="1:14" x14ac:dyDescent="0.2">
      <c r="A226" s="1">
        <v>44421</v>
      </c>
      <c r="B226">
        <f>IFERROR(INDEX('planning dogs-n-tiger'!B$1:B$30,MATCH($H226,'planning dogs-n-tiger'!$G$1:$G$42,0)),0)</f>
        <v>1813</v>
      </c>
      <c r="C226">
        <f>IFERROR(INDEX('planning dogs-n-tiger'!C$1:C$30,MATCH($H226,'planning dogs-n-tiger'!$G$1:$G$42,0)),0)</f>
        <v>4720.17</v>
      </c>
      <c r="D226">
        <f>IFERROR(INDEX('planning dogs-n-tiger'!D$1:D$30,MATCH($H226,'planning dogs-n-tiger'!$G$1:$G$42,0)),0)</f>
        <v>0</v>
      </c>
      <c r="E226">
        <f t="shared" si="30"/>
        <v>32</v>
      </c>
      <c r="F226">
        <f t="shared" si="31"/>
        <v>8</v>
      </c>
      <c r="G226">
        <f t="shared" si="32"/>
        <v>2021</v>
      </c>
      <c r="H226" t="str">
        <f t="shared" si="36"/>
        <v>82021</v>
      </c>
      <c r="I226">
        <f t="shared" si="37"/>
        <v>31</v>
      </c>
      <c r="J226">
        <f t="shared" si="33"/>
        <v>58.483870967741936</v>
      </c>
      <c r="K226">
        <f t="shared" si="34"/>
        <v>152.26354838709679</v>
      </c>
      <c r="L226">
        <f t="shared" si="35"/>
        <v>0</v>
      </c>
      <c r="M226" t="str">
        <f t="shared" si="38"/>
        <v>322021</v>
      </c>
      <c r="N226" t="str">
        <f t="shared" si="39"/>
        <v>32-8-2021</v>
      </c>
    </row>
    <row r="227" spans="1:14" x14ac:dyDescent="0.2">
      <c r="A227" s="1">
        <v>44422</v>
      </c>
      <c r="B227">
        <f>IFERROR(INDEX('planning dogs-n-tiger'!B$1:B$30,MATCH($H227,'planning dogs-n-tiger'!$G$1:$G$42,0)),0)</f>
        <v>1813</v>
      </c>
      <c r="C227">
        <f>IFERROR(INDEX('planning dogs-n-tiger'!C$1:C$30,MATCH($H227,'planning dogs-n-tiger'!$G$1:$G$42,0)),0)</f>
        <v>4720.17</v>
      </c>
      <c r="D227">
        <f>IFERROR(INDEX('planning dogs-n-tiger'!D$1:D$30,MATCH($H227,'planning dogs-n-tiger'!$G$1:$G$42,0)),0)</f>
        <v>0</v>
      </c>
      <c r="E227">
        <f t="shared" si="30"/>
        <v>32</v>
      </c>
      <c r="F227">
        <f t="shared" si="31"/>
        <v>8</v>
      </c>
      <c r="G227">
        <f t="shared" si="32"/>
        <v>2021</v>
      </c>
      <c r="H227" t="str">
        <f t="shared" si="36"/>
        <v>82021</v>
      </c>
      <c r="I227">
        <f t="shared" si="37"/>
        <v>31</v>
      </c>
      <c r="J227">
        <f t="shared" si="33"/>
        <v>58.483870967741936</v>
      </c>
      <c r="K227">
        <f t="shared" si="34"/>
        <v>152.26354838709679</v>
      </c>
      <c r="L227">
        <f t="shared" si="35"/>
        <v>0</v>
      </c>
      <c r="M227" t="str">
        <f t="shared" si="38"/>
        <v>322021</v>
      </c>
      <c r="N227" t="str">
        <f t="shared" si="39"/>
        <v>32-8-2021</v>
      </c>
    </row>
    <row r="228" spans="1:14" x14ac:dyDescent="0.2">
      <c r="A228" s="1">
        <v>44423</v>
      </c>
      <c r="B228">
        <f>IFERROR(INDEX('planning dogs-n-tiger'!B$1:B$30,MATCH($H228,'planning dogs-n-tiger'!$G$1:$G$42,0)),0)</f>
        <v>1813</v>
      </c>
      <c r="C228">
        <f>IFERROR(INDEX('planning dogs-n-tiger'!C$1:C$30,MATCH($H228,'planning dogs-n-tiger'!$G$1:$G$42,0)),0)</f>
        <v>4720.17</v>
      </c>
      <c r="D228">
        <f>IFERROR(INDEX('planning dogs-n-tiger'!D$1:D$30,MATCH($H228,'planning dogs-n-tiger'!$G$1:$G$42,0)),0)</f>
        <v>0</v>
      </c>
      <c r="E228">
        <f t="shared" si="30"/>
        <v>32</v>
      </c>
      <c r="F228">
        <f t="shared" si="31"/>
        <v>8</v>
      </c>
      <c r="G228">
        <f t="shared" si="32"/>
        <v>2021</v>
      </c>
      <c r="H228" t="str">
        <f t="shared" si="36"/>
        <v>82021</v>
      </c>
      <c r="I228">
        <f t="shared" si="37"/>
        <v>31</v>
      </c>
      <c r="J228">
        <f t="shared" si="33"/>
        <v>58.483870967741936</v>
      </c>
      <c r="K228">
        <f t="shared" si="34"/>
        <v>152.26354838709679</v>
      </c>
      <c r="L228">
        <f t="shared" si="35"/>
        <v>0</v>
      </c>
      <c r="M228" t="str">
        <f t="shared" si="38"/>
        <v>322021</v>
      </c>
      <c r="N228" t="str">
        <f t="shared" si="39"/>
        <v>32-8-2021</v>
      </c>
    </row>
    <row r="229" spans="1:14" x14ac:dyDescent="0.2">
      <c r="A229" s="1">
        <v>44424</v>
      </c>
      <c r="B229">
        <f>IFERROR(INDEX('planning dogs-n-tiger'!B$1:B$30,MATCH($H229,'planning dogs-n-tiger'!$G$1:$G$42,0)),0)</f>
        <v>1813</v>
      </c>
      <c r="C229">
        <f>IFERROR(INDEX('planning dogs-n-tiger'!C$1:C$30,MATCH($H229,'planning dogs-n-tiger'!$G$1:$G$42,0)),0)</f>
        <v>4720.17</v>
      </c>
      <c r="D229">
        <f>IFERROR(INDEX('planning dogs-n-tiger'!D$1:D$30,MATCH($H229,'planning dogs-n-tiger'!$G$1:$G$42,0)),0)</f>
        <v>0</v>
      </c>
      <c r="E229">
        <f t="shared" si="30"/>
        <v>33</v>
      </c>
      <c r="F229">
        <f t="shared" si="31"/>
        <v>8</v>
      </c>
      <c r="G229">
        <f t="shared" si="32"/>
        <v>2021</v>
      </c>
      <c r="H229" t="str">
        <f t="shared" si="36"/>
        <v>82021</v>
      </c>
      <c r="I229">
        <f t="shared" si="37"/>
        <v>31</v>
      </c>
      <c r="J229">
        <f t="shared" si="33"/>
        <v>58.483870967741936</v>
      </c>
      <c r="K229">
        <f t="shared" si="34"/>
        <v>152.26354838709679</v>
      </c>
      <c r="L229">
        <f t="shared" si="35"/>
        <v>0</v>
      </c>
      <c r="M229" t="str">
        <f t="shared" si="38"/>
        <v>332021</v>
      </c>
      <c r="N229" t="str">
        <f t="shared" si="39"/>
        <v>33-8-2021</v>
      </c>
    </row>
    <row r="230" spans="1:14" x14ac:dyDescent="0.2">
      <c r="A230" s="1">
        <v>44425</v>
      </c>
      <c r="B230">
        <f>IFERROR(INDEX('planning dogs-n-tiger'!B$1:B$30,MATCH($H230,'planning dogs-n-tiger'!$G$1:$G$42,0)),0)</f>
        <v>1813</v>
      </c>
      <c r="C230">
        <f>IFERROR(INDEX('planning dogs-n-tiger'!C$1:C$30,MATCH($H230,'planning dogs-n-tiger'!$G$1:$G$42,0)),0)</f>
        <v>4720.17</v>
      </c>
      <c r="D230">
        <f>IFERROR(INDEX('planning dogs-n-tiger'!D$1:D$30,MATCH($H230,'planning dogs-n-tiger'!$G$1:$G$42,0)),0)</f>
        <v>0</v>
      </c>
      <c r="E230">
        <f t="shared" si="30"/>
        <v>33</v>
      </c>
      <c r="F230">
        <f t="shared" si="31"/>
        <v>8</v>
      </c>
      <c r="G230">
        <f t="shared" si="32"/>
        <v>2021</v>
      </c>
      <c r="H230" t="str">
        <f t="shared" si="36"/>
        <v>82021</v>
      </c>
      <c r="I230">
        <f t="shared" si="37"/>
        <v>31</v>
      </c>
      <c r="J230">
        <f t="shared" si="33"/>
        <v>58.483870967741936</v>
      </c>
      <c r="K230">
        <f t="shared" si="34"/>
        <v>152.26354838709679</v>
      </c>
      <c r="L230">
        <f t="shared" si="35"/>
        <v>0</v>
      </c>
      <c r="M230" t="str">
        <f t="shared" si="38"/>
        <v>332021</v>
      </c>
      <c r="N230" t="str">
        <f t="shared" si="39"/>
        <v>33-8-2021</v>
      </c>
    </row>
    <row r="231" spans="1:14" x14ac:dyDescent="0.2">
      <c r="A231" s="1">
        <v>44426</v>
      </c>
      <c r="B231">
        <f>IFERROR(INDEX('planning dogs-n-tiger'!B$1:B$30,MATCH($H231,'planning dogs-n-tiger'!$G$1:$G$42,0)),0)</f>
        <v>1813</v>
      </c>
      <c r="C231">
        <f>IFERROR(INDEX('planning dogs-n-tiger'!C$1:C$30,MATCH($H231,'planning dogs-n-tiger'!$G$1:$G$42,0)),0)</f>
        <v>4720.17</v>
      </c>
      <c r="D231">
        <f>IFERROR(INDEX('planning dogs-n-tiger'!D$1:D$30,MATCH($H231,'planning dogs-n-tiger'!$G$1:$G$42,0)),0)</f>
        <v>0</v>
      </c>
      <c r="E231">
        <f t="shared" si="30"/>
        <v>33</v>
      </c>
      <c r="F231">
        <f t="shared" si="31"/>
        <v>8</v>
      </c>
      <c r="G231">
        <f t="shared" si="32"/>
        <v>2021</v>
      </c>
      <c r="H231" t="str">
        <f t="shared" si="36"/>
        <v>82021</v>
      </c>
      <c r="I231">
        <f t="shared" si="37"/>
        <v>31</v>
      </c>
      <c r="J231">
        <f t="shared" si="33"/>
        <v>58.483870967741936</v>
      </c>
      <c r="K231">
        <f t="shared" si="34"/>
        <v>152.26354838709679</v>
      </c>
      <c r="L231">
        <f t="shared" si="35"/>
        <v>0</v>
      </c>
      <c r="M231" t="str">
        <f t="shared" si="38"/>
        <v>332021</v>
      </c>
      <c r="N231" t="str">
        <f t="shared" si="39"/>
        <v>33-8-2021</v>
      </c>
    </row>
    <row r="232" spans="1:14" x14ac:dyDescent="0.2">
      <c r="A232" s="1">
        <v>44427</v>
      </c>
      <c r="B232">
        <f>IFERROR(INDEX('planning dogs-n-tiger'!B$1:B$30,MATCH($H232,'planning dogs-n-tiger'!$G$1:$G$42,0)),0)</f>
        <v>1813</v>
      </c>
      <c r="C232">
        <f>IFERROR(INDEX('planning dogs-n-tiger'!C$1:C$30,MATCH($H232,'planning dogs-n-tiger'!$G$1:$G$42,0)),0)</f>
        <v>4720.17</v>
      </c>
      <c r="D232">
        <f>IFERROR(INDEX('planning dogs-n-tiger'!D$1:D$30,MATCH($H232,'planning dogs-n-tiger'!$G$1:$G$42,0)),0)</f>
        <v>0</v>
      </c>
      <c r="E232">
        <f t="shared" si="30"/>
        <v>33</v>
      </c>
      <c r="F232">
        <f t="shared" si="31"/>
        <v>8</v>
      </c>
      <c r="G232">
        <f t="shared" si="32"/>
        <v>2021</v>
      </c>
      <c r="H232" t="str">
        <f t="shared" si="36"/>
        <v>82021</v>
      </c>
      <c r="I232">
        <f t="shared" si="37"/>
        <v>31</v>
      </c>
      <c r="J232">
        <f t="shared" si="33"/>
        <v>58.483870967741936</v>
      </c>
      <c r="K232">
        <f t="shared" si="34"/>
        <v>152.26354838709679</v>
      </c>
      <c r="L232">
        <f t="shared" si="35"/>
        <v>0</v>
      </c>
      <c r="M232" t="str">
        <f t="shared" si="38"/>
        <v>332021</v>
      </c>
      <c r="N232" t="str">
        <f t="shared" si="39"/>
        <v>33-8-2021</v>
      </c>
    </row>
    <row r="233" spans="1:14" x14ac:dyDescent="0.2">
      <c r="A233" s="1">
        <v>44428</v>
      </c>
      <c r="B233">
        <f>IFERROR(INDEX('planning dogs-n-tiger'!B$1:B$30,MATCH($H233,'planning dogs-n-tiger'!$G$1:$G$42,0)),0)</f>
        <v>1813</v>
      </c>
      <c r="C233">
        <f>IFERROR(INDEX('planning dogs-n-tiger'!C$1:C$30,MATCH($H233,'planning dogs-n-tiger'!$G$1:$G$42,0)),0)</f>
        <v>4720.17</v>
      </c>
      <c r="D233">
        <f>IFERROR(INDEX('planning dogs-n-tiger'!D$1:D$30,MATCH($H233,'planning dogs-n-tiger'!$G$1:$G$42,0)),0)</f>
        <v>0</v>
      </c>
      <c r="E233">
        <f t="shared" si="30"/>
        <v>33</v>
      </c>
      <c r="F233">
        <f t="shared" si="31"/>
        <v>8</v>
      </c>
      <c r="G233">
        <f t="shared" si="32"/>
        <v>2021</v>
      </c>
      <c r="H233" t="str">
        <f t="shared" si="36"/>
        <v>82021</v>
      </c>
      <c r="I233">
        <f t="shared" si="37"/>
        <v>31</v>
      </c>
      <c r="J233">
        <f t="shared" si="33"/>
        <v>58.483870967741936</v>
      </c>
      <c r="K233">
        <f t="shared" si="34"/>
        <v>152.26354838709679</v>
      </c>
      <c r="L233">
        <f t="shared" si="35"/>
        <v>0</v>
      </c>
      <c r="M233" t="str">
        <f t="shared" si="38"/>
        <v>332021</v>
      </c>
      <c r="N233" t="str">
        <f t="shared" si="39"/>
        <v>33-8-2021</v>
      </c>
    </row>
    <row r="234" spans="1:14" x14ac:dyDescent="0.2">
      <c r="A234" s="1">
        <v>44429</v>
      </c>
      <c r="B234">
        <f>IFERROR(INDEX('planning dogs-n-tiger'!B$1:B$30,MATCH($H234,'planning dogs-n-tiger'!$G$1:$G$42,0)),0)</f>
        <v>1813</v>
      </c>
      <c r="C234">
        <f>IFERROR(INDEX('planning dogs-n-tiger'!C$1:C$30,MATCH($H234,'planning dogs-n-tiger'!$G$1:$G$42,0)),0)</f>
        <v>4720.17</v>
      </c>
      <c r="D234">
        <f>IFERROR(INDEX('planning dogs-n-tiger'!D$1:D$30,MATCH($H234,'planning dogs-n-tiger'!$G$1:$G$42,0)),0)</f>
        <v>0</v>
      </c>
      <c r="E234">
        <f t="shared" si="30"/>
        <v>33</v>
      </c>
      <c r="F234">
        <f t="shared" si="31"/>
        <v>8</v>
      </c>
      <c r="G234">
        <f t="shared" si="32"/>
        <v>2021</v>
      </c>
      <c r="H234" t="str">
        <f t="shared" si="36"/>
        <v>82021</v>
      </c>
      <c r="I234">
        <f t="shared" si="37"/>
        <v>31</v>
      </c>
      <c r="J234">
        <f t="shared" si="33"/>
        <v>58.483870967741936</v>
      </c>
      <c r="K234">
        <f t="shared" si="34"/>
        <v>152.26354838709679</v>
      </c>
      <c r="L234">
        <f t="shared" si="35"/>
        <v>0</v>
      </c>
      <c r="M234" t="str">
        <f t="shared" si="38"/>
        <v>332021</v>
      </c>
      <c r="N234" t="str">
        <f t="shared" si="39"/>
        <v>33-8-2021</v>
      </c>
    </row>
    <row r="235" spans="1:14" x14ac:dyDescent="0.2">
      <c r="A235" s="1">
        <v>44430</v>
      </c>
      <c r="B235">
        <f>IFERROR(INDEX('planning dogs-n-tiger'!B$1:B$30,MATCH($H235,'planning dogs-n-tiger'!$G$1:$G$42,0)),0)</f>
        <v>1813</v>
      </c>
      <c r="C235">
        <f>IFERROR(INDEX('planning dogs-n-tiger'!C$1:C$30,MATCH($H235,'planning dogs-n-tiger'!$G$1:$G$42,0)),0)</f>
        <v>4720.17</v>
      </c>
      <c r="D235">
        <f>IFERROR(INDEX('planning dogs-n-tiger'!D$1:D$30,MATCH($H235,'planning dogs-n-tiger'!$G$1:$G$42,0)),0)</f>
        <v>0</v>
      </c>
      <c r="E235">
        <f t="shared" si="30"/>
        <v>33</v>
      </c>
      <c r="F235">
        <f t="shared" si="31"/>
        <v>8</v>
      </c>
      <c r="G235">
        <f t="shared" si="32"/>
        <v>2021</v>
      </c>
      <c r="H235" t="str">
        <f t="shared" si="36"/>
        <v>82021</v>
      </c>
      <c r="I235">
        <f t="shared" si="37"/>
        <v>31</v>
      </c>
      <c r="J235">
        <f t="shared" si="33"/>
        <v>58.483870967741936</v>
      </c>
      <c r="K235">
        <f t="shared" si="34"/>
        <v>152.26354838709679</v>
      </c>
      <c r="L235">
        <f t="shared" si="35"/>
        <v>0</v>
      </c>
      <c r="M235" t="str">
        <f t="shared" si="38"/>
        <v>332021</v>
      </c>
      <c r="N235" t="str">
        <f t="shared" si="39"/>
        <v>33-8-2021</v>
      </c>
    </row>
    <row r="236" spans="1:14" x14ac:dyDescent="0.2">
      <c r="A236" s="1">
        <v>44431</v>
      </c>
      <c r="B236">
        <f>IFERROR(INDEX('planning dogs-n-tiger'!B$1:B$30,MATCH($H236,'planning dogs-n-tiger'!$G$1:$G$42,0)),0)</f>
        <v>1813</v>
      </c>
      <c r="C236">
        <f>IFERROR(INDEX('planning dogs-n-tiger'!C$1:C$30,MATCH($H236,'planning dogs-n-tiger'!$G$1:$G$42,0)),0)</f>
        <v>4720.17</v>
      </c>
      <c r="D236">
        <f>IFERROR(INDEX('planning dogs-n-tiger'!D$1:D$30,MATCH($H236,'planning dogs-n-tiger'!$G$1:$G$42,0)),0)</f>
        <v>0</v>
      </c>
      <c r="E236">
        <f t="shared" si="30"/>
        <v>34</v>
      </c>
      <c r="F236">
        <f t="shared" si="31"/>
        <v>8</v>
      </c>
      <c r="G236">
        <f t="shared" si="32"/>
        <v>2021</v>
      </c>
      <c r="H236" t="str">
        <f t="shared" si="36"/>
        <v>82021</v>
      </c>
      <c r="I236">
        <f t="shared" si="37"/>
        <v>31</v>
      </c>
      <c r="J236">
        <f t="shared" si="33"/>
        <v>58.483870967741936</v>
      </c>
      <c r="K236">
        <f t="shared" si="34"/>
        <v>152.26354838709679</v>
      </c>
      <c r="L236">
        <f t="shared" si="35"/>
        <v>0</v>
      </c>
      <c r="M236" t="str">
        <f t="shared" si="38"/>
        <v>342021</v>
      </c>
      <c r="N236" t="str">
        <f t="shared" si="39"/>
        <v>34-8-2021</v>
      </c>
    </row>
    <row r="237" spans="1:14" x14ac:dyDescent="0.2">
      <c r="A237" s="1">
        <v>44432</v>
      </c>
      <c r="B237">
        <f>IFERROR(INDEX('planning dogs-n-tiger'!B$1:B$30,MATCH($H237,'planning dogs-n-tiger'!$G$1:$G$42,0)),0)</f>
        <v>1813</v>
      </c>
      <c r="C237">
        <f>IFERROR(INDEX('planning dogs-n-tiger'!C$1:C$30,MATCH($H237,'planning dogs-n-tiger'!$G$1:$G$42,0)),0)</f>
        <v>4720.17</v>
      </c>
      <c r="D237">
        <f>IFERROR(INDEX('planning dogs-n-tiger'!D$1:D$30,MATCH($H237,'planning dogs-n-tiger'!$G$1:$G$42,0)),0)</f>
        <v>0</v>
      </c>
      <c r="E237">
        <f t="shared" si="30"/>
        <v>34</v>
      </c>
      <c r="F237">
        <f t="shared" si="31"/>
        <v>8</v>
      </c>
      <c r="G237">
        <f t="shared" si="32"/>
        <v>2021</v>
      </c>
      <c r="H237" t="str">
        <f t="shared" si="36"/>
        <v>82021</v>
      </c>
      <c r="I237">
        <f t="shared" si="37"/>
        <v>31</v>
      </c>
      <c r="J237">
        <f t="shared" si="33"/>
        <v>58.483870967741936</v>
      </c>
      <c r="K237">
        <f t="shared" si="34"/>
        <v>152.26354838709679</v>
      </c>
      <c r="L237">
        <f t="shared" si="35"/>
        <v>0</v>
      </c>
      <c r="M237" t="str">
        <f t="shared" si="38"/>
        <v>342021</v>
      </c>
      <c r="N237" t="str">
        <f t="shared" si="39"/>
        <v>34-8-2021</v>
      </c>
    </row>
    <row r="238" spans="1:14" x14ac:dyDescent="0.2">
      <c r="A238" s="1">
        <v>44433</v>
      </c>
      <c r="B238">
        <f>IFERROR(INDEX('planning dogs-n-tiger'!B$1:B$30,MATCH($H238,'planning dogs-n-tiger'!$G$1:$G$42,0)),0)</f>
        <v>1813</v>
      </c>
      <c r="C238">
        <f>IFERROR(INDEX('planning dogs-n-tiger'!C$1:C$30,MATCH($H238,'planning dogs-n-tiger'!$G$1:$G$42,0)),0)</f>
        <v>4720.17</v>
      </c>
      <c r="D238">
        <f>IFERROR(INDEX('planning dogs-n-tiger'!D$1:D$30,MATCH($H238,'planning dogs-n-tiger'!$G$1:$G$42,0)),0)</f>
        <v>0</v>
      </c>
      <c r="E238">
        <f t="shared" si="30"/>
        <v>34</v>
      </c>
      <c r="F238">
        <f t="shared" si="31"/>
        <v>8</v>
      </c>
      <c r="G238">
        <f t="shared" si="32"/>
        <v>2021</v>
      </c>
      <c r="H238" t="str">
        <f t="shared" si="36"/>
        <v>82021</v>
      </c>
      <c r="I238">
        <f t="shared" si="37"/>
        <v>31</v>
      </c>
      <c r="J238">
        <f t="shared" si="33"/>
        <v>58.483870967741936</v>
      </c>
      <c r="K238">
        <f t="shared" si="34"/>
        <v>152.26354838709679</v>
      </c>
      <c r="L238">
        <f t="shared" si="35"/>
        <v>0</v>
      </c>
      <c r="M238" t="str">
        <f t="shared" si="38"/>
        <v>342021</v>
      </c>
      <c r="N238" t="str">
        <f t="shared" si="39"/>
        <v>34-8-2021</v>
      </c>
    </row>
    <row r="239" spans="1:14" x14ac:dyDescent="0.2">
      <c r="A239" s="1">
        <v>44434</v>
      </c>
      <c r="B239">
        <f>IFERROR(INDEX('planning dogs-n-tiger'!B$1:B$30,MATCH($H239,'planning dogs-n-tiger'!$G$1:$G$42,0)),0)</f>
        <v>1813</v>
      </c>
      <c r="C239">
        <f>IFERROR(INDEX('planning dogs-n-tiger'!C$1:C$30,MATCH($H239,'planning dogs-n-tiger'!$G$1:$G$42,0)),0)</f>
        <v>4720.17</v>
      </c>
      <c r="D239">
        <f>IFERROR(INDEX('planning dogs-n-tiger'!D$1:D$30,MATCH($H239,'planning dogs-n-tiger'!$G$1:$G$42,0)),0)</f>
        <v>0</v>
      </c>
      <c r="E239">
        <f t="shared" si="30"/>
        <v>34</v>
      </c>
      <c r="F239">
        <f t="shared" si="31"/>
        <v>8</v>
      </c>
      <c r="G239">
        <f t="shared" si="32"/>
        <v>2021</v>
      </c>
      <c r="H239" t="str">
        <f t="shared" si="36"/>
        <v>82021</v>
      </c>
      <c r="I239">
        <f t="shared" si="37"/>
        <v>31</v>
      </c>
      <c r="J239">
        <f t="shared" si="33"/>
        <v>58.483870967741936</v>
      </c>
      <c r="K239">
        <f t="shared" si="34"/>
        <v>152.26354838709679</v>
      </c>
      <c r="L239">
        <f t="shared" si="35"/>
        <v>0</v>
      </c>
      <c r="M239" t="str">
        <f t="shared" si="38"/>
        <v>342021</v>
      </c>
      <c r="N239" t="str">
        <f t="shared" si="39"/>
        <v>34-8-2021</v>
      </c>
    </row>
    <row r="240" spans="1:14" x14ac:dyDescent="0.2">
      <c r="A240" s="1">
        <v>44435</v>
      </c>
      <c r="B240">
        <f>IFERROR(INDEX('planning dogs-n-tiger'!B$1:B$30,MATCH($H240,'planning dogs-n-tiger'!$G$1:$G$42,0)),0)</f>
        <v>1813</v>
      </c>
      <c r="C240">
        <f>IFERROR(INDEX('planning dogs-n-tiger'!C$1:C$30,MATCH($H240,'planning dogs-n-tiger'!$G$1:$G$42,0)),0)</f>
        <v>4720.17</v>
      </c>
      <c r="D240">
        <f>IFERROR(INDEX('planning dogs-n-tiger'!D$1:D$30,MATCH($H240,'planning dogs-n-tiger'!$G$1:$G$42,0)),0)</f>
        <v>0</v>
      </c>
      <c r="E240">
        <f t="shared" si="30"/>
        <v>34</v>
      </c>
      <c r="F240">
        <f t="shared" si="31"/>
        <v>8</v>
      </c>
      <c r="G240">
        <f t="shared" si="32"/>
        <v>2021</v>
      </c>
      <c r="H240" t="str">
        <f t="shared" si="36"/>
        <v>82021</v>
      </c>
      <c r="I240">
        <f t="shared" si="37"/>
        <v>31</v>
      </c>
      <c r="J240">
        <f t="shared" si="33"/>
        <v>58.483870967741936</v>
      </c>
      <c r="K240">
        <f t="shared" si="34"/>
        <v>152.26354838709679</v>
      </c>
      <c r="L240">
        <f t="shared" si="35"/>
        <v>0</v>
      </c>
      <c r="M240" t="str">
        <f t="shared" si="38"/>
        <v>342021</v>
      </c>
      <c r="N240" t="str">
        <f t="shared" si="39"/>
        <v>34-8-2021</v>
      </c>
    </row>
    <row r="241" spans="1:14" x14ac:dyDescent="0.2">
      <c r="A241" s="1">
        <v>44436</v>
      </c>
      <c r="B241">
        <f>IFERROR(INDEX('planning dogs-n-tiger'!B$1:B$30,MATCH($H241,'planning dogs-n-tiger'!$G$1:$G$42,0)),0)</f>
        <v>1813</v>
      </c>
      <c r="C241">
        <f>IFERROR(INDEX('planning dogs-n-tiger'!C$1:C$30,MATCH($H241,'planning dogs-n-tiger'!$G$1:$G$42,0)),0)</f>
        <v>4720.17</v>
      </c>
      <c r="D241">
        <f>IFERROR(INDEX('planning dogs-n-tiger'!D$1:D$30,MATCH($H241,'planning dogs-n-tiger'!$G$1:$G$42,0)),0)</f>
        <v>0</v>
      </c>
      <c r="E241">
        <f t="shared" si="30"/>
        <v>34</v>
      </c>
      <c r="F241">
        <f t="shared" si="31"/>
        <v>8</v>
      </c>
      <c r="G241">
        <f t="shared" si="32"/>
        <v>2021</v>
      </c>
      <c r="H241" t="str">
        <f t="shared" si="36"/>
        <v>82021</v>
      </c>
      <c r="I241">
        <f t="shared" si="37"/>
        <v>31</v>
      </c>
      <c r="J241">
        <f t="shared" si="33"/>
        <v>58.483870967741936</v>
      </c>
      <c r="K241">
        <f t="shared" si="34"/>
        <v>152.26354838709679</v>
      </c>
      <c r="L241">
        <f t="shared" si="35"/>
        <v>0</v>
      </c>
      <c r="M241" t="str">
        <f t="shared" si="38"/>
        <v>342021</v>
      </c>
      <c r="N241" t="str">
        <f t="shared" si="39"/>
        <v>34-8-2021</v>
      </c>
    </row>
    <row r="242" spans="1:14" x14ac:dyDescent="0.2">
      <c r="A242" s="1">
        <v>44437</v>
      </c>
      <c r="B242">
        <f>IFERROR(INDEX('planning dogs-n-tiger'!B$1:B$30,MATCH($H242,'planning dogs-n-tiger'!$G$1:$G$42,0)),0)</f>
        <v>1813</v>
      </c>
      <c r="C242">
        <f>IFERROR(INDEX('planning dogs-n-tiger'!C$1:C$30,MATCH($H242,'planning dogs-n-tiger'!$G$1:$G$42,0)),0)</f>
        <v>4720.17</v>
      </c>
      <c r="D242">
        <f>IFERROR(INDEX('planning dogs-n-tiger'!D$1:D$30,MATCH($H242,'planning dogs-n-tiger'!$G$1:$G$42,0)),0)</f>
        <v>0</v>
      </c>
      <c r="E242">
        <f t="shared" si="30"/>
        <v>34</v>
      </c>
      <c r="F242">
        <f t="shared" si="31"/>
        <v>8</v>
      </c>
      <c r="G242">
        <f t="shared" si="32"/>
        <v>2021</v>
      </c>
      <c r="H242" t="str">
        <f t="shared" si="36"/>
        <v>82021</v>
      </c>
      <c r="I242">
        <f t="shared" si="37"/>
        <v>31</v>
      </c>
      <c r="J242">
        <f t="shared" si="33"/>
        <v>58.483870967741936</v>
      </c>
      <c r="K242">
        <f t="shared" si="34"/>
        <v>152.26354838709679</v>
      </c>
      <c r="L242">
        <f t="shared" si="35"/>
        <v>0</v>
      </c>
      <c r="M242" t="str">
        <f t="shared" si="38"/>
        <v>342021</v>
      </c>
      <c r="N242" t="str">
        <f t="shared" si="39"/>
        <v>34-8-2021</v>
      </c>
    </row>
    <row r="243" spans="1:14" x14ac:dyDescent="0.2">
      <c r="A243" s="1">
        <v>44438</v>
      </c>
      <c r="B243">
        <f>IFERROR(INDEX('planning dogs-n-tiger'!B$1:B$30,MATCH($H243,'planning dogs-n-tiger'!$G$1:$G$42,0)),0)</f>
        <v>1813</v>
      </c>
      <c r="C243">
        <f>IFERROR(INDEX('planning dogs-n-tiger'!C$1:C$30,MATCH($H243,'planning dogs-n-tiger'!$G$1:$G$42,0)),0)</f>
        <v>4720.17</v>
      </c>
      <c r="D243">
        <f>IFERROR(INDEX('planning dogs-n-tiger'!D$1:D$30,MATCH($H243,'planning dogs-n-tiger'!$G$1:$G$42,0)),0)</f>
        <v>0</v>
      </c>
      <c r="E243">
        <f t="shared" si="30"/>
        <v>35</v>
      </c>
      <c r="F243">
        <f t="shared" si="31"/>
        <v>8</v>
      </c>
      <c r="G243">
        <f t="shared" si="32"/>
        <v>2021</v>
      </c>
      <c r="H243" t="str">
        <f t="shared" si="36"/>
        <v>82021</v>
      </c>
      <c r="I243">
        <f t="shared" si="37"/>
        <v>31</v>
      </c>
      <c r="J243">
        <f t="shared" si="33"/>
        <v>58.483870967741936</v>
      </c>
      <c r="K243">
        <f t="shared" si="34"/>
        <v>152.26354838709679</v>
      </c>
      <c r="L243">
        <f t="shared" si="35"/>
        <v>0</v>
      </c>
      <c r="M243" t="str">
        <f t="shared" si="38"/>
        <v>352021</v>
      </c>
      <c r="N243" t="str">
        <f t="shared" si="39"/>
        <v>35-8-2021</v>
      </c>
    </row>
    <row r="244" spans="1:14" x14ac:dyDescent="0.2">
      <c r="A244" s="1">
        <v>44439</v>
      </c>
      <c r="B244">
        <f>IFERROR(INDEX('planning dogs-n-tiger'!B$1:B$30,MATCH($H244,'planning dogs-n-tiger'!$G$1:$G$42,0)),0)</f>
        <v>1813</v>
      </c>
      <c r="C244">
        <f>IFERROR(INDEX('planning dogs-n-tiger'!C$1:C$30,MATCH($H244,'planning dogs-n-tiger'!$G$1:$G$42,0)),0)</f>
        <v>4720.17</v>
      </c>
      <c r="D244">
        <f>IFERROR(INDEX('planning dogs-n-tiger'!D$1:D$30,MATCH($H244,'planning dogs-n-tiger'!$G$1:$G$42,0)),0)</f>
        <v>0</v>
      </c>
      <c r="E244">
        <f t="shared" si="30"/>
        <v>35</v>
      </c>
      <c r="F244">
        <f t="shared" si="31"/>
        <v>8</v>
      </c>
      <c r="G244">
        <f t="shared" si="32"/>
        <v>2021</v>
      </c>
      <c r="H244" t="str">
        <f t="shared" si="36"/>
        <v>82021</v>
      </c>
      <c r="I244">
        <f t="shared" si="37"/>
        <v>31</v>
      </c>
      <c r="J244">
        <f t="shared" si="33"/>
        <v>58.483870967741936</v>
      </c>
      <c r="K244">
        <f t="shared" si="34"/>
        <v>152.26354838709679</v>
      </c>
      <c r="L244">
        <f t="shared" si="35"/>
        <v>0</v>
      </c>
      <c r="M244" t="str">
        <f t="shared" si="38"/>
        <v>352021</v>
      </c>
      <c r="N244" t="str">
        <f t="shared" si="39"/>
        <v>35-8-2021</v>
      </c>
    </row>
    <row r="245" spans="1:14" x14ac:dyDescent="0.2">
      <c r="A245" s="1">
        <v>44440</v>
      </c>
      <c r="B245">
        <f>IFERROR(INDEX('planning dogs-n-tiger'!B$1:B$30,MATCH($H245,'planning dogs-n-tiger'!$G$1:$G$42,0)),0)</f>
        <v>5089</v>
      </c>
      <c r="C245">
        <f>IFERROR(INDEX('planning dogs-n-tiger'!C$1:C$30,MATCH($H245,'planning dogs-n-tiger'!$G$1:$G$42,0)),0)</f>
        <v>7134</v>
      </c>
      <c r="D245">
        <f>IFERROR(INDEX('planning dogs-n-tiger'!D$1:D$30,MATCH($H245,'planning dogs-n-tiger'!$G$1:$G$42,0)),0)</f>
        <v>0</v>
      </c>
      <c r="E245">
        <f t="shared" si="30"/>
        <v>35</v>
      </c>
      <c r="F245">
        <f t="shared" si="31"/>
        <v>9</v>
      </c>
      <c r="G245">
        <f t="shared" si="32"/>
        <v>2021</v>
      </c>
      <c r="H245" t="str">
        <f t="shared" si="36"/>
        <v>92021</v>
      </c>
      <c r="I245">
        <f t="shared" si="37"/>
        <v>30</v>
      </c>
      <c r="J245">
        <f t="shared" si="33"/>
        <v>169.63333333333333</v>
      </c>
      <c r="K245">
        <f t="shared" si="34"/>
        <v>237.8</v>
      </c>
      <c r="L245">
        <f t="shared" si="35"/>
        <v>0</v>
      </c>
      <c r="M245" t="str">
        <f t="shared" si="38"/>
        <v>352021</v>
      </c>
      <c r="N245" t="str">
        <f t="shared" si="39"/>
        <v>35-9-2021</v>
      </c>
    </row>
    <row r="246" spans="1:14" x14ac:dyDescent="0.2">
      <c r="A246" s="1">
        <v>44441</v>
      </c>
      <c r="B246">
        <f>IFERROR(INDEX('planning dogs-n-tiger'!B$1:B$30,MATCH($H246,'planning dogs-n-tiger'!$G$1:$G$42,0)),0)</f>
        <v>5089</v>
      </c>
      <c r="C246">
        <f>IFERROR(INDEX('planning dogs-n-tiger'!C$1:C$30,MATCH($H246,'planning dogs-n-tiger'!$G$1:$G$42,0)),0)</f>
        <v>7134</v>
      </c>
      <c r="D246">
        <f>IFERROR(INDEX('planning dogs-n-tiger'!D$1:D$30,MATCH($H246,'planning dogs-n-tiger'!$G$1:$G$42,0)),0)</f>
        <v>0</v>
      </c>
      <c r="E246">
        <f t="shared" si="30"/>
        <v>35</v>
      </c>
      <c r="F246">
        <f t="shared" si="31"/>
        <v>9</v>
      </c>
      <c r="G246">
        <f t="shared" si="32"/>
        <v>2021</v>
      </c>
      <c r="H246" t="str">
        <f t="shared" si="36"/>
        <v>92021</v>
      </c>
      <c r="I246">
        <f t="shared" si="37"/>
        <v>30</v>
      </c>
      <c r="J246">
        <f t="shared" si="33"/>
        <v>169.63333333333333</v>
      </c>
      <c r="K246">
        <f t="shared" si="34"/>
        <v>237.8</v>
      </c>
      <c r="L246">
        <f t="shared" si="35"/>
        <v>0</v>
      </c>
      <c r="M246" t="str">
        <f t="shared" si="38"/>
        <v>352021</v>
      </c>
      <c r="N246" t="str">
        <f t="shared" si="39"/>
        <v>35-9-2021</v>
      </c>
    </row>
    <row r="247" spans="1:14" x14ac:dyDescent="0.2">
      <c r="A247" s="1">
        <v>44442</v>
      </c>
      <c r="B247">
        <f>IFERROR(INDEX('planning dogs-n-tiger'!B$1:B$30,MATCH($H247,'planning dogs-n-tiger'!$G$1:$G$42,0)),0)</f>
        <v>5089</v>
      </c>
      <c r="C247">
        <f>IFERROR(INDEX('planning dogs-n-tiger'!C$1:C$30,MATCH($H247,'planning dogs-n-tiger'!$G$1:$G$42,0)),0)</f>
        <v>7134</v>
      </c>
      <c r="D247">
        <f>IFERROR(INDEX('planning dogs-n-tiger'!D$1:D$30,MATCH($H247,'planning dogs-n-tiger'!$G$1:$G$42,0)),0)</f>
        <v>0</v>
      </c>
      <c r="E247">
        <f t="shared" si="30"/>
        <v>35</v>
      </c>
      <c r="F247">
        <f t="shared" si="31"/>
        <v>9</v>
      </c>
      <c r="G247">
        <f t="shared" si="32"/>
        <v>2021</v>
      </c>
      <c r="H247" t="str">
        <f t="shared" si="36"/>
        <v>92021</v>
      </c>
      <c r="I247">
        <f t="shared" si="37"/>
        <v>30</v>
      </c>
      <c r="J247">
        <f t="shared" si="33"/>
        <v>169.63333333333333</v>
      </c>
      <c r="K247">
        <f t="shared" si="34"/>
        <v>237.8</v>
      </c>
      <c r="L247">
        <f t="shared" si="35"/>
        <v>0</v>
      </c>
      <c r="M247" t="str">
        <f t="shared" si="38"/>
        <v>352021</v>
      </c>
      <c r="N247" t="str">
        <f t="shared" si="39"/>
        <v>35-9-2021</v>
      </c>
    </row>
    <row r="248" spans="1:14" x14ac:dyDescent="0.2">
      <c r="A248" s="1">
        <v>44443</v>
      </c>
      <c r="B248">
        <f>IFERROR(INDEX('planning dogs-n-tiger'!B$1:B$30,MATCH($H248,'planning dogs-n-tiger'!$G$1:$G$42,0)),0)</f>
        <v>5089</v>
      </c>
      <c r="C248">
        <f>IFERROR(INDEX('planning dogs-n-tiger'!C$1:C$30,MATCH($H248,'planning dogs-n-tiger'!$G$1:$G$42,0)),0)</f>
        <v>7134</v>
      </c>
      <c r="D248">
        <f>IFERROR(INDEX('planning dogs-n-tiger'!D$1:D$30,MATCH($H248,'planning dogs-n-tiger'!$G$1:$G$42,0)),0)</f>
        <v>0</v>
      </c>
      <c r="E248">
        <f t="shared" si="30"/>
        <v>35</v>
      </c>
      <c r="F248">
        <f t="shared" si="31"/>
        <v>9</v>
      </c>
      <c r="G248">
        <f t="shared" si="32"/>
        <v>2021</v>
      </c>
      <c r="H248" t="str">
        <f t="shared" si="36"/>
        <v>92021</v>
      </c>
      <c r="I248">
        <f t="shared" si="37"/>
        <v>30</v>
      </c>
      <c r="J248">
        <f t="shared" si="33"/>
        <v>169.63333333333333</v>
      </c>
      <c r="K248">
        <f t="shared" si="34"/>
        <v>237.8</v>
      </c>
      <c r="L248">
        <f t="shared" si="35"/>
        <v>0</v>
      </c>
      <c r="M248" t="str">
        <f t="shared" si="38"/>
        <v>352021</v>
      </c>
      <c r="N248" t="str">
        <f t="shared" si="39"/>
        <v>35-9-2021</v>
      </c>
    </row>
    <row r="249" spans="1:14" x14ac:dyDescent="0.2">
      <c r="A249" s="1">
        <v>44444</v>
      </c>
      <c r="B249">
        <f>IFERROR(INDEX('planning dogs-n-tiger'!B$1:B$30,MATCH($H249,'planning dogs-n-tiger'!$G$1:$G$42,0)),0)</f>
        <v>5089</v>
      </c>
      <c r="C249">
        <f>IFERROR(INDEX('planning dogs-n-tiger'!C$1:C$30,MATCH($H249,'planning dogs-n-tiger'!$G$1:$G$42,0)),0)</f>
        <v>7134</v>
      </c>
      <c r="D249">
        <f>IFERROR(INDEX('planning dogs-n-tiger'!D$1:D$30,MATCH($H249,'planning dogs-n-tiger'!$G$1:$G$42,0)),0)</f>
        <v>0</v>
      </c>
      <c r="E249">
        <f t="shared" si="30"/>
        <v>35</v>
      </c>
      <c r="F249">
        <f t="shared" si="31"/>
        <v>9</v>
      </c>
      <c r="G249">
        <f t="shared" si="32"/>
        <v>2021</v>
      </c>
      <c r="H249" t="str">
        <f t="shared" si="36"/>
        <v>92021</v>
      </c>
      <c r="I249">
        <f t="shared" si="37"/>
        <v>30</v>
      </c>
      <c r="J249">
        <f t="shared" si="33"/>
        <v>169.63333333333333</v>
      </c>
      <c r="K249">
        <f t="shared" si="34"/>
        <v>237.8</v>
      </c>
      <c r="L249">
        <f t="shared" si="35"/>
        <v>0</v>
      </c>
      <c r="M249" t="str">
        <f t="shared" si="38"/>
        <v>352021</v>
      </c>
      <c r="N249" t="str">
        <f t="shared" si="39"/>
        <v>35-9-2021</v>
      </c>
    </row>
    <row r="250" spans="1:14" x14ac:dyDescent="0.2">
      <c r="A250" s="1">
        <v>44445</v>
      </c>
      <c r="B250">
        <f>IFERROR(INDEX('planning dogs-n-tiger'!B$1:B$30,MATCH($H250,'planning dogs-n-tiger'!$G$1:$G$42,0)),0)</f>
        <v>5089</v>
      </c>
      <c r="C250">
        <f>IFERROR(INDEX('planning dogs-n-tiger'!C$1:C$30,MATCH($H250,'planning dogs-n-tiger'!$G$1:$G$42,0)),0)</f>
        <v>7134</v>
      </c>
      <c r="D250">
        <f>IFERROR(INDEX('planning dogs-n-tiger'!D$1:D$30,MATCH($H250,'planning dogs-n-tiger'!$G$1:$G$42,0)),0)</f>
        <v>0</v>
      </c>
      <c r="E250">
        <f t="shared" si="30"/>
        <v>36</v>
      </c>
      <c r="F250">
        <f t="shared" si="31"/>
        <v>9</v>
      </c>
      <c r="G250">
        <f t="shared" si="32"/>
        <v>2021</v>
      </c>
      <c r="H250" t="str">
        <f t="shared" si="36"/>
        <v>92021</v>
      </c>
      <c r="I250">
        <f t="shared" si="37"/>
        <v>30</v>
      </c>
      <c r="J250">
        <f t="shared" si="33"/>
        <v>169.63333333333333</v>
      </c>
      <c r="K250">
        <f t="shared" si="34"/>
        <v>237.8</v>
      </c>
      <c r="L250">
        <f t="shared" si="35"/>
        <v>0</v>
      </c>
      <c r="M250" t="str">
        <f t="shared" si="38"/>
        <v>362021</v>
      </c>
      <c r="N250" t="str">
        <f t="shared" si="39"/>
        <v>36-9-2021</v>
      </c>
    </row>
    <row r="251" spans="1:14" x14ac:dyDescent="0.2">
      <c r="A251" s="1">
        <v>44446</v>
      </c>
      <c r="B251">
        <f>IFERROR(INDEX('planning dogs-n-tiger'!B$1:B$30,MATCH($H251,'planning dogs-n-tiger'!$G$1:$G$42,0)),0)</f>
        <v>5089</v>
      </c>
      <c r="C251">
        <f>IFERROR(INDEX('planning dogs-n-tiger'!C$1:C$30,MATCH($H251,'planning dogs-n-tiger'!$G$1:$G$42,0)),0)</f>
        <v>7134</v>
      </c>
      <c r="D251">
        <f>IFERROR(INDEX('planning dogs-n-tiger'!D$1:D$30,MATCH($H251,'planning dogs-n-tiger'!$G$1:$G$42,0)),0)</f>
        <v>0</v>
      </c>
      <c r="E251">
        <f t="shared" si="30"/>
        <v>36</v>
      </c>
      <c r="F251">
        <f t="shared" si="31"/>
        <v>9</v>
      </c>
      <c r="G251">
        <f t="shared" si="32"/>
        <v>2021</v>
      </c>
      <c r="H251" t="str">
        <f t="shared" si="36"/>
        <v>92021</v>
      </c>
      <c r="I251">
        <f t="shared" si="37"/>
        <v>30</v>
      </c>
      <c r="J251">
        <f t="shared" si="33"/>
        <v>169.63333333333333</v>
      </c>
      <c r="K251">
        <f t="shared" si="34"/>
        <v>237.8</v>
      </c>
      <c r="L251">
        <f t="shared" si="35"/>
        <v>0</v>
      </c>
      <c r="M251" t="str">
        <f t="shared" si="38"/>
        <v>362021</v>
      </c>
      <c r="N251" t="str">
        <f t="shared" si="39"/>
        <v>36-9-2021</v>
      </c>
    </row>
    <row r="252" spans="1:14" x14ac:dyDescent="0.2">
      <c r="A252" s="1">
        <v>44447</v>
      </c>
      <c r="B252">
        <f>IFERROR(INDEX('planning dogs-n-tiger'!B$1:B$30,MATCH($H252,'planning dogs-n-tiger'!$G$1:$G$42,0)),0)</f>
        <v>5089</v>
      </c>
      <c r="C252">
        <f>IFERROR(INDEX('planning dogs-n-tiger'!C$1:C$30,MATCH($H252,'planning dogs-n-tiger'!$G$1:$G$42,0)),0)</f>
        <v>7134</v>
      </c>
      <c r="D252">
        <f>IFERROR(INDEX('planning dogs-n-tiger'!D$1:D$30,MATCH($H252,'planning dogs-n-tiger'!$G$1:$G$42,0)),0)</f>
        <v>0</v>
      </c>
      <c r="E252">
        <f t="shared" si="30"/>
        <v>36</v>
      </c>
      <c r="F252">
        <f t="shared" si="31"/>
        <v>9</v>
      </c>
      <c r="G252">
        <f t="shared" si="32"/>
        <v>2021</v>
      </c>
      <c r="H252" t="str">
        <f t="shared" si="36"/>
        <v>92021</v>
      </c>
      <c r="I252">
        <f t="shared" si="37"/>
        <v>30</v>
      </c>
      <c r="J252">
        <f t="shared" si="33"/>
        <v>169.63333333333333</v>
      </c>
      <c r="K252">
        <f t="shared" si="34"/>
        <v>237.8</v>
      </c>
      <c r="L252">
        <f t="shared" si="35"/>
        <v>0</v>
      </c>
      <c r="M252" t="str">
        <f t="shared" si="38"/>
        <v>362021</v>
      </c>
      <c r="N252" t="str">
        <f t="shared" si="39"/>
        <v>36-9-2021</v>
      </c>
    </row>
    <row r="253" spans="1:14" x14ac:dyDescent="0.2">
      <c r="A253" s="1">
        <v>44448</v>
      </c>
      <c r="B253">
        <f>IFERROR(INDEX('planning dogs-n-tiger'!B$1:B$30,MATCH($H253,'planning dogs-n-tiger'!$G$1:$G$42,0)),0)</f>
        <v>5089</v>
      </c>
      <c r="C253">
        <f>IFERROR(INDEX('planning dogs-n-tiger'!C$1:C$30,MATCH($H253,'planning dogs-n-tiger'!$G$1:$G$42,0)),0)</f>
        <v>7134</v>
      </c>
      <c r="D253">
        <f>IFERROR(INDEX('planning dogs-n-tiger'!D$1:D$30,MATCH($H253,'planning dogs-n-tiger'!$G$1:$G$42,0)),0)</f>
        <v>0</v>
      </c>
      <c r="E253">
        <f t="shared" si="30"/>
        <v>36</v>
      </c>
      <c r="F253">
        <f t="shared" si="31"/>
        <v>9</v>
      </c>
      <c r="G253">
        <f t="shared" si="32"/>
        <v>2021</v>
      </c>
      <c r="H253" t="str">
        <f t="shared" si="36"/>
        <v>92021</v>
      </c>
      <c r="I253">
        <f t="shared" si="37"/>
        <v>30</v>
      </c>
      <c r="J253">
        <f t="shared" si="33"/>
        <v>169.63333333333333</v>
      </c>
      <c r="K253">
        <f t="shared" si="34"/>
        <v>237.8</v>
      </c>
      <c r="L253">
        <f t="shared" si="35"/>
        <v>0</v>
      </c>
      <c r="M253" t="str">
        <f t="shared" si="38"/>
        <v>362021</v>
      </c>
      <c r="N253" t="str">
        <f t="shared" si="39"/>
        <v>36-9-2021</v>
      </c>
    </row>
    <row r="254" spans="1:14" x14ac:dyDescent="0.2">
      <c r="A254" s="1">
        <v>44449</v>
      </c>
      <c r="B254">
        <f>IFERROR(INDEX('planning dogs-n-tiger'!B$1:B$30,MATCH($H254,'planning dogs-n-tiger'!$G$1:$G$42,0)),0)</f>
        <v>5089</v>
      </c>
      <c r="C254">
        <f>IFERROR(INDEX('planning dogs-n-tiger'!C$1:C$30,MATCH($H254,'planning dogs-n-tiger'!$G$1:$G$42,0)),0)</f>
        <v>7134</v>
      </c>
      <c r="D254">
        <f>IFERROR(INDEX('planning dogs-n-tiger'!D$1:D$30,MATCH($H254,'planning dogs-n-tiger'!$G$1:$G$42,0)),0)</f>
        <v>0</v>
      </c>
      <c r="E254">
        <f t="shared" si="30"/>
        <v>36</v>
      </c>
      <c r="F254">
        <f t="shared" si="31"/>
        <v>9</v>
      </c>
      <c r="G254">
        <f t="shared" si="32"/>
        <v>2021</v>
      </c>
      <c r="H254" t="str">
        <f t="shared" si="36"/>
        <v>92021</v>
      </c>
      <c r="I254">
        <f t="shared" si="37"/>
        <v>30</v>
      </c>
      <c r="J254">
        <f t="shared" si="33"/>
        <v>169.63333333333333</v>
      </c>
      <c r="K254">
        <f t="shared" si="34"/>
        <v>237.8</v>
      </c>
      <c r="L254">
        <f t="shared" si="35"/>
        <v>0</v>
      </c>
      <c r="M254" t="str">
        <f t="shared" si="38"/>
        <v>362021</v>
      </c>
      <c r="N254" t="str">
        <f t="shared" si="39"/>
        <v>36-9-2021</v>
      </c>
    </row>
    <row r="255" spans="1:14" x14ac:dyDescent="0.2">
      <c r="A255" s="1">
        <v>44450</v>
      </c>
      <c r="B255">
        <f>IFERROR(INDEX('planning dogs-n-tiger'!B$1:B$30,MATCH($H255,'planning dogs-n-tiger'!$G$1:$G$42,0)),0)</f>
        <v>5089</v>
      </c>
      <c r="C255">
        <f>IFERROR(INDEX('planning dogs-n-tiger'!C$1:C$30,MATCH($H255,'planning dogs-n-tiger'!$G$1:$G$42,0)),0)</f>
        <v>7134</v>
      </c>
      <c r="D255">
        <f>IFERROR(INDEX('planning dogs-n-tiger'!D$1:D$30,MATCH($H255,'planning dogs-n-tiger'!$G$1:$G$42,0)),0)</f>
        <v>0</v>
      </c>
      <c r="E255">
        <f t="shared" si="30"/>
        <v>36</v>
      </c>
      <c r="F255">
        <f t="shared" si="31"/>
        <v>9</v>
      </c>
      <c r="G255">
        <f t="shared" si="32"/>
        <v>2021</v>
      </c>
      <c r="H255" t="str">
        <f t="shared" si="36"/>
        <v>92021</v>
      </c>
      <c r="I255">
        <f t="shared" si="37"/>
        <v>30</v>
      </c>
      <c r="J255">
        <f t="shared" si="33"/>
        <v>169.63333333333333</v>
      </c>
      <c r="K255">
        <f t="shared" si="34"/>
        <v>237.8</v>
      </c>
      <c r="L255">
        <f t="shared" si="35"/>
        <v>0</v>
      </c>
      <c r="M255" t="str">
        <f t="shared" si="38"/>
        <v>362021</v>
      </c>
      <c r="N255" t="str">
        <f t="shared" si="39"/>
        <v>36-9-2021</v>
      </c>
    </row>
    <row r="256" spans="1:14" x14ac:dyDescent="0.2">
      <c r="A256" s="1">
        <v>44451</v>
      </c>
      <c r="B256">
        <f>IFERROR(INDEX('planning dogs-n-tiger'!B$1:B$30,MATCH($H256,'planning dogs-n-tiger'!$G$1:$G$42,0)),0)</f>
        <v>5089</v>
      </c>
      <c r="C256">
        <f>IFERROR(INDEX('planning dogs-n-tiger'!C$1:C$30,MATCH($H256,'planning dogs-n-tiger'!$G$1:$G$42,0)),0)</f>
        <v>7134</v>
      </c>
      <c r="D256">
        <f>IFERROR(INDEX('planning dogs-n-tiger'!D$1:D$30,MATCH($H256,'planning dogs-n-tiger'!$G$1:$G$42,0)),0)</f>
        <v>0</v>
      </c>
      <c r="E256">
        <f t="shared" si="30"/>
        <v>36</v>
      </c>
      <c r="F256">
        <f t="shared" si="31"/>
        <v>9</v>
      </c>
      <c r="G256">
        <f t="shared" si="32"/>
        <v>2021</v>
      </c>
      <c r="H256" t="str">
        <f t="shared" si="36"/>
        <v>92021</v>
      </c>
      <c r="I256">
        <f t="shared" si="37"/>
        <v>30</v>
      </c>
      <c r="J256">
        <f t="shared" si="33"/>
        <v>169.63333333333333</v>
      </c>
      <c r="K256">
        <f t="shared" si="34"/>
        <v>237.8</v>
      </c>
      <c r="L256">
        <f t="shared" si="35"/>
        <v>0</v>
      </c>
      <c r="M256" t="str">
        <f t="shared" si="38"/>
        <v>362021</v>
      </c>
      <c r="N256" t="str">
        <f t="shared" si="39"/>
        <v>36-9-2021</v>
      </c>
    </row>
    <row r="257" spans="1:14" x14ac:dyDescent="0.2">
      <c r="A257" s="1">
        <v>44452</v>
      </c>
      <c r="B257">
        <f>IFERROR(INDEX('planning dogs-n-tiger'!B$1:B$30,MATCH($H257,'planning dogs-n-tiger'!$G$1:$G$42,0)),0)</f>
        <v>5089</v>
      </c>
      <c r="C257">
        <f>IFERROR(INDEX('planning dogs-n-tiger'!C$1:C$30,MATCH($H257,'planning dogs-n-tiger'!$G$1:$G$42,0)),0)</f>
        <v>7134</v>
      </c>
      <c r="D257">
        <f>IFERROR(INDEX('planning dogs-n-tiger'!D$1:D$30,MATCH($H257,'planning dogs-n-tiger'!$G$1:$G$42,0)),0)</f>
        <v>0</v>
      </c>
      <c r="E257">
        <f t="shared" si="30"/>
        <v>37</v>
      </c>
      <c r="F257">
        <f t="shared" si="31"/>
        <v>9</v>
      </c>
      <c r="G257">
        <f t="shared" si="32"/>
        <v>2021</v>
      </c>
      <c r="H257" t="str">
        <f t="shared" si="36"/>
        <v>92021</v>
      </c>
      <c r="I257">
        <f t="shared" si="37"/>
        <v>30</v>
      </c>
      <c r="J257">
        <f t="shared" si="33"/>
        <v>169.63333333333333</v>
      </c>
      <c r="K257">
        <f t="shared" si="34"/>
        <v>237.8</v>
      </c>
      <c r="L257">
        <f t="shared" si="35"/>
        <v>0</v>
      </c>
      <c r="M257" t="str">
        <f t="shared" si="38"/>
        <v>372021</v>
      </c>
      <c r="N257" t="str">
        <f t="shared" si="39"/>
        <v>37-9-2021</v>
      </c>
    </row>
    <row r="258" spans="1:14" x14ac:dyDescent="0.2">
      <c r="A258" s="1">
        <v>44453</v>
      </c>
      <c r="B258">
        <f>IFERROR(INDEX('planning dogs-n-tiger'!B$1:B$30,MATCH($H258,'planning dogs-n-tiger'!$G$1:$G$42,0)),0)</f>
        <v>5089</v>
      </c>
      <c r="C258">
        <f>IFERROR(INDEX('planning dogs-n-tiger'!C$1:C$30,MATCH($H258,'planning dogs-n-tiger'!$G$1:$G$42,0)),0)</f>
        <v>7134</v>
      </c>
      <c r="D258">
        <f>IFERROR(INDEX('planning dogs-n-tiger'!D$1:D$30,MATCH($H258,'planning dogs-n-tiger'!$G$1:$G$42,0)),0)</f>
        <v>0</v>
      </c>
      <c r="E258">
        <f t="shared" ref="E258:E321" si="40">_xlfn.ISOWEEKNUM(A258)</f>
        <v>37</v>
      </c>
      <c r="F258">
        <f t="shared" ref="F258:F321" si="41">MONTH(A258)</f>
        <v>9</v>
      </c>
      <c r="G258">
        <f t="shared" ref="G258:G321" si="42">YEAR(A258)</f>
        <v>2021</v>
      </c>
      <c r="H258" t="str">
        <f t="shared" si="36"/>
        <v>92021</v>
      </c>
      <c r="I258">
        <f t="shared" si="37"/>
        <v>30</v>
      </c>
      <c r="J258">
        <f t="shared" ref="J258:J321" si="43">B258/$I258</f>
        <v>169.63333333333333</v>
      </c>
      <c r="K258">
        <f t="shared" ref="K258:K321" si="44">C258/$I258</f>
        <v>237.8</v>
      </c>
      <c r="L258">
        <f t="shared" ref="L258:L321" si="45">D258/$I258</f>
        <v>0</v>
      </c>
      <c r="M258" t="str">
        <f t="shared" si="38"/>
        <v>372021</v>
      </c>
      <c r="N258" t="str">
        <f t="shared" si="39"/>
        <v>37-9-2021</v>
      </c>
    </row>
    <row r="259" spans="1:14" x14ac:dyDescent="0.2">
      <c r="A259" s="1">
        <v>44454</v>
      </c>
      <c r="B259">
        <f>IFERROR(INDEX('planning dogs-n-tiger'!B$1:B$30,MATCH($H259,'planning dogs-n-tiger'!$G$1:$G$42,0)),0)</f>
        <v>5089</v>
      </c>
      <c r="C259">
        <f>IFERROR(INDEX('planning dogs-n-tiger'!C$1:C$30,MATCH($H259,'planning dogs-n-tiger'!$G$1:$G$42,0)),0)</f>
        <v>7134</v>
      </c>
      <c r="D259">
        <f>IFERROR(INDEX('planning dogs-n-tiger'!D$1:D$30,MATCH($H259,'planning dogs-n-tiger'!$G$1:$G$42,0)),0)</f>
        <v>0</v>
      </c>
      <c r="E259">
        <f t="shared" si="40"/>
        <v>37</v>
      </c>
      <c r="F259">
        <f t="shared" si="41"/>
        <v>9</v>
      </c>
      <c r="G259">
        <f t="shared" si="42"/>
        <v>2021</v>
      </c>
      <c r="H259" t="str">
        <f t="shared" ref="H259:H322" si="46">F259&amp;G259</f>
        <v>92021</v>
      </c>
      <c r="I259">
        <f t="shared" ref="I259:I322" si="47">DAY(EOMONTH(DATE(G259,F259,0),1))</f>
        <v>30</v>
      </c>
      <c r="J259">
        <f t="shared" si="43"/>
        <v>169.63333333333333</v>
      </c>
      <c r="K259">
        <f t="shared" si="44"/>
        <v>237.8</v>
      </c>
      <c r="L259">
        <f t="shared" si="45"/>
        <v>0</v>
      </c>
      <c r="M259" t="str">
        <f t="shared" ref="M259:M322" si="48">E259&amp;G259</f>
        <v>372021</v>
      </c>
      <c r="N259" t="str">
        <f t="shared" ref="N259:N322" si="49">E259&amp;"-"&amp;F259&amp;"-"&amp;G259</f>
        <v>37-9-2021</v>
      </c>
    </row>
    <row r="260" spans="1:14" x14ac:dyDescent="0.2">
      <c r="A260" s="1">
        <v>44455</v>
      </c>
      <c r="B260">
        <f>IFERROR(INDEX('planning dogs-n-tiger'!B$1:B$30,MATCH($H260,'planning dogs-n-tiger'!$G$1:$G$42,0)),0)</f>
        <v>5089</v>
      </c>
      <c r="C260">
        <f>IFERROR(INDEX('planning dogs-n-tiger'!C$1:C$30,MATCH($H260,'planning dogs-n-tiger'!$G$1:$G$42,0)),0)</f>
        <v>7134</v>
      </c>
      <c r="D260">
        <f>IFERROR(INDEX('planning dogs-n-tiger'!D$1:D$30,MATCH($H260,'planning dogs-n-tiger'!$G$1:$G$42,0)),0)</f>
        <v>0</v>
      </c>
      <c r="E260">
        <f t="shared" si="40"/>
        <v>37</v>
      </c>
      <c r="F260">
        <f t="shared" si="41"/>
        <v>9</v>
      </c>
      <c r="G260">
        <f t="shared" si="42"/>
        <v>2021</v>
      </c>
      <c r="H260" t="str">
        <f t="shared" si="46"/>
        <v>92021</v>
      </c>
      <c r="I260">
        <f t="shared" si="47"/>
        <v>30</v>
      </c>
      <c r="J260">
        <f t="shared" si="43"/>
        <v>169.63333333333333</v>
      </c>
      <c r="K260">
        <f t="shared" si="44"/>
        <v>237.8</v>
      </c>
      <c r="L260">
        <f t="shared" si="45"/>
        <v>0</v>
      </c>
      <c r="M260" t="str">
        <f t="shared" si="48"/>
        <v>372021</v>
      </c>
      <c r="N260" t="str">
        <f t="shared" si="49"/>
        <v>37-9-2021</v>
      </c>
    </row>
    <row r="261" spans="1:14" x14ac:dyDescent="0.2">
      <c r="A261" s="1">
        <v>44456</v>
      </c>
      <c r="B261">
        <f>IFERROR(INDEX('planning dogs-n-tiger'!B$1:B$30,MATCH($H261,'planning dogs-n-tiger'!$G$1:$G$42,0)),0)</f>
        <v>5089</v>
      </c>
      <c r="C261">
        <f>IFERROR(INDEX('planning dogs-n-tiger'!C$1:C$30,MATCH($H261,'planning dogs-n-tiger'!$G$1:$G$42,0)),0)</f>
        <v>7134</v>
      </c>
      <c r="D261">
        <f>IFERROR(INDEX('planning dogs-n-tiger'!D$1:D$30,MATCH($H261,'planning dogs-n-tiger'!$G$1:$G$42,0)),0)</f>
        <v>0</v>
      </c>
      <c r="E261">
        <f t="shared" si="40"/>
        <v>37</v>
      </c>
      <c r="F261">
        <f t="shared" si="41"/>
        <v>9</v>
      </c>
      <c r="G261">
        <f t="shared" si="42"/>
        <v>2021</v>
      </c>
      <c r="H261" t="str">
        <f t="shared" si="46"/>
        <v>92021</v>
      </c>
      <c r="I261">
        <f t="shared" si="47"/>
        <v>30</v>
      </c>
      <c r="J261">
        <f t="shared" si="43"/>
        <v>169.63333333333333</v>
      </c>
      <c r="K261">
        <f t="shared" si="44"/>
        <v>237.8</v>
      </c>
      <c r="L261">
        <f t="shared" si="45"/>
        <v>0</v>
      </c>
      <c r="M261" t="str">
        <f t="shared" si="48"/>
        <v>372021</v>
      </c>
      <c r="N261" t="str">
        <f t="shared" si="49"/>
        <v>37-9-2021</v>
      </c>
    </row>
    <row r="262" spans="1:14" x14ac:dyDescent="0.2">
      <c r="A262" s="1">
        <v>44457</v>
      </c>
      <c r="B262">
        <f>IFERROR(INDEX('planning dogs-n-tiger'!B$1:B$30,MATCH($H262,'planning dogs-n-tiger'!$G$1:$G$42,0)),0)</f>
        <v>5089</v>
      </c>
      <c r="C262">
        <f>IFERROR(INDEX('planning dogs-n-tiger'!C$1:C$30,MATCH($H262,'planning dogs-n-tiger'!$G$1:$G$42,0)),0)</f>
        <v>7134</v>
      </c>
      <c r="D262">
        <f>IFERROR(INDEX('planning dogs-n-tiger'!D$1:D$30,MATCH($H262,'planning dogs-n-tiger'!$G$1:$G$42,0)),0)</f>
        <v>0</v>
      </c>
      <c r="E262">
        <f t="shared" si="40"/>
        <v>37</v>
      </c>
      <c r="F262">
        <f t="shared" si="41"/>
        <v>9</v>
      </c>
      <c r="G262">
        <f t="shared" si="42"/>
        <v>2021</v>
      </c>
      <c r="H262" t="str">
        <f t="shared" si="46"/>
        <v>92021</v>
      </c>
      <c r="I262">
        <f t="shared" si="47"/>
        <v>30</v>
      </c>
      <c r="J262">
        <f t="shared" si="43"/>
        <v>169.63333333333333</v>
      </c>
      <c r="K262">
        <f t="shared" si="44"/>
        <v>237.8</v>
      </c>
      <c r="L262">
        <f t="shared" si="45"/>
        <v>0</v>
      </c>
      <c r="M262" t="str">
        <f t="shared" si="48"/>
        <v>372021</v>
      </c>
      <c r="N262" t="str">
        <f t="shared" si="49"/>
        <v>37-9-2021</v>
      </c>
    </row>
    <row r="263" spans="1:14" x14ac:dyDescent="0.2">
      <c r="A263" s="1">
        <v>44458</v>
      </c>
      <c r="B263">
        <f>IFERROR(INDEX('planning dogs-n-tiger'!B$1:B$30,MATCH($H263,'planning dogs-n-tiger'!$G$1:$G$42,0)),0)</f>
        <v>5089</v>
      </c>
      <c r="C263">
        <f>IFERROR(INDEX('planning dogs-n-tiger'!C$1:C$30,MATCH($H263,'planning dogs-n-tiger'!$G$1:$G$42,0)),0)</f>
        <v>7134</v>
      </c>
      <c r="D263">
        <f>IFERROR(INDEX('planning dogs-n-tiger'!D$1:D$30,MATCH($H263,'planning dogs-n-tiger'!$G$1:$G$42,0)),0)</f>
        <v>0</v>
      </c>
      <c r="E263">
        <f t="shared" si="40"/>
        <v>37</v>
      </c>
      <c r="F263">
        <f t="shared" si="41"/>
        <v>9</v>
      </c>
      <c r="G263">
        <f t="shared" si="42"/>
        <v>2021</v>
      </c>
      <c r="H263" t="str">
        <f t="shared" si="46"/>
        <v>92021</v>
      </c>
      <c r="I263">
        <f t="shared" si="47"/>
        <v>30</v>
      </c>
      <c r="J263">
        <f t="shared" si="43"/>
        <v>169.63333333333333</v>
      </c>
      <c r="K263">
        <f t="shared" si="44"/>
        <v>237.8</v>
      </c>
      <c r="L263">
        <f t="shared" si="45"/>
        <v>0</v>
      </c>
      <c r="M263" t="str">
        <f t="shared" si="48"/>
        <v>372021</v>
      </c>
      <c r="N263" t="str">
        <f t="shared" si="49"/>
        <v>37-9-2021</v>
      </c>
    </row>
    <row r="264" spans="1:14" x14ac:dyDescent="0.2">
      <c r="A264" s="1">
        <v>44459</v>
      </c>
      <c r="B264">
        <f>IFERROR(INDEX('planning dogs-n-tiger'!B$1:B$30,MATCH($H264,'planning dogs-n-tiger'!$G$1:$G$42,0)),0)</f>
        <v>5089</v>
      </c>
      <c r="C264">
        <f>IFERROR(INDEX('planning dogs-n-tiger'!C$1:C$30,MATCH($H264,'planning dogs-n-tiger'!$G$1:$G$42,0)),0)</f>
        <v>7134</v>
      </c>
      <c r="D264">
        <f>IFERROR(INDEX('planning dogs-n-tiger'!D$1:D$30,MATCH($H264,'planning dogs-n-tiger'!$G$1:$G$42,0)),0)</f>
        <v>0</v>
      </c>
      <c r="E264">
        <f t="shared" si="40"/>
        <v>38</v>
      </c>
      <c r="F264">
        <f t="shared" si="41"/>
        <v>9</v>
      </c>
      <c r="G264">
        <f t="shared" si="42"/>
        <v>2021</v>
      </c>
      <c r="H264" t="str">
        <f t="shared" si="46"/>
        <v>92021</v>
      </c>
      <c r="I264">
        <f t="shared" si="47"/>
        <v>30</v>
      </c>
      <c r="J264">
        <f t="shared" si="43"/>
        <v>169.63333333333333</v>
      </c>
      <c r="K264">
        <f t="shared" si="44"/>
        <v>237.8</v>
      </c>
      <c r="L264">
        <f t="shared" si="45"/>
        <v>0</v>
      </c>
      <c r="M264" t="str">
        <f t="shared" si="48"/>
        <v>382021</v>
      </c>
      <c r="N264" t="str">
        <f t="shared" si="49"/>
        <v>38-9-2021</v>
      </c>
    </row>
    <row r="265" spans="1:14" x14ac:dyDescent="0.2">
      <c r="A265" s="1">
        <v>44460</v>
      </c>
      <c r="B265">
        <f>IFERROR(INDEX('planning dogs-n-tiger'!B$1:B$30,MATCH($H265,'planning dogs-n-tiger'!$G$1:$G$42,0)),0)</f>
        <v>5089</v>
      </c>
      <c r="C265">
        <f>IFERROR(INDEX('planning dogs-n-tiger'!C$1:C$30,MATCH($H265,'planning dogs-n-tiger'!$G$1:$G$42,0)),0)</f>
        <v>7134</v>
      </c>
      <c r="D265">
        <f>IFERROR(INDEX('planning dogs-n-tiger'!D$1:D$30,MATCH($H265,'planning dogs-n-tiger'!$G$1:$G$42,0)),0)</f>
        <v>0</v>
      </c>
      <c r="E265">
        <f t="shared" si="40"/>
        <v>38</v>
      </c>
      <c r="F265">
        <f t="shared" si="41"/>
        <v>9</v>
      </c>
      <c r="G265">
        <f t="shared" si="42"/>
        <v>2021</v>
      </c>
      <c r="H265" t="str">
        <f t="shared" si="46"/>
        <v>92021</v>
      </c>
      <c r="I265">
        <f t="shared" si="47"/>
        <v>30</v>
      </c>
      <c r="J265">
        <f t="shared" si="43"/>
        <v>169.63333333333333</v>
      </c>
      <c r="K265">
        <f t="shared" si="44"/>
        <v>237.8</v>
      </c>
      <c r="L265">
        <f t="shared" si="45"/>
        <v>0</v>
      </c>
      <c r="M265" t="str">
        <f t="shared" si="48"/>
        <v>382021</v>
      </c>
      <c r="N265" t="str">
        <f t="shared" si="49"/>
        <v>38-9-2021</v>
      </c>
    </row>
    <row r="266" spans="1:14" x14ac:dyDescent="0.2">
      <c r="A266" s="1">
        <v>44461</v>
      </c>
      <c r="B266">
        <f>IFERROR(INDEX('planning dogs-n-tiger'!B$1:B$30,MATCH($H266,'planning dogs-n-tiger'!$G$1:$G$42,0)),0)</f>
        <v>5089</v>
      </c>
      <c r="C266">
        <f>IFERROR(INDEX('planning dogs-n-tiger'!C$1:C$30,MATCH($H266,'planning dogs-n-tiger'!$G$1:$G$42,0)),0)</f>
        <v>7134</v>
      </c>
      <c r="D266">
        <f>IFERROR(INDEX('planning dogs-n-tiger'!D$1:D$30,MATCH($H266,'planning dogs-n-tiger'!$G$1:$G$42,0)),0)</f>
        <v>0</v>
      </c>
      <c r="E266">
        <f t="shared" si="40"/>
        <v>38</v>
      </c>
      <c r="F266">
        <f t="shared" si="41"/>
        <v>9</v>
      </c>
      <c r="G266">
        <f t="shared" si="42"/>
        <v>2021</v>
      </c>
      <c r="H266" t="str">
        <f t="shared" si="46"/>
        <v>92021</v>
      </c>
      <c r="I266">
        <f t="shared" si="47"/>
        <v>30</v>
      </c>
      <c r="J266">
        <f t="shared" si="43"/>
        <v>169.63333333333333</v>
      </c>
      <c r="K266">
        <f t="shared" si="44"/>
        <v>237.8</v>
      </c>
      <c r="L266">
        <f t="shared" si="45"/>
        <v>0</v>
      </c>
      <c r="M266" t="str">
        <f t="shared" si="48"/>
        <v>382021</v>
      </c>
      <c r="N266" t="str">
        <f t="shared" si="49"/>
        <v>38-9-2021</v>
      </c>
    </row>
    <row r="267" spans="1:14" x14ac:dyDescent="0.2">
      <c r="A267" s="1">
        <v>44462</v>
      </c>
      <c r="B267">
        <f>IFERROR(INDEX('planning dogs-n-tiger'!B$1:B$30,MATCH($H267,'planning dogs-n-tiger'!$G$1:$G$42,0)),0)</f>
        <v>5089</v>
      </c>
      <c r="C267">
        <f>IFERROR(INDEX('planning dogs-n-tiger'!C$1:C$30,MATCH($H267,'planning dogs-n-tiger'!$G$1:$G$42,0)),0)</f>
        <v>7134</v>
      </c>
      <c r="D267">
        <f>IFERROR(INDEX('planning dogs-n-tiger'!D$1:D$30,MATCH($H267,'planning dogs-n-tiger'!$G$1:$G$42,0)),0)</f>
        <v>0</v>
      </c>
      <c r="E267">
        <f t="shared" si="40"/>
        <v>38</v>
      </c>
      <c r="F267">
        <f t="shared" si="41"/>
        <v>9</v>
      </c>
      <c r="G267">
        <f t="shared" si="42"/>
        <v>2021</v>
      </c>
      <c r="H267" t="str">
        <f t="shared" si="46"/>
        <v>92021</v>
      </c>
      <c r="I267">
        <f t="shared" si="47"/>
        <v>30</v>
      </c>
      <c r="J267">
        <f t="shared" si="43"/>
        <v>169.63333333333333</v>
      </c>
      <c r="K267">
        <f t="shared" si="44"/>
        <v>237.8</v>
      </c>
      <c r="L267">
        <f t="shared" si="45"/>
        <v>0</v>
      </c>
      <c r="M267" t="str">
        <f t="shared" si="48"/>
        <v>382021</v>
      </c>
      <c r="N267" t="str">
        <f t="shared" si="49"/>
        <v>38-9-2021</v>
      </c>
    </row>
    <row r="268" spans="1:14" x14ac:dyDescent="0.2">
      <c r="A268" s="1">
        <v>44463</v>
      </c>
      <c r="B268">
        <f>IFERROR(INDEX('planning dogs-n-tiger'!B$1:B$30,MATCH($H268,'planning dogs-n-tiger'!$G$1:$G$42,0)),0)</f>
        <v>5089</v>
      </c>
      <c r="C268">
        <f>IFERROR(INDEX('planning dogs-n-tiger'!C$1:C$30,MATCH($H268,'planning dogs-n-tiger'!$G$1:$G$42,0)),0)</f>
        <v>7134</v>
      </c>
      <c r="D268">
        <f>IFERROR(INDEX('planning dogs-n-tiger'!D$1:D$30,MATCH($H268,'planning dogs-n-tiger'!$G$1:$G$42,0)),0)</f>
        <v>0</v>
      </c>
      <c r="E268">
        <f t="shared" si="40"/>
        <v>38</v>
      </c>
      <c r="F268">
        <f t="shared" si="41"/>
        <v>9</v>
      </c>
      <c r="G268">
        <f t="shared" si="42"/>
        <v>2021</v>
      </c>
      <c r="H268" t="str">
        <f t="shared" si="46"/>
        <v>92021</v>
      </c>
      <c r="I268">
        <f t="shared" si="47"/>
        <v>30</v>
      </c>
      <c r="J268">
        <f t="shared" si="43"/>
        <v>169.63333333333333</v>
      </c>
      <c r="K268">
        <f t="shared" si="44"/>
        <v>237.8</v>
      </c>
      <c r="L268">
        <f t="shared" si="45"/>
        <v>0</v>
      </c>
      <c r="M268" t="str">
        <f t="shared" si="48"/>
        <v>382021</v>
      </c>
      <c r="N268" t="str">
        <f t="shared" si="49"/>
        <v>38-9-2021</v>
      </c>
    </row>
    <row r="269" spans="1:14" x14ac:dyDescent="0.2">
      <c r="A269" s="1">
        <v>44464</v>
      </c>
      <c r="B269">
        <f>IFERROR(INDEX('planning dogs-n-tiger'!B$1:B$30,MATCH($H269,'planning dogs-n-tiger'!$G$1:$G$42,0)),0)</f>
        <v>5089</v>
      </c>
      <c r="C269">
        <f>IFERROR(INDEX('planning dogs-n-tiger'!C$1:C$30,MATCH($H269,'planning dogs-n-tiger'!$G$1:$G$42,0)),0)</f>
        <v>7134</v>
      </c>
      <c r="D269">
        <f>IFERROR(INDEX('planning dogs-n-tiger'!D$1:D$30,MATCH($H269,'planning dogs-n-tiger'!$G$1:$G$42,0)),0)</f>
        <v>0</v>
      </c>
      <c r="E269">
        <f t="shared" si="40"/>
        <v>38</v>
      </c>
      <c r="F269">
        <f t="shared" si="41"/>
        <v>9</v>
      </c>
      <c r="G269">
        <f t="shared" si="42"/>
        <v>2021</v>
      </c>
      <c r="H269" t="str">
        <f t="shared" si="46"/>
        <v>92021</v>
      </c>
      <c r="I269">
        <f t="shared" si="47"/>
        <v>30</v>
      </c>
      <c r="J269">
        <f t="shared" si="43"/>
        <v>169.63333333333333</v>
      </c>
      <c r="K269">
        <f t="shared" si="44"/>
        <v>237.8</v>
      </c>
      <c r="L269">
        <f t="shared" si="45"/>
        <v>0</v>
      </c>
      <c r="M269" t="str">
        <f t="shared" si="48"/>
        <v>382021</v>
      </c>
      <c r="N269" t="str">
        <f t="shared" si="49"/>
        <v>38-9-2021</v>
      </c>
    </row>
    <row r="270" spans="1:14" x14ac:dyDescent="0.2">
      <c r="A270" s="1">
        <v>44465</v>
      </c>
      <c r="B270">
        <f>IFERROR(INDEX('planning dogs-n-tiger'!B$1:B$30,MATCH($H270,'planning dogs-n-tiger'!$G$1:$G$42,0)),0)</f>
        <v>5089</v>
      </c>
      <c r="C270">
        <f>IFERROR(INDEX('planning dogs-n-tiger'!C$1:C$30,MATCH($H270,'planning dogs-n-tiger'!$G$1:$G$42,0)),0)</f>
        <v>7134</v>
      </c>
      <c r="D270">
        <f>IFERROR(INDEX('planning dogs-n-tiger'!D$1:D$30,MATCH($H270,'planning dogs-n-tiger'!$G$1:$G$42,0)),0)</f>
        <v>0</v>
      </c>
      <c r="E270">
        <f t="shared" si="40"/>
        <v>38</v>
      </c>
      <c r="F270">
        <f t="shared" si="41"/>
        <v>9</v>
      </c>
      <c r="G270">
        <f t="shared" si="42"/>
        <v>2021</v>
      </c>
      <c r="H270" t="str">
        <f t="shared" si="46"/>
        <v>92021</v>
      </c>
      <c r="I270">
        <f t="shared" si="47"/>
        <v>30</v>
      </c>
      <c r="J270">
        <f t="shared" si="43"/>
        <v>169.63333333333333</v>
      </c>
      <c r="K270">
        <f t="shared" si="44"/>
        <v>237.8</v>
      </c>
      <c r="L270">
        <f t="shared" si="45"/>
        <v>0</v>
      </c>
      <c r="M270" t="str">
        <f t="shared" si="48"/>
        <v>382021</v>
      </c>
      <c r="N270" t="str">
        <f t="shared" si="49"/>
        <v>38-9-2021</v>
      </c>
    </row>
    <row r="271" spans="1:14" x14ac:dyDescent="0.2">
      <c r="A271" s="1">
        <v>44466</v>
      </c>
      <c r="B271">
        <f>IFERROR(INDEX('planning dogs-n-tiger'!B$1:B$30,MATCH($H271,'planning dogs-n-tiger'!$G$1:$G$42,0)),0)</f>
        <v>5089</v>
      </c>
      <c r="C271">
        <f>IFERROR(INDEX('planning dogs-n-tiger'!C$1:C$30,MATCH($H271,'planning dogs-n-tiger'!$G$1:$G$42,0)),0)</f>
        <v>7134</v>
      </c>
      <c r="D271">
        <f>IFERROR(INDEX('planning dogs-n-tiger'!D$1:D$30,MATCH($H271,'planning dogs-n-tiger'!$G$1:$G$42,0)),0)</f>
        <v>0</v>
      </c>
      <c r="E271">
        <f t="shared" si="40"/>
        <v>39</v>
      </c>
      <c r="F271">
        <f t="shared" si="41"/>
        <v>9</v>
      </c>
      <c r="G271">
        <f t="shared" si="42"/>
        <v>2021</v>
      </c>
      <c r="H271" t="str">
        <f t="shared" si="46"/>
        <v>92021</v>
      </c>
      <c r="I271">
        <f t="shared" si="47"/>
        <v>30</v>
      </c>
      <c r="J271">
        <f t="shared" si="43"/>
        <v>169.63333333333333</v>
      </c>
      <c r="K271">
        <f t="shared" si="44"/>
        <v>237.8</v>
      </c>
      <c r="L271">
        <f t="shared" si="45"/>
        <v>0</v>
      </c>
      <c r="M271" t="str">
        <f t="shared" si="48"/>
        <v>392021</v>
      </c>
      <c r="N271" t="str">
        <f t="shared" si="49"/>
        <v>39-9-2021</v>
      </c>
    </row>
    <row r="272" spans="1:14" x14ac:dyDescent="0.2">
      <c r="A272" s="1">
        <v>44467</v>
      </c>
      <c r="B272">
        <f>IFERROR(INDEX('planning dogs-n-tiger'!B$1:B$30,MATCH($H272,'planning dogs-n-tiger'!$G$1:$G$42,0)),0)</f>
        <v>5089</v>
      </c>
      <c r="C272">
        <f>IFERROR(INDEX('planning dogs-n-tiger'!C$1:C$30,MATCH($H272,'planning dogs-n-tiger'!$G$1:$G$42,0)),0)</f>
        <v>7134</v>
      </c>
      <c r="D272">
        <f>IFERROR(INDEX('planning dogs-n-tiger'!D$1:D$30,MATCH($H272,'planning dogs-n-tiger'!$G$1:$G$42,0)),0)</f>
        <v>0</v>
      </c>
      <c r="E272">
        <f t="shared" si="40"/>
        <v>39</v>
      </c>
      <c r="F272">
        <f t="shared" si="41"/>
        <v>9</v>
      </c>
      <c r="G272">
        <f t="shared" si="42"/>
        <v>2021</v>
      </c>
      <c r="H272" t="str">
        <f t="shared" si="46"/>
        <v>92021</v>
      </c>
      <c r="I272">
        <f t="shared" si="47"/>
        <v>30</v>
      </c>
      <c r="J272">
        <f t="shared" si="43"/>
        <v>169.63333333333333</v>
      </c>
      <c r="K272">
        <f t="shared" si="44"/>
        <v>237.8</v>
      </c>
      <c r="L272">
        <f t="shared" si="45"/>
        <v>0</v>
      </c>
      <c r="M272" t="str">
        <f t="shared" si="48"/>
        <v>392021</v>
      </c>
      <c r="N272" t="str">
        <f t="shared" si="49"/>
        <v>39-9-2021</v>
      </c>
    </row>
    <row r="273" spans="1:14" x14ac:dyDescent="0.2">
      <c r="A273" s="1">
        <v>44468</v>
      </c>
      <c r="B273">
        <f>IFERROR(INDEX('planning dogs-n-tiger'!B$1:B$30,MATCH($H273,'planning dogs-n-tiger'!$G$1:$G$42,0)),0)</f>
        <v>5089</v>
      </c>
      <c r="C273">
        <f>IFERROR(INDEX('planning dogs-n-tiger'!C$1:C$30,MATCH($H273,'planning dogs-n-tiger'!$G$1:$G$42,0)),0)</f>
        <v>7134</v>
      </c>
      <c r="D273">
        <f>IFERROR(INDEX('planning dogs-n-tiger'!D$1:D$30,MATCH($H273,'planning dogs-n-tiger'!$G$1:$G$42,0)),0)</f>
        <v>0</v>
      </c>
      <c r="E273">
        <f t="shared" si="40"/>
        <v>39</v>
      </c>
      <c r="F273">
        <f t="shared" si="41"/>
        <v>9</v>
      </c>
      <c r="G273">
        <f t="shared" si="42"/>
        <v>2021</v>
      </c>
      <c r="H273" t="str">
        <f t="shared" si="46"/>
        <v>92021</v>
      </c>
      <c r="I273">
        <f t="shared" si="47"/>
        <v>30</v>
      </c>
      <c r="J273">
        <f t="shared" si="43"/>
        <v>169.63333333333333</v>
      </c>
      <c r="K273">
        <f t="shared" si="44"/>
        <v>237.8</v>
      </c>
      <c r="L273">
        <f t="shared" si="45"/>
        <v>0</v>
      </c>
      <c r="M273" t="str">
        <f t="shared" si="48"/>
        <v>392021</v>
      </c>
      <c r="N273" t="str">
        <f t="shared" si="49"/>
        <v>39-9-2021</v>
      </c>
    </row>
    <row r="274" spans="1:14" x14ac:dyDescent="0.2">
      <c r="A274" s="1">
        <v>44469</v>
      </c>
      <c r="B274">
        <f>IFERROR(INDEX('planning dogs-n-tiger'!B$1:B$30,MATCH($H274,'planning dogs-n-tiger'!$G$1:$G$42,0)),0)</f>
        <v>5089</v>
      </c>
      <c r="C274">
        <f>IFERROR(INDEX('planning dogs-n-tiger'!C$1:C$30,MATCH($H274,'planning dogs-n-tiger'!$G$1:$G$42,0)),0)</f>
        <v>7134</v>
      </c>
      <c r="D274">
        <f>IFERROR(INDEX('planning dogs-n-tiger'!D$1:D$30,MATCH($H274,'planning dogs-n-tiger'!$G$1:$G$42,0)),0)</f>
        <v>0</v>
      </c>
      <c r="E274">
        <f t="shared" si="40"/>
        <v>39</v>
      </c>
      <c r="F274">
        <f t="shared" si="41"/>
        <v>9</v>
      </c>
      <c r="G274">
        <f t="shared" si="42"/>
        <v>2021</v>
      </c>
      <c r="H274" t="str">
        <f t="shared" si="46"/>
        <v>92021</v>
      </c>
      <c r="I274">
        <f t="shared" si="47"/>
        <v>30</v>
      </c>
      <c r="J274">
        <f t="shared" si="43"/>
        <v>169.63333333333333</v>
      </c>
      <c r="K274">
        <f t="shared" si="44"/>
        <v>237.8</v>
      </c>
      <c r="L274">
        <f t="shared" si="45"/>
        <v>0</v>
      </c>
      <c r="M274" t="str">
        <f t="shared" si="48"/>
        <v>392021</v>
      </c>
      <c r="N274" t="str">
        <f t="shared" si="49"/>
        <v>39-9-2021</v>
      </c>
    </row>
    <row r="275" spans="1:14" x14ac:dyDescent="0.2">
      <c r="A275" s="1">
        <v>44470</v>
      </c>
      <c r="B275">
        <f>IFERROR(INDEX('planning dogs-n-tiger'!B$1:B$30,MATCH($H275,'planning dogs-n-tiger'!$G$1:$G$42,0)),0)</f>
        <v>3547</v>
      </c>
      <c r="C275">
        <f>IFERROR(INDEX('planning dogs-n-tiger'!C$1:C$30,MATCH($H275,'planning dogs-n-tiger'!$G$1:$G$42,0)),0)</f>
        <v>19008.990000000002</v>
      </c>
      <c r="D275">
        <f>IFERROR(INDEX('planning dogs-n-tiger'!D$1:D$30,MATCH($H275,'planning dogs-n-tiger'!$G$1:$G$42,0)),0)</f>
        <v>0</v>
      </c>
      <c r="E275">
        <f t="shared" si="40"/>
        <v>39</v>
      </c>
      <c r="F275">
        <f t="shared" si="41"/>
        <v>10</v>
      </c>
      <c r="G275">
        <f t="shared" si="42"/>
        <v>2021</v>
      </c>
      <c r="H275" t="str">
        <f t="shared" si="46"/>
        <v>102021</v>
      </c>
      <c r="I275">
        <f t="shared" si="47"/>
        <v>31</v>
      </c>
      <c r="J275">
        <f t="shared" si="43"/>
        <v>114.41935483870968</v>
      </c>
      <c r="K275">
        <f t="shared" si="44"/>
        <v>613.19322580645166</v>
      </c>
      <c r="L275">
        <f t="shared" si="45"/>
        <v>0</v>
      </c>
      <c r="M275" t="str">
        <f t="shared" si="48"/>
        <v>392021</v>
      </c>
      <c r="N275" t="str">
        <f t="shared" si="49"/>
        <v>39-10-2021</v>
      </c>
    </row>
    <row r="276" spans="1:14" x14ac:dyDescent="0.2">
      <c r="A276" s="1">
        <v>44471</v>
      </c>
      <c r="B276">
        <f>IFERROR(INDEX('planning dogs-n-tiger'!B$1:B$30,MATCH($H276,'planning dogs-n-tiger'!$G$1:$G$42,0)),0)</f>
        <v>3547</v>
      </c>
      <c r="C276">
        <f>IFERROR(INDEX('planning dogs-n-tiger'!C$1:C$30,MATCH($H276,'planning dogs-n-tiger'!$G$1:$G$42,0)),0)</f>
        <v>19008.990000000002</v>
      </c>
      <c r="D276">
        <f>IFERROR(INDEX('planning dogs-n-tiger'!D$1:D$30,MATCH($H276,'planning dogs-n-tiger'!$G$1:$G$42,0)),0)</f>
        <v>0</v>
      </c>
      <c r="E276">
        <f t="shared" si="40"/>
        <v>39</v>
      </c>
      <c r="F276">
        <f t="shared" si="41"/>
        <v>10</v>
      </c>
      <c r="G276">
        <f t="shared" si="42"/>
        <v>2021</v>
      </c>
      <c r="H276" t="str">
        <f t="shared" si="46"/>
        <v>102021</v>
      </c>
      <c r="I276">
        <f t="shared" si="47"/>
        <v>31</v>
      </c>
      <c r="J276">
        <f t="shared" si="43"/>
        <v>114.41935483870968</v>
      </c>
      <c r="K276">
        <f t="shared" si="44"/>
        <v>613.19322580645166</v>
      </c>
      <c r="L276">
        <f t="shared" si="45"/>
        <v>0</v>
      </c>
      <c r="M276" t="str">
        <f t="shared" si="48"/>
        <v>392021</v>
      </c>
      <c r="N276" t="str">
        <f t="shared" si="49"/>
        <v>39-10-2021</v>
      </c>
    </row>
    <row r="277" spans="1:14" x14ac:dyDescent="0.2">
      <c r="A277" s="1">
        <v>44472</v>
      </c>
      <c r="B277">
        <f>IFERROR(INDEX('planning dogs-n-tiger'!B$1:B$30,MATCH($H277,'planning dogs-n-tiger'!$G$1:$G$42,0)),0)</f>
        <v>3547</v>
      </c>
      <c r="C277">
        <f>IFERROR(INDEX('planning dogs-n-tiger'!C$1:C$30,MATCH($H277,'planning dogs-n-tiger'!$G$1:$G$42,0)),0)</f>
        <v>19008.990000000002</v>
      </c>
      <c r="D277">
        <f>IFERROR(INDEX('planning dogs-n-tiger'!D$1:D$30,MATCH($H277,'planning dogs-n-tiger'!$G$1:$G$42,0)),0)</f>
        <v>0</v>
      </c>
      <c r="E277">
        <f t="shared" si="40"/>
        <v>39</v>
      </c>
      <c r="F277">
        <f t="shared" si="41"/>
        <v>10</v>
      </c>
      <c r="G277">
        <f t="shared" si="42"/>
        <v>2021</v>
      </c>
      <c r="H277" t="str">
        <f t="shared" si="46"/>
        <v>102021</v>
      </c>
      <c r="I277">
        <f t="shared" si="47"/>
        <v>31</v>
      </c>
      <c r="J277">
        <f t="shared" si="43"/>
        <v>114.41935483870968</v>
      </c>
      <c r="K277">
        <f t="shared" si="44"/>
        <v>613.19322580645166</v>
      </c>
      <c r="L277">
        <f t="shared" si="45"/>
        <v>0</v>
      </c>
      <c r="M277" t="str">
        <f t="shared" si="48"/>
        <v>392021</v>
      </c>
      <c r="N277" t="str">
        <f t="shared" si="49"/>
        <v>39-10-2021</v>
      </c>
    </row>
    <row r="278" spans="1:14" x14ac:dyDescent="0.2">
      <c r="A278" s="1">
        <v>44473</v>
      </c>
      <c r="B278">
        <f>IFERROR(INDEX('planning dogs-n-tiger'!B$1:B$30,MATCH($H278,'planning dogs-n-tiger'!$G$1:$G$42,0)),0)</f>
        <v>3547</v>
      </c>
      <c r="C278">
        <f>IFERROR(INDEX('planning dogs-n-tiger'!C$1:C$30,MATCH($H278,'planning dogs-n-tiger'!$G$1:$G$42,0)),0)</f>
        <v>19008.990000000002</v>
      </c>
      <c r="D278">
        <f>IFERROR(INDEX('planning dogs-n-tiger'!D$1:D$30,MATCH($H278,'planning dogs-n-tiger'!$G$1:$G$42,0)),0)</f>
        <v>0</v>
      </c>
      <c r="E278">
        <f t="shared" si="40"/>
        <v>40</v>
      </c>
      <c r="F278">
        <f t="shared" si="41"/>
        <v>10</v>
      </c>
      <c r="G278">
        <f t="shared" si="42"/>
        <v>2021</v>
      </c>
      <c r="H278" t="str">
        <f t="shared" si="46"/>
        <v>102021</v>
      </c>
      <c r="I278">
        <f t="shared" si="47"/>
        <v>31</v>
      </c>
      <c r="J278">
        <f t="shared" si="43"/>
        <v>114.41935483870968</v>
      </c>
      <c r="K278">
        <f t="shared" si="44"/>
        <v>613.19322580645166</v>
      </c>
      <c r="L278">
        <f t="shared" si="45"/>
        <v>0</v>
      </c>
      <c r="M278" t="str">
        <f t="shared" si="48"/>
        <v>402021</v>
      </c>
      <c r="N278" t="str">
        <f t="shared" si="49"/>
        <v>40-10-2021</v>
      </c>
    </row>
    <row r="279" spans="1:14" x14ac:dyDescent="0.2">
      <c r="A279" s="1">
        <v>44474</v>
      </c>
      <c r="B279">
        <f>IFERROR(INDEX('planning dogs-n-tiger'!B$1:B$30,MATCH($H279,'planning dogs-n-tiger'!$G$1:$G$42,0)),0)</f>
        <v>3547</v>
      </c>
      <c r="C279">
        <f>IFERROR(INDEX('planning dogs-n-tiger'!C$1:C$30,MATCH($H279,'planning dogs-n-tiger'!$G$1:$G$42,0)),0)</f>
        <v>19008.990000000002</v>
      </c>
      <c r="D279">
        <f>IFERROR(INDEX('planning dogs-n-tiger'!D$1:D$30,MATCH($H279,'planning dogs-n-tiger'!$G$1:$G$42,0)),0)</f>
        <v>0</v>
      </c>
      <c r="E279">
        <f t="shared" si="40"/>
        <v>40</v>
      </c>
      <c r="F279">
        <f t="shared" si="41"/>
        <v>10</v>
      </c>
      <c r="G279">
        <f t="shared" si="42"/>
        <v>2021</v>
      </c>
      <c r="H279" t="str">
        <f t="shared" si="46"/>
        <v>102021</v>
      </c>
      <c r="I279">
        <f t="shared" si="47"/>
        <v>31</v>
      </c>
      <c r="J279">
        <f t="shared" si="43"/>
        <v>114.41935483870968</v>
      </c>
      <c r="K279">
        <f t="shared" si="44"/>
        <v>613.19322580645166</v>
      </c>
      <c r="L279">
        <f t="shared" si="45"/>
        <v>0</v>
      </c>
      <c r="M279" t="str">
        <f t="shared" si="48"/>
        <v>402021</v>
      </c>
      <c r="N279" t="str">
        <f t="shared" si="49"/>
        <v>40-10-2021</v>
      </c>
    </row>
    <row r="280" spans="1:14" x14ac:dyDescent="0.2">
      <c r="A280" s="1">
        <v>44475</v>
      </c>
      <c r="B280">
        <f>IFERROR(INDEX('planning dogs-n-tiger'!B$1:B$30,MATCH($H280,'planning dogs-n-tiger'!$G$1:$G$42,0)),0)</f>
        <v>3547</v>
      </c>
      <c r="C280">
        <f>IFERROR(INDEX('planning dogs-n-tiger'!C$1:C$30,MATCH($H280,'planning dogs-n-tiger'!$G$1:$G$42,0)),0)</f>
        <v>19008.990000000002</v>
      </c>
      <c r="D280">
        <f>IFERROR(INDEX('planning dogs-n-tiger'!D$1:D$30,MATCH($H280,'planning dogs-n-tiger'!$G$1:$G$42,0)),0)</f>
        <v>0</v>
      </c>
      <c r="E280">
        <f t="shared" si="40"/>
        <v>40</v>
      </c>
      <c r="F280">
        <f t="shared" si="41"/>
        <v>10</v>
      </c>
      <c r="G280">
        <f t="shared" si="42"/>
        <v>2021</v>
      </c>
      <c r="H280" t="str">
        <f t="shared" si="46"/>
        <v>102021</v>
      </c>
      <c r="I280">
        <f t="shared" si="47"/>
        <v>31</v>
      </c>
      <c r="J280">
        <f t="shared" si="43"/>
        <v>114.41935483870968</v>
      </c>
      <c r="K280">
        <f t="shared" si="44"/>
        <v>613.19322580645166</v>
      </c>
      <c r="L280">
        <f t="shared" si="45"/>
        <v>0</v>
      </c>
      <c r="M280" t="str">
        <f t="shared" si="48"/>
        <v>402021</v>
      </c>
      <c r="N280" t="str">
        <f t="shared" si="49"/>
        <v>40-10-2021</v>
      </c>
    </row>
    <row r="281" spans="1:14" x14ac:dyDescent="0.2">
      <c r="A281" s="1">
        <v>44476</v>
      </c>
      <c r="B281">
        <f>IFERROR(INDEX('planning dogs-n-tiger'!B$1:B$30,MATCH($H281,'planning dogs-n-tiger'!$G$1:$G$42,0)),0)</f>
        <v>3547</v>
      </c>
      <c r="C281">
        <f>IFERROR(INDEX('planning dogs-n-tiger'!C$1:C$30,MATCH($H281,'planning dogs-n-tiger'!$G$1:$G$42,0)),0)</f>
        <v>19008.990000000002</v>
      </c>
      <c r="D281">
        <f>IFERROR(INDEX('planning dogs-n-tiger'!D$1:D$30,MATCH($H281,'planning dogs-n-tiger'!$G$1:$G$42,0)),0)</f>
        <v>0</v>
      </c>
      <c r="E281">
        <f t="shared" si="40"/>
        <v>40</v>
      </c>
      <c r="F281">
        <f t="shared" si="41"/>
        <v>10</v>
      </c>
      <c r="G281">
        <f t="shared" si="42"/>
        <v>2021</v>
      </c>
      <c r="H281" t="str">
        <f t="shared" si="46"/>
        <v>102021</v>
      </c>
      <c r="I281">
        <f t="shared" si="47"/>
        <v>31</v>
      </c>
      <c r="J281">
        <f t="shared" si="43"/>
        <v>114.41935483870968</v>
      </c>
      <c r="K281">
        <f t="shared" si="44"/>
        <v>613.19322580645166</v>
      </c>
      <c r="L281">
        <f t="shared" si="45"/>
        <v>0</v>
      </c>
      <c r="M281" t="str">
        <f t="shared" si="48"/>
        <v>402021</v>
      </c>
      <c r="N281" t="str">
        <f t="shared" si="49"/>
        <v>40-10-2021</v>
      </c>
    </row>
    <row r="282" spans="1:14" x14ac:dyDescent="0.2">
      <c r="A282" s="1">
        <v>44477</v>
      </c>
      <c r="B282">
        <f>IFERROR(INDEX('planning dogs-n-tiger'!B$1:B$30,MATCH($H282,'planning dogs-n-tiger'!$G$1:$G$42,0)),0)</f>
        <v>3547</v>
      </c>
      <c r="C282">
        <f>IFERROR(INDEX('planning dogs-n-tiger'!C$1:C$30,MATCH($H282,'planning dogs-n-tiger'!$G$1:$G$42,0)),0)</f>
        <v>19008.990000000002</v>
      </c>
      <c r="D282">
        <f>IFERROR(INDEX('planning dogs-n-tiger'!D$1:D$30,MATCH($H282,'planning dogs-n-tiger'!$G$1:$G$42,0)),0)</f>
        <v>0</v>
      </c>
      <c r="E282">
        <f t="shared" si="40"/>
        <v>40</v>
      </c>
      <c r="F282">
        <f t="shared" si="41"/>
        <v>10</v>
      </c>
      <c r="G282">
        <f t="shared" si="42"/>
        <v>2021</v>
      </c>
      <c r="H282" t="str">
        <f t="shared" si="46"/>
        <v>102021</v>
      </c>
      <c r="I282">
        <f t="shared" si="47"/>
        <v>31</v>
      </c>
      <c r="J282">
        <f t="shared" si="43"/>
        <v>114.41935483870968</v>
      </c>
      <c r="K282">
        <f t="shared" si="44"/>
        <v>613.19322580645166</v>
      </c>
      <c r="L282">
        <f t="shared" si="45"/>
        <v>0</v>
      </c>
      <c r="M282" t="str">
        <f t="shared" si="48"/>
        <v>402021</v>
      </c>
      <c r="N282" t="str">
        <f t="shared" si="49"/>
        <v>40-10-2021</v>
      </c>
    </row>
    <row r="283" spans="1:14" x14ac:dyDescent="0.2">
      <c r="A283" s="1">
        <v>44478</v>
      </c>
      <c r="B283">
        <f>IFERROR(INDEX('planning dogs-n-tiger'!B$1:B$30,MATCH($H283,'planning dogs-n-tiger'!$G$1:$G$42,0)),0)</f>
        <v>3547</v>
      </c>
      <c r="C283">
        <f>IFERROR(INDEX('planning dogs-n-tiger'!C$1:C$30,MATCH($H283,'planning dogs-n-tiger'!$G$1:$G$42,0)),0)</f>
        <v>19008.990000000002</v>
      </c>
      <c r="D283">
        <f>IFERROR(INDEX('planning dogs-n-tiger'!D$1:D$30,MATCH($H283,'planning dogs-n-tiger'!$G$1:$G$42,0)),0)</f>
        <v>0</v>
      </c>
      <c r="E283">
        <f t="shared" si="40"/>
        <v>40</v>
      </c>
      <c r="F283">
        <f t="shared" si="41"/>
        <v>10</v>
      </c>
      <c r="G283">
        <f t="shared" si="42"/>
        <v>2021</v>
      </c>
      <c r="H283" t="str">
        <f t="shared" si="46"/>
        <v>102021</v>
      </c>
      <c r="I283">
        <f t="shared" si="47"/>
        <v>31</v>
      </c>
      <c r="J283">
        <f t="shared" si="43"/>
        <v>114.41935483870968</v>
      </c>
      <c r="K283">
        <f t="shared" si="44"/>
        <v>613.19322580645166</v>
      </c>
      <c r="L283">
        <f t="shared" si="45"/>
        <v>0</v>
      </c>
      <c r="M283" t="str">
        <f t="shared" si="48"/>
        <v>402021</v>
      </c>
      <c r="N283" t="str">
        <f t="shared" si="49"/>
        <v>40-10-2021</v>
      </c>
    </row>
    <row r="284" spans="1:14" x14ac:dyDescent="0.2">
      <c r="A284" s="1">
        <v>44479</v>
      </c>
      <c r="B284">
        <f>IFERROR(INDEX('planning dogs-n-tiger'!B$1:B$30,MATCH($H284,'planning dogs-n-tiger'!$G$1:$G$42,0)),0)</f>
        <v>3547</v>
      </c>
      <c r="C284">
        <f>IFERROR(INDEX('planning dogs-n-tiger'!C$1:C$30,MATCH($H284,'planning dogs-n-tiger'!$G$1:$G$42,0)),0)</f>
        <v>19008.990000000002</v>
      </c>
      <c r="D284">
        <f>IFERROR(INDEX('planning dogs-n-tiger'!D$1:D$30,MATCH($H284,'planning dogs-n-tiger'!$G$1:$G$42,0)),0)</f>
        <v>0</v>
      </c>
      <c r="E284">
        <f t="shared" si="40"/>
        <v>40</v>
      </c>
      <c r="F284">
        <f t="shared" si="41"/>
        <v>10</v>
      </c>
      <c r="G284">
        <f t="shared" si="42"/>
        <v>2021</v>
      </c>
      <c r="H284" t="str">
        <f t="shared" si="46"/>
        <v>102021</v>
      </c>
      <c r="I284">
        <f t="shared" si="47"/>
        <v>31</v>
      </c>
      <c r="J284">
        <f t="shared" si="43"/>
        <v>114.41935483870968</v>
      </c>
      <c r="K284">
        <f t="shared" si="44"/>
        <v>613.19322580645166</v>
      </c>
      <c r="L284">
        <f t="shared" si="45"/>
        <v>0</v>
      </c>
      <c r="M284" t="str">
        <f t="shared" si="48"/>
        <v>402021</v>
      </c>
      <c r="N284" t="str">
        <f t="shared" si="49"/>
        <v>40-10-2021</v>
      </c>
    </row>
    <row r="285" spans="1:14" x14ac:dyDescent="0.2">
      <c r="A285" s="1">
        <v>44480</v>
      </c>
      <c r="B285">
        <f>IFERROR(INDEX('planning dogs-n-tiger'!B$1:B$30,MATCH($H285,'planning dogs-n-tiger'!$G$1:$G$42,0)),0)</f>
        <v>3547</v>
      </c>
      <c r="C285">
        <f>IFERROR(INDEX('planning dogs-n-tiger'!C$1:C$30,MATCH($H285,'planning dogs-n-tiger'!$G$1:$G$42,0)),0)</f>
        <v>19008.990000000002</v>
      </c>
      <c r="D285">
        <f>IFERROR(INDEX('planning dogs-n-tiger'!D$1:D$30,MATCH($H285,'planning dogs-n-tiger'!$G$1:$G$42,0)),0)</f>
        <v>0</v>
      </c>
      <c r="E285">
        <f t="shared" si="40"/>
        <v>41</v>
      </c>
      <c r="F285">
        <f t="shared" si="41"/>
        <v>10</v>
      </c>
      <c r="G285">
        <f t="shared" si="42"/>
        <v>2021</v>
      </c>
      <c r="H285" t="str">
        <f t="shared" si="46"/>
        <v>102021</v>
      </c>
      <c r="I285">
        <f t="shared" si="47"/>
        <v>31</v>
      </c>
      <c r="J285">
        <f t="shared" si="43"/>
        <v>114.41935483870968</v>
      </c>
      <c r="K285">
        <f t="shared" si="44"/>
        <v>613.19322580645166</v>
      </c>
      <c r="L285">
        <f t="shared" si="45"/>
        <v>0</v>
      </c>
      <c r="M285" t="str">
        <f t="shared" si="48"/>
        <v>412021</v>
      </c>
      <c r="N285" t="str">
        <f t="shared" si="49"/>
        <v>41-10-2021</v>
      </c>
    </row>
    <row r="286" spans="1:14" x14ac:dyDescent="0.2">
      <c r="A286" s="1">
        <v>44481</v>
      </c>
      <c r="B286">
        <f>IFERROR(INDEX('planning dogs-n-tiger'!B$1:B$30,MATCH($H286,'planning dogs-n-tiger'!$G$1:$G$42,0)),0)</f>
        <v>3547</v>
      </c>
      <c r="C286">
        <f>IFERROR(INDEX('planning dogs-n-tiger'!C$1:C$30,MATCH($H286,'planning dogs-n-tiger'!$G$1:$G$42,0)),0)</f>
        <v>19008.990000000002</v>
      </c>
      <c r="D286">
        <f>IFERROR(INDEX('planning dogs-n-tiger'!D$1:D$30,MATCH($H286,'planning dogs-n-tiger'!$G$1:$G$42,0)),0)</f>
        <v>0</v>
      </c>
      <c r="E286">
        <f t="shared" si="40"/>
        <v>41</v>
      </c>
      <c r="F286">
        <f t="shared" si="41"/>
        <v>10</v>
      </c>
      <c r="G286">
        <f t="shared" si="42"/>
        <v>2021</v>
      </c>
      <c r="H286" t="str">
        <f t="shared" si="46"/>
        <v>102021</v>
      </c>
      <c r="I286">
        <f t="shared" si="47"/>
        <v>31</v>
      </c>
      <c r="J286">
        <f t="shared" si="43"/>
        <v>114.41935483870968</v>
      </c>
      <c r="K286">
        <f t="shared" si="44"/>
        <v>613.19322580645166</v>
      </c>
      <c r="L286">
        <f t="shared" si="45"/>
        <v>0</v>
      </c>
      <c r="M286" t="str">
        <f t="shared" si="48"/>
        <v>412021</v>
      </c>
      <c r="N286" t="str">
        <f t="shared" si="49"/>
        <v>41-10-2021</v>
      </c>
    </row>
    <row r="287" spans="1:14" x14ac:dyDescent="0.2">
      <c r="A287" s="1">
        <v>44482</v>
      </c>
      <c r="B287">
        <f>IFERROR(INDEX('planning dogs-n-tiger'!B$1:B$30,MATCH($H287,'planning dogs-n-tiger'!$G$1:$G$42,0)),0)</f>
        <v>3547</v>
      </c>
      <c r="C287">
        <f>IFERROR(INDEX('planning dogs-n-tiger'!C$1:C$30,MATCH($H287,'planning dogs-n-tiger'!$G$1:$G$42,0)),0)</f>
        <v>19008.990000000002</v>
      </c>
      <c r="D287">
        <f>IFERROR(INDEX('planning dogs-n-tiger'!D$1:D$30,MATCH($H287,'planning dogs-n-tiger'!$G$1:$G$42,0)),0)</f>
        <v>0</v>
      </c>
      <c r="E287">
        <f t="shared" si="40"/>
        <v>41</v>
      </c>
      <c r="F287">
        <f t="shared" si="41"/>
        <v>10</v>
      </c>
      <c r="G287">
        <f t="shared" si="42"/>
        <v>2021</v>
      </c>
      <c r="H287" t="str">
        <f t="shared" si="46"/>
        <v>102021</v>
      </c>
      <c r="I287">
        <f t="shared" si="47"/>
        <v>31</v>
      </c>
      <c r="J287">
        <f t="shared" si="43"/>
        <v>114.41935483870968</v>
      </c>
      <c r="K287">
        <f t="shared" si="44"/>
        <v>613.19322580645166</v>
      </c>
      <c r="L287">
        <f t="shared" si="45"/>
        <v>0</v>
      </c>
      <c r="M287" t="str">
        <f t="shared" si="48"/>
        <v>412021</v>
      </c>
      <c r="N287" t="str">
        <f t="shared" si="49"/>
        <v>41-10-2021</v>
      </c>
    </row>
    <row r="288" spans="1:14" x14ac:dyDescent="0.2">
      <c r="A288" s="1">
        <v>44483</v>
      </c>
      <c r="B288">
        <f>IFERROR(INDEX('planning dogs-n-tiger'!B$1:B$30,MATCH($H288,'planning dogs-n-tiger'!$G$1:$G$42,0)),0)</f>
        <v>3547</v>
      </c>
      <c r="C288">
        <f>IFERROR(INDEX('planning dogs-n-tiger'!C$1:C$30,MATCH($H288,'planning dogs-n-tiger'!$G$1:$G$42,0)),0)</f>
        <v>19008.990000000002</v>
      </c>
      <c r="D288">
        <f>IFERROR(INDEX('planning dogs-n-tiger'!D$1:D$30,MATCH($H288,'planning dogs-n-tiger'!$G$1:$G$42,0)),0)</f>
        <v>0</v>
      </c>
      <c r="E288">
        <f t="shared" si="40"/>
        <v>41</v>
      </c>
      <c r="F288">
        <f t="shared" si="41"/>
        <v>10</v>
      </c>
      <c r="G288">
        <f t="shared" si="42"/>
        <v>2021</v>
      </c>
      <c r="H288" t="str">
        <f t="shared" si="46"/>
        <v>102021</v>
      </c>
      <c r="I288">
        <f t="shared" si="47"/>
        <v>31</v>
      </c>
      <c r="J288">
        <f t="shared" si="43"/>
        <v>114.41935483870968</v>
      </c>
      <c r="K288">
        <f t="shared" si="44"/>
        <v>613.19322580645166</v>
      </c>
      <c r="L288">
        <f t="shared" si="45"/>
        <v>0</v>
      </c>
      <c r="M288" t="str">
        <f t="shared" si="48"/>
        <v>412021</v>
      </c>
      <c r="N288" t="str">
        <f t="shared" si="49"/>
        <v>41-10-2021</v>
      </c>
    </row>
    <row r="289" spans="1:14" x14ac:dyDescent="0.2">
      <c r="A289" s="1">
        <v>44484</v>
      </c>
      <c r="B289">
        <f>IFERROR(INDEX('planning dogs-n-tiger'!B$1:B$30,MATCH($H289,'planning dogs-n-tiger'!$G$1:$G$42,0)),0)</f>
        <v>3547</v>
      </c>
      <c r="C289">
        <f>IFERROR(INDEX('planning dogs-n-tiger'!C$1:C$30,MATCH($H289,'planning dogs-n-tiger'!$G$1:$G$42,0)),0)</f>
        <v>19008.990000000002</v>
      </c>
      <c r="D289">
        <f>IFERROR(INDEX('planning dogs-n-tiger'!D$1:D$30,MATCH($H289,'planning dogs-n-tiger'!$G$1:$G$42,0)),0)</f>
        <v>0</v>
      </c>
      <c r="E289">
        <f t="shared" si="40"/>
        <v>41</v>
      </c>
      <c r="F289">
        <f t="shared" si="41"/>
        <v>10</v>
      </c>
      <c r="G289">
        <f t="shared" si="42"/>
        <v>2021</v>
      </c>
      <c r="H289" t="str">
        <f t="shared" si="46"/>
        <v>102021</v>
      </c>
      <c r="I289">
        <f t="shared" si="47"/>
        <v>31</v>
      </c>
      <c r="J289">
        <f t="shared" si="43"/>
        <v>114.41935483870968</v>
      </c>
      <c r="K289">
        <f t="shared" si="44"/>
        <v>613.19322580645166</v>
      </c>
      <c r="L289">
        <f t="shared" si="45"/>
        <v>0</v>
      </c>
      <c r="M289" t="str">
        <f t="shared" si="48"/>
        <v>412021</v>
      </c>
      <c r="N289" t="str">
        <f t="shared" si="49"/>
        <v>41-10-2021</v>
      </c>
    </row>
    <row r="290" spans="1:14" x14ac:dyDescent="0.2">
      <c r="A290" s="1">
        <v>44485</v>
      </c>
      <c r="B290">
        <f>IFERROR(INDEX('planning dogs-n-tiger'!B$1:B$30,MATCH($H290,'planning dogs-n-tiger'!$G$1:$G$42,0)),0)</f>
        <v>3547</v>
      </c>
      <c r="C290">
        <f>IFERROR(INDEX('planning dogs-n-tiger'!C$1:C$30,MATCH($H290,'planning dogs-n-tiger'!$G$1:$G$42,0)),0)</f>
        <v>19008.990000000002</v>
      </c>
      <c r="D290">
        <f>IFERROR(INDEX('planning dogs-n-tiger'!D$1:D$30,MATCH($H290,'planning dogs-n-tiger'!$G$1:$G$42,0)),0)</f>
        <v>0</v>
      </c>
      <c r="E290">
        <f t="shared" si="40"/>
        <v>41</v>
      </c>
      <c r="F290">
        <f t="shared" si="41"/>
        <v>10</v>
      </c>
      <c r="G290">
        <f t="shared" si="42"/>
        <v>2021</v>
      </c>
      <c r="H290" t="str">
        <f t="shared" si="46"/>
        <v>102021</v>
      </c>
      <c r="I290">
        <f t="shared" si="47"/>
        <v>31</v>
      </c>
      <c r="J290">
        <f t="shared" si="43"/>
        <v>114.41935483870968</v>
      </c>
      <c r="K290">
        <f t="shared" si="44"/>
        <v>613.19322580645166</v>
      </c>
      <c r="L290">
        <f t="shared" si="45"/>
        <v>0</v>
      </c>
      <c r="M290" t="str">
        <f t="shared" si="48"/>
        <v>412021</v>
      </c>
      <c r="N290" t="str">
        <f t="shared" si="49"/>
        <v>41-10-2021</v>
      </c>
    </row>
    <row r="291" spans="1:14" x14ac:dyDescent="0.2">
      <c r="A291" s="1">
        <v>44486</v>
      </c>
      <c r="B291">
        <f>IFERROR(INDEX('planning dogs-n-tiger'!B$1:B$30,MATCH($H291,'planning dogs-n-tiger'!$G$1:$G$42,0)),0)</f>
        <v>3547</v>
      </c>
      <c r="C291">
        <f>IFERROR(INDEX('planning dogs-n-tiger'!C$1:C$30,MATCH($H291,'planning dogs-n-tiger'!$G$1:$G$42,0)),0)</f>
        <v>19008.990000000002</v>
      </c>
      <c r="D291">
        <f>IFERROR(INDEX('planning dogs-n-tiger'!D$1:D$30,MATCH($H291,'planning dogs-n-tiger'!$G$1:$G$42,0)),0)</f>
        <v>0</v>
      </c>
      <c r="E291">
        <f t="shared" si="40"/>
        <v>41</v>
      </c>
      <c r="F291">
        <f t="shared" si="41"/>
        <v>10</v>
      </c>
      <c r="G291">
        <f t="shared" si="42"/>
        <v>2021</v>
      </c>
      <c r="H291" t="str">
        <f t="shared" si="46"/>
        <v>102021</v>
      </c>
      <c r="I291">
        <f t="shared" si="47"/>
        <v>31</v>
      </c>
      <c r="J291">
        <f t="shared" si="43"/>
        <v>114.41935483870968</v>
      </c>
      <c r="K291">
        <f t="shared" si="44"/>
        <v>613.19322580645166</v>
      </c>
      <c r="L291">
        <f t="shared" si="45"/>
        <v>0</v>
      </c>
      <c r="M291" t="str">
        <f t="shared" si="48"/>
        <v>412021</v>
      </c>
      <c r="N291" t="str">
        <f t="shared" si="49"/>
        <v>41-10-2021</v>
      </c>
    </row>
    <row r="292" spans="1:14" x14ac:dyDescent="0.2">
      <c r="A292" s="1">
        <v>44487</v>
      </c>
      <c r="B292">
        <f>IFERROR(INDEX('planning dogs-n-tiger'!B$1:B$30,MATCH($H292,'planning dogs-n-tiger'!$G$1:$G$42,0)),0)</f>
        <v>3547</v>
      </c>
      <c r="C292">
        <f>IFERROR(INDEX('planning dogs-n-tiger'!C$1:C$30,MATCH($H292,'planning dogs-n-tiger'!$G$1:$G$42,0)),0)</f>
        <v>19008.990000000002</v>
      </c>
      <c r="D292">
        <f>IFERROR(INDEX('planning dogs-n-tiger'!D$1:D$30,MATCH($H292,'planning dogs-n-tiger'!$G$1:$G$42,0)),0)</f>
        <v>0</v>
      </c>
      <c r="E292">
        <f t="shared" si="40"/>
        <v>42</v>
      </c>
      <c r="F292">
        <f t="shared" si="41"/>
        <v>10</v>
      </c>
      <c r="G292">
        <f t="shared" si="42"/>
        <v>2021</v>
      </c>
      <c r="H292" t="str">
        <f t="shared" si="46"/>
        <v>102021</v>
      </c>
      <c r="I292">
        <f t="shared" si="47"/>
        <v>31</v>
      </c>
      <c r="J292">
        <f t="shared" si="43"/>
        <v>114.41935483870968</v>
      </c>
      <c r="K292">
        <f t="shared" si="44"/>
        <v>613.19322580645166</v>
      </c>
      <c r="L292">
        <f t="shared" si="45"/>
        <v>0</v>
      </c>
      <c r="M292" t="str">
        <f t="shared" si="48"/>
        <v>422021</v>
      </c>
      <c r="N292" t="str">
        <f t="shared" si="49"/>
        <v>42-10-2021</v>
      </c>
    </row>
    <row r="293" spans="1:14" x14ac:dyDescent="0.2">
      <c r="A293" s="1">
        <v>44488</v>
      </c>
      <c r="B293">
        <f>IFERROR(INDEX('planning dogs-n-tiger'!B$1:B$30,MATCH($H293,'planning dogs-n-tiger'!$G$1:$G$42,0)),0)</f>
        <v>3547</v>
      </c>
      <c r="C293">
        <f>IFERROR(INDEX('planning dogs-n-tiger'!C$1:C$30,MATCH($H293,'planning dogs-n-tiger'!$G$1:$G$42,0)),0)</f>
        <v>19008.990000000002</v>
      </c>
      <c r="D293">
        <f>IFERROR(INDEX('planning dogs-n-tiger'!D$1:D$30,MATCH($H293,'planning dogs-n-tiger'!$G$1:$G$42,0)),0)</f>
        <v>0</v>
      </c>
      <c r="E293">
        <f t="shared" si="40"/>
        <v>42</v>
      </c>
      <c r="F293">
        <f t="shared" si="41"/>
        <v>10</v>
      </c>
      <c r="G293">
        <f t="shared" si="42"/>
        <v>2021</v>
      </c>
      <c r="H293" t="str">
        <f t="shared" si="46"/>
        <v>102021</v>
      </c>
      <c r="I293">
        <f t="shared" si="47"/>
        <v>31</v>
      </c>
      <c r="J293">
        <f t="shared" si="43"/>
        <v>114.41935483870968</v>
      </c>
      <c r="K293">
        <f t="shared" si="44"/>
        <v>613.19322580645166</v>
      </c>
      <c r="L293">
        <f t="shared" si="45"/>
        <v>0</v>
      </c>
      <c r="M293" t="str">
        <f t="shared" si="48"/>
        <v>422021</v>
      </c>
      <c r="N293" t="str">
        <f t="shared" si="49"/>
        <v>42-10-2021</v>
      </c>
    </row>
    <row r="294" spans="1:14" x14ac:dyDescent="0.2">
      <c r="A294" s="1">
        <v>44489</v>
      </c>
      <c r="B294">
        <f>IFERROR(INDEX('planning dogs-n-tiger'!B$1:B$30,MATCH($H294,'planning dogs-n-tiger'!$G$1:$G$42,0)),0)</f>
        <v>3547</v>
      </c>
      <c r="C294">
        <f>IFERROR(INDEX('planning dogs-n-tiger'!C$1:C$30,MATCH($H294,'planning dogs-n-tiger'!$G$1:$G$42,0)),0)</f>
        <v>19008.990000000002</v>
      </c>
      <c r="D294">
        <f>IFERROR(INDEX('planning dogs-n-tiger'!D$1:D$30,MATCH($H294,'planning dogs-n-tiger'!$G$1:$G$42,0)),0)</f>
        <v>0</v>
      </c>
      <c r="E294">
        <f t="shared" si="40"/>
        <v>42</v>
      </c>
      <c r="F294">
        <f t="shared" si="41"/>
        <v>10</v>
      </c>
      <c r="G294">
        <f t="shared" si="42"/>
        <v>2021</v>
      </c>
      <c r="H294" t="str">
        <f t="shared" si="46"/>
        <v>102021</v>
      </c>
      <c r="I294">
        <f t="shared" si="47"/>
        <v>31</v>
      </c>
      <c r="J294">
        <f t="shared" si="43"/>
        <v>114.41935483870968</v>
      </c>
      <c r="K294">
        <f t="shared" si="44"/>
        <v>613.19322580645166</v>
      </c>
      <c r="L294">
        <f t="shared" si="45"/>
        <v>0</v>
      </c>
      <c r="M294" t="str">
        <f t="shared" si="48"/>
        <v>422021</v>
      </c>
      <c r="N294" t="str">
        <f t="shared" si="49"/>
        <v>42-10-2021</v>
      </c>
    </row>
    <row r="295" spans="1:14" x14ac:dyDescent="0.2">
      <c r="A295" s="1">
        <v>44490</v>
      </c>
      <c r="B295">
        <f>IFERROR(INDEX('planning dogs-n-tiger'!B$1:B$30,MATCH($H295,'planning dogs-n-tiger'!$G$1:$G$42,0)),0)</f>
        <v>3547</v>
      </c>
      <c r="C295">
        <f>IFERROR(INDEX('planning dogs-n-tiger'!C$1:C$30,MATCH($H295,'planning dogs-n-tiger'!$G$1:$G$42,0)),0)</f>
        <v>19008.990000000002</v>
      </c>
      <c r="D295">
        <f>IFERROR(INDEX('planning dogs-n-tiger'!D$1:D$30,MATCH($H295,'planning dogs-n-tiger'!$G$1:$G$42,0)),0)</f>
        <v>0</v>
      </c>
      <c r="E295">
        <f t="shared" si="40"/>
        <v>42</v>
      </c>
      <c r="F295">
        <f t="shared" si="41"/>
        <v>10</v>
      </c>
      <c r="G295">
        <f t="shared" si="42"/>
        <v>2021</v>
      </c>
      <c r="H295" t="str">
        <f t="shared" si="46"/>
        <v>102021</v>
      </c>
      <c r="I295">
        <f t="shared" si="47"/>
        <v>31</v>
      </c>
      <c r="J295">
        <f t="shared" si="43"/>
        <v>114.41935483870968</v>
      </c>
      <c r="K295">
        <f t="shared" si="44"/>
        <v>613.19322580645166</v>
      </c>
      <c r="L295">
        <f t="shared" si="45"/>
        <v>0</v>
      </c>
      <c r="M295" t="str">
        <f t="shared" si="48"/>
        <v>422021</v>
      </c>
      <c r="N295" t="str">
        <f t="shared" si="49"/>
        <v>42-10-2021</v>
      </c>
    </row>
    <row r="296" spans="1:14" x14ac:dyDescent="0.2">
      <c r="A296" s="1">
        <v>44491</v>
      </c>
      <c r="B296">
        <f>IFERROR(INDEX('planning dogs-n-tiger'!B$1:B$30,MATCH($H296,'planning dogs-n-tiger'!$G$1:$G$42,0)),0)</f>
        <v>3547</v>
      </c>
      <c r="C296">
        <f>IFERROR(INDEX('planning dogs-n-tiger'!C$1:C$30,MATCH($H296,'planning dogs-n-tiger'!$G$1:$G$42,0)),0)</f>
        <v>19008.990000000002</v>
      </c>
      <c r="D296">
        <f>IFERROR(INDEX('planning dogs-n-tiger'!D$1:D$30,MATCH($H296,'planning dogs-n-tiger'!$G$1:$G$42,0)),0)</f>
        <v>0</v>
      </c>
      <c r="E296">
        <f t="shared" si="40"/>
        <v>42</v>
      </c>
      <c r="F296">
        <f t="shared" si="41"/>
        <v>10</v>
      </c>
      <c r="G296">
        <f t="shared" si="42"/>
        <v>2021</v>
      </c>
      <c r="H296" t="str">
        <f t="shared" si="46"/>
        <v>102021</v>
      </c>
      <c r="I296">
        <f t="shared" si="47"/>
        <v>31</v>
      </c>
      <c r="J296">
        <f t="shared" si="43"/>
        <v>114.41935483870968</v>
      </c>
      <c r="K296">
        <f t="shared" si="44"/>
        <v>613.19322580645166</v>
      </c>
      <c r="L296">
        <f t="shared" si="45"/>
        <v>0</v>
      </c>
      <c r="M296" t="str">
        <f t="shared" si="48"/>
        <v>422021</v>
      </c>
      <c r="N296" t="str">
        <f t="shared" si="49"/>
        <v>42-10-2021</v>
      </c>
    </row>
    <row r="297" spans="1:14" x14ac:dyDescent="0.2">
      <c r="A297" s="1">
        <v>44492</v>
      </c>
      <c r="B297">
        <f>IFERROR(INDEX('planning dogs-n-tiger'!B$1:B$30,MATCH($H297,'planning dogs-n-tiger'!$G$1:$G$42,0)),0)</f>
        <v>3547</v>
      </c>
      <c r="C297">
        <f>IFERROR(INDEX('planning dogs-n-tiger'!C$1:C$30,MATCH($H297,'planning dogs-n-tiger'!$G$1:$G$42,0)),0)</f>
        <v>19008.990000000002</v>
      </c>
      <c r="D297">
        <f>IFERROR(INDEX('planning dogs-n-tiger'!D$1:D$30,MATCH($H297,'planning dogs-n-tiger'!$G$1:$G$42,0)),0)</f>
        <v>0</v>
      </c>
      <c r="E297">
        <f t="shared" si="40"/>
        <v>42</v>
      </c>
      <c r="F297">
        <f t="shared" si="41"/>
        <v>10</v>
      </c>
      <c r="G297">
        <f t="shared" si="42"/>
        <v>2021</v>
      </c>
      <c r="H297" t="str">
        <f t="shared" si="46"/>
        <v>102021</v>
      </c>
      <c r="I297">
        <f t="shared" si="47"/>
        <v>31</v>
      </c>
      <c r="J297">
        <f t="shared" si="43"/>
        <v>114.41935483870968</v>
      </c>
      <c r="K297">
        <f t="shared" si="44"/>
        <v>613.19322580645166</v>
      </c>
      <c r="L297">
        <f t="shared" si="45"/>
        <v>0</v>
      </c>
      <c r="M297" t="str">
        <f t="shared" si="48"/>
        <v>422021</v>
      </c>
      <c r="N297" t="str">
        <f t="shared" si="49"/>
        <v>42-10-2021</v>
      </c>
    </row>
    <row r="298" spans="1:14" x14ac:dyDescent="0.2">
      <c r="A298" s="1">
        <v>44493</v>
      </c>
      <c r="B298">
        <f>IFERROR(INDEX('planning dogs-n-tiger'!B$1:B$30,MATCH($H298,'planning dogs-n-tiger'!$G$1:$G$42,0)),0)</f>
        <v>3547</v>
      </c>
      <c r="C298">
        <f>IFERROR(INDEX('planning dogs-n-tiger'!C$1:C$30,MATCH($H298,'planning dogs-n-tiger'!$G$1:$G$42,0)),0)</f>
        <v>19008.990000000002</v>
      </c>
      <c r="D298">
        <f>IFERROR(INDEX('planning dogs-n-tiger'!D$1:D$30,MATCH($H298,'planning dogs-n-tiger'!$G$1:$G$42,0)),0)</f>
        <v>0</v>
      </c>
      <c r="E298">
        <f t="shared" si="40"/>
        <v>42</v>
      </c>
      <c r="F298">
        <f t="shared" si="41"/>
        <v>10</v>
      </c>
      <c r="G298">
        <f t="shared" si="42"/>
        <v>2021</v>
      </c>
      <c r="H298" t="str">
        <f t="shared" si="46"/>
        <v>102021</v>
      </c>
      <c r="I298">
        <f t="shared" si="47"/>
        <v>31</v>
      </c>
      <c r="J298">
        <f t="shared" si="43"/>
        <v>114.41935483870968</v>
      </c>
      <c r="K298">
        <f t="shared" si="44"/>
        <v>613.19322580645166</v>
      </c>
      <c r="L298">
        <f t="shared" si="45"/>
        <v>0</v>
      </c>
      <c r="M298" t="str">
        <f t="shared" si="48"/>
        <v>422021</v>
      </c>
      <c r="N298" t="str">
        <f t="shared" si="49"/>
        <v>42-10-2021</v>
      </c>
    </row>
    <row r="299" spans="1:14" x14ac:dyDescent="0.2">
      <c r="A299" s="1">
        <v>44494</v>
      </c>
      <c r="B299">
        <f>IFERROR(INDEX('planning dogs-n-tiger'!B$1:B$30,MATCH($H299,'planning dogs-n-tiger'!$G$1:$G$42,0)),0)</f>
        <v>3547</v>
      </c>
      <c r="C299">
        <f>IFERROR(INDEX('planning dogs-n-tiger'!C$1:C$30,MATCH($H299,'planning dogs-n-tiger'!$G$1:$G$42,0)),0)</f>
        <v>19008.990000000002</v>
      </c>
      <c r="D299">
        <f>IFERROR(INDEX('planning dogs-n-tiger'!D$1:D$30,MATCH($H299,'planning dogs-n-tiger'!$G$1:$G$42,0)),0)</f>
        <v>0</v>
      </c>
      <c r="E299">
        <f t="shared" si="40"/>
        <v>43</v>
      </c>
      <c r="F299">
        <f t="shared" si="41"/>
        <v>10</v>
      </c>
      <c r="G299">
        <f t="shared" si="42"/>
        <v>2021</v>
      </c>
      <c r="H299" t="str">
        <f t="shared" si="46"/>
        <v>102021</v>
      </c>
      <c r="I299">
        <f t="shared" si="47"/>
        <v>31</v>
      </c>
      <c r="J299">
        <f t="shared" si="43"/>
        <v>114.41935483870968</v>
      </c>
      <c r="K299">
        <f t="shared" si="44"/>
        <v>613.19322580645166</v>
      </c>
      <c r="L299">
        <f t="shared" si="45"/>
        <v>0</v>
      </c>
      <c r="M299" t="str">
        <f t="shared" si="48"/>
        <v>432021</v>
      </c>
      <c r="N299" t="str">
        <f t="shared" si="49"/>
        <v>43-10-2021</v>
      </c>
    </row>
    <row r="300" spans="1:14" x14ac:dyDescent="0.2">
      <c r="A300" s="1">
        <v>44495</v>
      </c>
      <c r="B300">
        <f>IFERROR(INDEX('planning dogs-n-tiger'!B$1:B$30,MATCH($H300,'planning dogs-n-tiger'!$G$1:$G$42,0)),0)</f>
        <v>3547</v>
      </c>
      <c r="C300">
        <f>IFERROR(INDEX('planning dogs-n-tiger'!C$1:C$30,MATCH($H300,'planning dogs-n-tiger'!$G$1:$G$42,0)),0)</f>
        <v>19008.990000000002</v>
      </c>
      <c r="D300">
        <f>IFERROR(INDEX('planning dogs-n-tiger'!D$1:D$30,MATCH($H300,'planning dogs-n-tiger'!$G$1:$G$42,0)),0)</f>
        <v>0</v>
      </c>
      <c r="E300">
        <f t="shared" si="40"/>
        <v>43</v>
      </c>
      <c r="F300">
        <f t="shared" si="41"/>
        <v>10</v>
      </c>
      <c r="G300">
        <f t="shared" si="42"/>
        <v>2021</v>
      </c>
      <c r="H300" t="str">
        <f t="shared" si="46"/>
        <v>102021</v>
      </c>
      <c r="I300">
        <f t="shared" si="47"/>
        <v>31</v>
      </c>
      <c r="J300">
        <f t="shared" si="43"/>
        <v>114.41935483870968</v>
      </c>
      <c r="K300">
        <f t="shared" si="44"/>
        <v>613.19322580645166</v>
      </c>
      <c r="L300">
        <f t="shared" si="45"/>
        <v>0</v>
      </c>
      <c r="M300" t="str">
        <f t="shared" si="48"/>
        <v>432021</v>
      </c>
      <c r="N300" t="str">
        <f t="shared" si="49"/>
        <v>43-10-2021</v>
      </c>
    </row>
    <row r="301" spans="1:14" x14ac:dyDescent="0.2">
      <c r="A301" s="1">
        <v>44496</v>
      </c>
      <c r="B301">
        <f>IFERROR(INDEX('planning dogs-n-tiger'!B$1:B$30,MATCH($H301,'planning dogs-n-tiger'!$G$1:$G$42,0)),0)</f>
        <v>3547</v>
      </c>
      <c r="C301">
        <f>IFERROR(INDEX('planning dogs-n-tiger'!C$1:C$30,MATCH($H301,'planning dogs-n-tiger'!$G$1:$G$42,0)),0)</f>
        <v>19008.990000000002</v>
      </c>
      <c r="D301">
        <f>IFERROR(INDEX('planning dogs-n-tiger'!D$1:D$30,MATCH($H301,'planning dogs-n-tiger'!$G$1:$G$42,0)),0)</f>
        <v>0</v>
      </c>
      <c r="E301">
        <f t="shared" si="40"/>
        <v>43</v>
      </c>
      <c r="F301">
        <f t="shared" si="41"/>
        <v>10</v>
      </c>
      <c r="G301">
        <f t="shared" si="42"/>
        <v>2021</v>
      </c>
      <c r="H301" t="str">
        <f t="shared" si="46"/>
        <v>102021</v>
      </c>
      <c r="I301">
        <f t="shared" si="47"/>
        <v>31</v>
      </c>
      <c r="J301">
        <f t="shared" si="43"/>
        <v>114.41935483870968</v>
      </c>
      <c r="K301">
        <f t="shared" si="44"/>
        <v>613.19322580645166</v>
      </c>
      <c r="L301">
        <f t="shared" si="45"/>
        <v>0</v>
      </c>
      <c r="M301" t="str">
        <f t="shared" si="48"/>
        <v>432021</v>
      </c>
      <c r="N301" t="str">
        <f t="shared" si="49"/>
        <v>43-10-2021</v>
      </c>
    </row>
    <row r="302" spans="1:14" x14ac:dyDescent="0.2">
      <c r="A302" s="1">
        <v>44497</v>
      </c>
      <c r="B302">
        <f>IFERROR(INDEX('planning dogs-n-tiger'!B$1:B$30,MATCH($H302,'planning dogs-n-tiger'!$G$1:$G$42,0)),0)</f>
        <v>3547</v>
      </c>
      <c r="C302">
        <f>IFERROR(INDEX('planning dogs-n-tiger'!C$1:C$30,MATCH($H302,'planning dogs-n-tiger'!$G$1:$G$42,0)),0)</f>
        <v>19008.990000000002</v>
      </c>
      <c r="D302">
        <f>IFERROR(INDEX('planning dogs-n-tiger'!D$1:D$30,MATCH($H302,'planning dogs-n-tiger'!$G$1:$G$42,0)),0)</f>
        <v>0</v>
      </c>
      <c r="E302">
        <f t="shared" si="40"/>
        <v>43</v>
      </c>
      <c r="F302">
        <f t="shared" si="41"/>
        <v>10</v>
      </c>
      <c r="G302">
        <f t="shared" si="42"/>
        <v>2021</v>
      </c>
      <c r="H302" t="str">
        <f t="shared" si="46"/>
        <v>102021</v>
      </c>
      <c r="I302">
        <f t="shared" si="47"/>
        <v>31</v>
      </c>
      <c r="J302">
        <f t="shared" si="43"/>
        <v>114.41935483870968</v>
      </c>
      <c r="K302">
        <f t="shared" si="44"/>
        <v>613.19322580645166</v>
      </c>
      <c r="L302">
        <f t="shared" si="45"/>
        <v>0</v>
      </c>
      <c r="M302" t="str">
        <f t="shared" si="48"/>
        <v>432021</v>
      </c>
      <c r="N302" t="str">
        <f t="shared" si="49"/>
        <v>43-10-2021</v>
      </c>
    </row>
    <row r="303" spans="1:14" x14ac:dyDescent="0.2">
      <c r="A303" s="1">
        <v>44498</v>
      </c>
      <c r="B303">
        <f>IFERROR(INDEX('planning dogs-n-tiger'!B$1:B$30,MATCH($H303,'planning dogs-n-tiger'!$G$1:$G$42,0)),0)</f>
        <v>3547</v>
      </c>
      <c r="C303">
        <f>IFERROR(INDEX('planning dogs-n-tiger'!C$1:C$30,MATCH($H303,'planning dogs-n-tiger'!$G$1:$G$42,0)),0)</f>
        <v>19008.990000000002</v>
      </c>
      <c r="D303">
        <f>IFERROR(INDEX('planning dogs-n-tiger'!D$1:D$30,MATCH($H303,'planning dogs-n-tiger'!$G$1:$G$42,0)),0)</f>
        <v>0</v>
      </c>
      <c r="E303">
        <f t="shared" si="40"/>
        <v>43</v>
      </c>
      <c r="F303">
        <f t="shared" si="41"/>
        <v>10</v>
      </c>
      <c r="G303">
        <f t="shared" si="42"/>
        <v>2021</v>
      </c>
      <c r="H303" t="str">
        <f t="shared" si="46"/>
        <v>102021</v>
      </c>
      <c r="I303">
        <f t="shared" si="47"/>
        <v>31</v>
      </c>
      <c r="J303">
        <f t="shared" si="43"/>
        <v>114.41935483870968</v>
      </c>
      <c r="K303">
        <f t="shared" si="44"/>
        <v>613.19322580645166</v>
      </c>
      <c r="L303">
        <f t="shared" si="45"/>
        <v>0</v>
      </c>
      <c r="M303" t="str">
        <f t="shared" si="48"/>
        <v>432021</v>
      </c>
      <c r="N303" t="str">
        <f t="shared" si="49"/>
        <v>43-10-2021</v>
      </c>
    </row>
    <row r="304" spans="1:14" x14ac:dyDescent="0.2">
      <c r="A304" s="1">
        <v>44499</v>
      </c>
      <c r="B304">
        <f>IFERROR(INDEX('planning dogs-n-tiger'!B$1:B$30,MATCH($H304,'planning dogs-n-tiger'!$G$1:$G$42,0)),0)</f>
        <v>3547</v>
      </c>
      <c r="C304">
        <f>IFERROR(INDEX('planning dogs-n-tiger'!C$1:C$30,MATCH($H304,'planning dogs-n-tiger'!$G$1:$G$42,0)),0)</f>
        <v>19008.990000000002</v>
      </c>
      <c r="D304">
        <f>IFERROR(INDEX('planning dogs-n-tiger'!D$1:D$30,MATCH($H304,'planning dogs-n-tiger'!$G$1:$G$42,0)),0)</f>
        <v>0</v>
      </c>
      <c r="E304">
        <f t="shared" si="40"/>
        <v>43</v>
      </c>
      <c r="F304">
        <f t="shared" si="41"/>
        <v>10</v>
      </c>
      <c r="G304">
        <f t="shared" si="42"/>
        <v>2021</v>
      </c>
      <c r="H304" t="str">
        <f t="shared" si="46"/>
        <v>102021</v>
      </c>
      <c r="I304">
        <f t="shared" si="47"/>
        <v>31</v>
      </c>
      <c r="J304">
        <f t="shared" si="43"/>
        <v>114.41935483870968</v>
      </c>
      <c r="K304">
        <f t="shared" si="44"/>
        <v>613.19322580645166</v>
      </c>
      <c r="L304">
        <f t="shared" si="45"/>
        <v>0</v>
      </c>
      <c r="M304" t="str">
        <f t="shared" si="48"/>
        <v>432021</v>
      </c>
      <c r="N304" t="str">
        <f t="shared" si="49"/>
        <v>43-10-2021</v>
      </c>
    </row>
    <row r="305" spans="1:14" x14ac:dyDescent="0.2">
      <c r="A305" s="1">
        <v>44500</v>
      </c>
      <c r="B305">
        <f>IFERROR(INDEX('planning dogs-n-tiger'!B$1:B$30,MATCH($H305,'planning dogs-n-tiger'!$G$1:$G$42,0)),0)</f>
        <v>3547</v>
      </c>
      <c r="C305">
        <f>IFERROR(INDEX('planning dogs-n-tiger'!C$1:C$30,MATCH($H305,'planning dogs-n-tiger'!$G$1:$G$42,0)),0)</f>
        <v>19008.990000000002</v>
      </c>
      <c r="D305">
        <f>IFERROR(INDEX('planning dogs-n-tiger'!D$1:D$30,MATCH($H305,'planning dogs-n-tiger'!$G$1:$G$42,0)),0)</f>
        <v>0</v>
      </c>
      <c r="E305">
        <f t="shared" si="40"/>
        <v>43</v>
      </c>
      <c r="F305">
        <f t="shared" si="41"/>
        <v>10</v>
      </c>
      <c r="G305">
        <f t="shared" si="42"/>
        <v>2021</v>
      </c>
      <c r="H305" t="str">
        <f t="shared" si="46"/>
        <v>102021</v>
      </c>
      <c r="I305">
        <f t="shared" si="47"/>
        <v>31</v>
      </c>
      <c r="J305">
        <f t="shared" si="43"/>
        <v>114.41935483870968</v>
      </c>
      <c r="K305">
        <f t="shared" si="44"/>
        <v>613.19322580645166</v>
      </c>
      <c r="L305">
        <f t="shared" si="45"/>
        <v>0</v>
      </c>
      <c r="M305" t="str">
        <f t="shared" si="48"/>
        <v>432021</v>
      </c>
      <c r="N305" t="str">
        <f t="shared" si="49"/>
        <v>43-10-2021</v>
      </c>
    </row>
    <row r="306" spans="1:14" x14ac:dyDescent="0.2">
      <c r="A306" s="1">
        <v>44501</v>
      </c>
      <c r="B306">
        <f>IFERROR(INDEX('planning dogs-n-tiger'!B$1:B$30,MATCH($H306,'planning dogs-n-tiger'!$G$1:$G$42,0)),0)</f>
        <v>2687</v>
      </c>
      <c r="C306">
        <f>IFERROR(INDEX('planning dogs-n-tiger'!C$1:C$30,MATCH($H306,'planning dogs-n-tiger'!$G$1:$G$42,0)),0)</f>
        <v>25508</v>
      </c>
      <c r="D306">
        <f>IFERROR(INDEX('planning dogs-n-tiger'!D$1:D$30,MATCH($H306,'planning dogs-n-tiger'!$G$1:$G$42,0)),0)</f>
        <v>0</v>
      </c>
      <c r="E306">
        <f t="shared" si="40"/>
        <v>44</v>
      </c>
      <c r="F306">
        <f t="shared" si="41"/>
        <v>11</v>
      </c>
      <c r="G306">
        <f t="shared" si="42"/>
        <v>2021</v>
      </c>
      <c r="H306" t="str">
        <f t="shared" si="46"/>
        <v>112021</v>
      </c>
      <c r="I306">
        <f t="shared" si="47"/>
        <v>30</v>
      </c>
      <c r="J306">
        <f t="shared" si="43"/>
        <v>89.566666666666663</v>
      </c>
      <c r="K306">
        <f t="shared" si="44"/>
        <v>850.26666666666665</v>
      </c>
      <c r="L306">
        <f t="shared" si="45"/>
        <v>0</v>
      </c>
      <c r="M306" t="str">
        <f t="shared" si="48"/>
        <v>442021</v>
      </c>
      <c r="N306" t="str">
        <f t="shared" si="49"/>
        <v>44-11-2021</v>
      </c>
    </row>
    <row r="307" spans="1:14" x14ac:dyDescent="0.2">
      <c r="A307" s="1">
        <v>44502</v>
      </c>
      <c r="B307">
        <f>IFERROR(INDEX('planning dogs-n-tiger'!B$1:B$30,MATCH($H307,'planning dogs-n-tiger'!$G$1:$G$42,0)),0)</f>
        <v>2687</v>
      </c>
      <c r="C307">
        <f>IFERROR(INDEX('planning dogs-n-tiger'!C$1:C$30,MATCH($H307,'planning dogs-n-tiger'!$G$1:$G$42,0)),0)</f>
        <v>25508</v>
      </c>
      <c r="D307">
        <f>IFERROR(INDEX('planning dogs-n-tiger'!D$1:D$30,MATCH($H307,'planning dogs-n-tiger'!$G$1:$G$42,0)),0)</f>
        <v>0</v>
      </c>
      <c r="E307">
        <f t="shared" si="40"/>
        <v>44</v>
      </c>
      <c r="F307">
        <f t="shared" si="41"/>
        <v>11</v>
      </c>
      <c r="G307">
        <f t="shared" si="42"/>
        <v>2021</v>
      </c>
      <c r="H307" t="str">
        <f t="shared" si="46"/>
        <v>112021</v>
      </c>
      <c r="I307">
        <f t="shared" si="47"/>
        <v>30</v>
      </c>
      <c r="J307">
        <f t="shared" si="43"/>
        <v>89.566666666666663</v>
      </c>
      <c r="K307">
        <f t="shared" si="44"/>
        <v>850.26666666666665</v>
      </c>
      <c r="L307">
        <f t="shared" si="45"/>
        <v>0</v>
      </c>
      <c r="M307" t="str">
        <f t="shared" si="48"/>
        <v>442021</v>
      </c>
      <c r="N307" t="str">
        <f t="shared" si="49"/>
        <v>44-11-2021</v>
      </c>
    </row>
    <row r="308" spans="1:14" x14ac:dyDescent="0.2">
      <c r="A308" s="1">
        <v>44503</v>
      </c>
      <c r="B308">
        <f>IFERROR(INDEX('planning dogs-n-tiger'!B$1:B$30,MATCH($H308,'planning dogs-n-tiger'!$G$1:$G$42,0)),0)</f>
        <v>2687</v>
      </c>
      <c r="C308">
        <f>IFERROR(INDEX('planning dogs-n-tiger'!C$1:C$30,MATCH($H308,'planning dogs-n-tiger'!$G$1:$G$42,0)),0)</f>
        <v>25508</v>
      </c>
      <c r="D308">
        <f>IFERROR(INDEX('planning dogs-n-tiger'!D$1:D$30,MATCH($H308,'planning dogs-n-tiger'!$G$1:$G$42,0)),0)</f>
        <v>0</v>
      </c>
      <c r="E308">
        <f t="shared" si="40"/>
        <v>44</v>
      </c>
      <c r="F308">
        <f t="shared" si="41"/>
        <v>11</v>
      </c>
      <c r="G308">
        <f t="shared" si="42"/>
        <v>2021</v>
      </c>
      <c r="H308" t="str">
        <f t="shared" si="46"/>
        <v>112021</v>
      </c>
      <c r="I308">
        <f t="shared" si="47"/>
        <v>30</v>
      </c>
      <c r="J308">
        <f t="shared" si="43"/>
        <v>89.566666666666663</v>
      </c>
      <c r="K308">
        <f t="shared" si="44"/>
        <v>850.26666666666665</v>
      </c>
      <c r="L308">
        <f t="shared" si="45"/>
        <v>0</v>
      </c>
      <c r="M308" t="str">
        <f t="shared" si="48"/>
        <v>442021</v>
      </c>
      <c r="N308" t="str">
        <f t="shared" si="49"/>
        <v>44-11-2021</v>
      </c>
    </row>
    <row r="309" spans="1:14" x14ac:dyDescent="0.2">
      <c r="A309" s="1">
        <v>44504</v>
      </c>
      <c r="B309">
        <f>IFERROR(INDEX('planning dogs-n-tiger'!B$1:B$30,MATCH($H309,'planning dogs-n-tiger'!$G$1:$G$42,0)),0)</f>
        <v>2687</v>
      </c>
      <c r="C309">
        <f>IFERROR(INDEX('planning dogs-n-tiger'!C$1:C$30,MATCH($H309,'planning dogs-n-tiger'!$G$1:$G$42,0)),0)</f>
        <v>25508</v>
      </c>
      <c r="D309">
        <f>IFERROR(INDEX('planning dogs-n-tiger'!D$1:D$30,MATCH($H309,'planning dogs-n-tiger'!$G$1:$G$42,0)),0)</f>
        <v>0</v>
      </c>
      <c r="E309">
        <f t="shared" si="40"/>
        <v>44</v>
      </c>
      <c r="F309">
        <f t="shared" si="41"/>
        <v>11</v>
      </c>
      <c r="G309">
        <f t="shared" si="42"/>
        <v>2021</v>
      </c>
      <c r="H309" t="str">
        <f t="shared" si="46"/>
        <v>112021</v>
      </c>
      <c r="I309">
        <f t="shared" si="47"/>
        <v>30</v>
      </c>
      <c r="J309">
        <f t="shared" si="43"/>
        <v>89.566666666666663</v>
      </c>
      <c r="K309">
        <f t="shared" si="44"/>
        <v>850.26666666666665</v>
      </c>
      <c r="L309">
        <f t="shared" si="45"/>
        <v>0</v>
      </c>
      <c r="M309" t="str">
        <f t="shared" si="48"/>
        <v>442021</v>
      </c>
      <c r="N309" t="str">
        <f t="shared" si="49"/>
        <v>44-11-2021</v>
      </c>
    </row>
    <row r="310" spans="1:14" x14ac:dyDescent="0.2">
      <c r="A310" s="1">
        <v>44505</v>
      </c>
      <c r="B310">
        <f>IFERROR(INDEX('planning dogs-n-tiger'!B$1:B$30,MATCH($H310,'planning dogs-n-tiger'!$G$1:$G$42,0)),0)</f>
        <v>2687</v>
      </c>
      <c r="C310">
        <f>IFERROR(INDEX('planning dogs-n-tiger'!C$1:C$30,MATCH($H310,'planning dogs-n-tiger'!$G$1:$G$42,0)),0)</f>
        <v>25508</v>
      </c>
      <c r="D310">
        <f>IFERROR(INDEX('planning dogs-n-tiger'!D$1:D$30,MATCH($H310,'planning dogs-n-tiger'!$G$1:$G$42,0)),0)</f>
        <v>0</v>
      </c>
      <c r="E310">
        <f t="shared" si="40"/>
        <v>44</v>
      </c>
      <c r="F310">
        <f t="shared" si="41"/>
        <v>11</v>
      </c>
      <c r="G310">
        <f t="shared" si="42"/>
        <v>2021</v>
      </c>
      <c r="H310" t="str">
        <f t="shared" si="46"/>
        <v>112021</v>
      </c>
      <c r="I310">
        <f t="shared" si="47"/>
        <v>30</v>
      </c>
      <c r="J310">
        <f t="shared" si="43"/>
        <v>89.566666666666663</v>
      </c>
      <c r="K310">
        <f t="shared" si="44"/>
        <v>850.26666666666665</v>
      </c>
      <c r="L310">
        <f t="shared" si="45"/>
        <v>0</v>
      </c>
      <c r="M310" t="str">
        <f t="shared" si="48"/>
        <v>442021</v>
      </c>
      <c r="N310" t="str">
        <f t="shared" si="49"/>
        <v>44-11-2021</v>
      </c>
    </row>
    <row r="311" spans="1:14" x14ac:dyDescent="0.2">
      <c r="A311" s="1">
        <v>44506</v>
      </c>
      <c r="B311">
        <f>IFERROR(INDEX('planning dogs-n-tiger'!B$1:B$30,MATCH($H311,'planning dogs-n-tiger'!$G$1:$G$42,0)),0)</f>
        <v>2687</v>
      </c>
      <c r="C311">
        <f>IFERROR(INDEX('planning dogs-n-tiger'!C$1:C$30,MATCH($H311,'planning dogs-n-tiger'!$G$1:$G$42,0)),0)</f>
        <v>25508</v>
      </c>
      <c r="D311">
        <f>IFERROR(INDEX('planning dogs-n-tiger'!D$1:D$30,MATCH($H311,'planning dogs-n-tiger'!$G$1:$G$42,0)),0)</f>
        <v>0</v>
      </c>
      <c r="E311">
        <f t="shared" si="40"/>
        <v>44</v>
      </c>
      <c r="F311">
        <f t="shared" si="41"/>
        <v>11</v>
      </c>
      <c r="G311">
        <f t="shared" si="42"/>
        <v>2021</v>
      </c>
      <c r="H311" t="str">
        <f t="shared" si="46"/>
        <v>112021</v>
      </c>
      <c r="I311">
        <f t="shared" si="47"/>
        <v>30</v>
      </c>
      <c r="J311">
        <f t="shared" si="43"/>
        <v>89.566666666666663</v>
      </c>
      <c r="K311">
        <f t="shared" si="44"/>
        <v>850.26666666666665</v>
      </c>
      <c r="L311">
        <f t="shared" si="45"/>
        <v>0</v>
      </c>
      <c r="M311" t="str">
        <f t="shared" si="48"/>
        <v>442021</v>
      </c>
      <c r="N311" t="str">
        <f t="shared" si="49"/>
        <v>44-11-2021</v>
      </c>
    </row>
    <row r="312" spans="1:14" x14ac:dyDescent="0.2">
      <c r="A312" s="1">
        <v>44507</v>
      </c>
      <c r="B312">
        <f>IFERROR(INDEX('planning dogs-n-tiger'!B$1:B$30,MATCH($H312,'planning dogs-n-tiger'!$G$1:$G$42,0)),0)</f>
        <v>2687</v>
      </c>
      <c r="C312">
        <f>IFERROR(INDEX('planning dogs-n-tiger'!C$1:C$30,MATCH($H312,'planning dogs-n-tiger'!$G$1:$G$42,0)),0)</f>
        <v>25508</v>
      </c>
      <c r="D312">
        <f>IFERROR(INDEX('planning dogs-n-tiger'!D$1:D$30,MATCH($H312,'planning dogs-n-tiger'!$G$1:$G$42,0)),0)</f>
        <v>0</v>
      </c>
      <c r="E312">
        <f t="shared" si="40"/>
        <v>44</v>
      </c>
      <c r="F312">
        <f t="shared" si="41"/>
        <v>11</v>
      </c>
      <c r="G312">
        <f t="shared" si="42"/>
        <v>2021</v>
      </c>
      <c r="H312" t="str">
        <f t="shared" si="46"/>
        <v>112021</v>
      </c>
      <c r="I312">
        <f t="shared" si="47"/>
        <v>30</v>
      </c>
      <c r="J312">
        <f t="shared" si="43"/>
        <v>89.566666666666663</v>
      </c>
      <c r="K312">
        <f t="shared" si="44"/>
        <v>850.26666666666665</v>
      </c>
      <c r="L312">
        <f t="shared" si="45"/>
        <v>0</v>
      </c>
      <c r="M312" t="str">
        <f t="shared" si="48"/>
        <v>442021</v>
      </c>
      <c r="N312" t="str">
        <f t="shared" si="49"/>
        <v>44-11-2021</v>
      </c>
    </row>
    <row r="313" spans="1:14" x14ac:dyDescent="0.2">
      <c r="A313" s="1">
        <v>44508</v>
      </c>
      <c r="B313">
        <f>IFERROR(INDEX('planning dogs-n-tiger'!B$1:B$30,MATCH($H313,'planning dogs-n-tiger'!$G$1:$G$42,0)),0)</f>
        <v>2687</v>
      </c>
      <c r="C313">
        <f>IFERROR(INDEX('planning dogs-n-tiger'!C$1:C$30,MATCH($H313,'planning dogs-n-tiger'!$G$1:$G$42,0)),0)</f>
        <v>25508</v>
      </c>
      <c r="D313">
        <f>IFERROR(INDEX('planning dogs-n-tiger'!D$1:D$30,MATCH($H313,'planning dogs-n-tiger'!$G$1:$G$42,0)),0)</f>
        <v>0</v>
      </c>
      <c r="E313">
        <f t="shared" si="40"/>
        <v>45</v>
      </c>
      <c r="F313">
        <f t="shared" si="41"/>
        <v>11</v>
      </c>
      <c r="G313">
        <f t="shared" si="42"/>
        <v>2021</v>
      </c>
      <c r="H313" t="str">
        <f t="shared" si="46"/>
        <v>112021</v>
      </c>
      <c r="I313">
        <f t="shared" si="47"/>
        <v>30</v>
      </c>
      <c r="J313">
        <f t="shared" si="43"/>
        <v>89.566666666666663</v>
      </c>
      <c r="K313">
        <f t="shared" si="44"/>
        <v>850.26666666666665</v>
      </c>
      <c r="L313">
        <f t="shared" si="45"/>
        <v>0</v>
      </c>
      <c r="M313" t="str">
        <f t="shared" si="48"/>
        <v>452021</v>
      </c>
      <c r="N313" t="str">
        <f t="shared" si="49"/>
        <v>45-11-2021</v>
      </c>
    </row>
    <row r="314" spans="1:14" x14ac:dyDescent="0.2">
      <c r="A314" s="1">
        <v>44509</v>
      </c>
      <c r="B314">
        <f>IFERROR(INDEX('planning dogs-n-tiger'!B$1:B$30,MATCH($H314,'planning dogs-n-tiger'!$G$1:$G$42,0)),0)</f>
        <v>2687</v>
      </c>
      <c r="C314">
        <f>IFERROR(INDEX('planning dogs-n-tiger'!C$1:C$30,MATCH($H314,'planning dogs-n-tiger'!$G$1:$G$42,0)),0)</f>
        <v>25508</v>
      </c>
      <c r="D314">
        <f>IFERROR(INDEX('planning dogs-n-tiger'!D$1:D$30,MATCH($H314,'planning dogs-n-tiger'!$G$1:$G$42,0)),0)</f>
        <v>0</v>
      </c>
      <c r="E314">
        <f t="shared" si="40"/>
        <v>45</v>
      </c>
      <c r="F314">
        <f t="shared" si="41"/>
        <v>11</v>
      </c>
      <c r="G314">
        <f t="shared" si="42"/>
        <v>2021</v>
      </c>
      <c r="H314" t="str">
        <f t="shared" si="46"/>
        <v>112021</v>
      </c>
      <c r="I314">
        <f t="shared" si="47"/>
        <v>30</v>
      </c>
      <c r="J314">
        <f t="shared" si="43"/>
        <v>89.566666666666663</v>
      </c>
      <c r="K314">
        <f t="shared" si="44"/>
        <v>850.26666666666665</v>
      </c>
      <c r="L314">
        <f t="shared" si="45"/>
        <v>0</v>
      </c>
      <c r="M314" t="str">
        <f t="shared" si="48"/>
        <v>452021</v>
      </c>
      <c r="N314" t="str">
        <f t="shared" si="49"/>
        <v>45-11-2021</v>
      </c>
    </row>
    <row r="315" spans="1:14" x14ac:dyDescent="0.2">
      <c r="A315" s="1">
        <v>44510</v>
      </c>
      <c r="B315">
        <f>IFERROR(INDEX('planning dogs-n-tiger'!B$1:B$30,MATCH($H315,'planning dogs-n-tiger'!$G$1:$G$42,0)),0)</f>
        <v>2687</v>
      </c>
      <c r="C315">
        <f>IFERROR(INDEX('planning dogs-n-tiger'!C$1:C$30,MATCH($H315,'planning dogs-n-tiger'!$G$1:$G$42,0)),0)</f>
        <v>25508</v>
      </c>
      <c r="D315">
        <f>IFERROR(INDEX('planning dogs-n-tiger'!D$1:D$30,MATCH($H315,'planning dogs-n-tiger'!$G$1:$G$42,0)),0)</f>
        <v>0</v>
      </c>
      <c r="E315">
        <f t="shared" si="40"/>
        <v>45</v>
      </c>
      <c r="F315">
        <f t="shared" si="41"/>
        <v>11</v>
      </c>
      <c r="G315">
        <f t="shared" si="42"/>
        <v>2021</v>
      </c>
      <c r="H315" t="str">
        <f t="shared" si="46"/>
        <v>112021</v>
      </c>
      <c r="I315">
        <f t="shared" si="47"/>
        <v>30</v>
      </c>
      <c r="J315">
        <f t="shared" si="43"/>
        <v>89.566666666666663</v>
      </c>
      <c r="K315">
        <f t="shared" si="44"/>
        <v>850.26666666666665</v>
      </c>
      <c r="L315">
        <f t="shared" si="45"/>
        <v>0</v>
      </c>
      <c r="M315" t="str">
        <f t="shared" si="48"/>
        <v>452021</v>
      </c>
      <c r="N315" t="str">
        <f t="shared" si="49"/>
        <v>45-11-2021</v>
      </c>
    </row>
    <row r="316" spans="1:14" x14ac:dyDescent="0.2">
      <c r="A316" s="1">
        <v>44511</v>
      </c>
      <c r="B316">
        <f>IFERROR(INDEX('planning dogs-n-tiger'!B$1:B$30,MATCH($H316,'planning dogs-n-tiger'!$G$1:$G$42,0)),0)</f>
        <v>2687</v>
      </c>
      <c r="C316">
        <f>IFERROR(INDEX('planning dogs-n-tiger'!C$1:C$30,MATCH($H316,'planning dogs-n-tiger'!$G$1:$G$42,0)),0)</f>
        <v>25508</v>
      </c>
      <c r="D316">
        <f>IFERROR(INDEX('planning dogs-n-tiger'!D$1:D$30,MATCH($H316,'planning dogs-n-tiger'!$G$1:$G$42,0)),0)</f>
        <v>0</v>
      </c>
      <c r="E316">
        <f t="shared" si="40"/>
        <v>45</v>
      </c>
      <c r="F316">
        <f t="shared" si="41"/>
        <v>11</v>
      </c>
      <c r="G316">
        <f t="shared" si="42"/>
        <v>2021</v>
      </c>
      <c r="H316" t="str">
        <f t="shared" si="46"/>
        <v>112021</v>
      </c>
      <c r="I316">
        <f t="shared" si="47"/>
        <v>30</v>
      </c>
      <c r="J316">
        <f t="shared" si="43"/>
        <v>89.566666666666663</v>
      </c>
      <c r="K316">
        <f t="shared" si="44"/>
        <v>850.26666666666665</v>
      </c>
      <c r="L316">
        <f t="shared" si="45"/>
        <v>0</v>
      </c>
      <c r="M316" t="str">
        <f t="shared" si="48"/>
        <v>452021</v>
      </c>
      <c r="N316" t="str">
        <f t="shared" si="49"/>
        <v>45-11-2021</v>
      </c>
    </row>
    <row r="317" spans="1:14" x14ac:dyDescent="0.2">
      <c r="A317" s="1">
        <v>44512</v>
      </c>
      <c r="B317">
        <f>IFERROR(INDEX('planning dogs-n-tiger'!B$1:B$30,MATCH($H317,'planning dogs-n-tiger'!$G$1:$G$42,0)),0)</f>
        <v>2687</v>
      </c>
      <c r="C317">
        <f>IFERROR(INDEX('planning dogs-n-tiger'!C$1:C$30,MATCH($H317,'planning dogs-n-tiger'!$G$1:$G$42,0)),0)</f>
        <v>25508</v>
      </c>
      <c r="D317">
        <f>IFERROR(INDEX('planning dogs-n-tiger'!D$1:D$30,MATCH($H317,'planning dogs-n-tiger'!$G$1:$G$42,0)),0)</f>
        <v>0</v>
      </c>
      <c r="E317">
        <f t="shared" si="40"/>
        <v>45</v>
      </c>
      <c r="F317">
        <f t="shared" si="41"/>
        <v>11</v>
      </c>
      <c r="G317">
        <f t="shared" si="42"/>
        <v>2021</v>
      </c>
      <c r="H317" t="str">
        <f t="shared" si="46"/>
        <v>112021</v>
      </c>
      <c r="I317">
        <f t="shared" si="47"/>
        <v>30</v>
      </c>
      <c r="J317">
        <f t="shared" si="43"/>
        <v>89.566666666666663</v>
      </c>
      <c r="K317">
        <f t="shared" si="44"/>
        <v>850.26666666666665</v>
      </c>
      <c r="L317">
        <f t="shared" si="45"/>
        <v>0</v>
      </c>
      <c r="M317" t="str">
        <f t="shared" si="48"/>
        <v>452021</v>
      </c>
      <c r="N317" t="str">
        <f t="shared" si="49"/>
        <v>45-11-2021</v>
      </c>
    </row>
    <row r="318" spans="1:14" x14ac:dyDescent="0.2">
      <c r="A318" s="1">
        <v>44513</v>
      </c>
      <c r="B318">
        <f>IFERROR(INDEX('planning dogs-n-tiger'!B$1:B$30,MATCH($H318,'planning dogs-n-tiger'!$G$1:$G$42,0)),0)</f>
        <v>2687</v>
      </c>
      <c r="C318">
        <f>IFERROR(INDEX('planning dogs-n-tiger'!C$1:C$30,MATCH($H318,'planning dogs-n-tiger'!$G$1:$G$42,0)),0)</f>
        <v>25508</v>
      </c>
      <c r="D318">
        <f>IFERROR(INDEX('planning dogs-n-tiger'!D$1:D$30,MATCH($H318,'planning dogs-n-tiger'!$G$1:$G$42,0)),0)</f>
        <v>0</v>
      </c>
      <c r="E318">
        <f t="shared" si="40"/>
        <v>45</v>
      </c>
      <c r="F318">
        <f t="shared" si="41"/>
        <v>11</v>
      </c>
      <c r="G318">
        <f t="shared" si="42"/>
        <v>2021</v>
      </c>
      <c r="H318" t="str">
        <f t="shared" si="46"/>
        <v>112021</v>
      </c>
      <c r="I318">
        <f t="shared" si="47"/>
        <v>30</v>
      </c>
      <c r="J318">
        <f t="shared" si="43"/>
        <v>89.566666666666663</v>
      </c>
      <c r="K318">
        <f t="shared" si="44"/>
        <v>850.26666666666665</v>
      </c>
      <c r="L318">
        <f t="shared" si="45"/>
        <v>0</v>
      </c>
      <c r="M318" t="str">
        <f t="shared" si="48"/>
        <v>452021</v>
      </c>
      <c r="N318" t="str">
        <f t="shared" si="49"/>
        <v>45-11-2021</v>
      </c>
    </row>
    <row r="319" spans="1:14" x14ac:dyDescent="0.2">
      <c r="A319" s="1">
        <v>44514</v>
      </c>
      <c r="B319">
        <f>IFERROR(INDEX('planning dogs-n-tiger'!B$1:B$30,MATCH($H319,'planning dogs-n-tiger'!$G$1:$G$42,0)),0)</f>
        <v>2687</v>
      </c>
      <c r="C319">
        <f>IFERROR(INDEX('planning dogs-n-tiger'!C$1:C$30,MATCH($H319,'planning dogs-n-tiger'!$G$1:$G$42,0)),0)</f>
        <v>25508</v>
      </c>
      <c r="D319">
        <f>IFERROR(INDEX('planning dogs-n-tiger'!D$1:D$30,MATCH($H319,'planning dogs-n-tiger'!$G$1:$G$42,0)),0)</f>
        <v>0</v>
      </c>
      <c r="E319">
        <f t="shared" si="40"/>
        <v>45</v>
      </c>
      <c r="F319">
        <f t="shared" si="41"/>
        <v>11</v>
      </c>
      <c r="G319">
        <f t="shared" si="42"/>
        <v>2021</v>
      </c>
      <c r="H319" t="str">
        <f t="shared" si="46"/>
        <v>112021</v>
      </c>
      <c r="I319">
        <f t="shared" si="47"/>
        <v>30</v>
      </c>
      <c r="J319">
        <f t="shared" si="43"/>
        <v>89.566666666666663</v>
      </c>
      <c r="K319">
        <f t="shared" si="44"/>
        <v>850.26666666666665</v>
      </c>
      <c r="L319">
        <f t="shared" si="45"/>
        <v>0</v>
      </c>
      <c r="M319" t="str">
        <f t="shared" si="48"/>
        <v>452021</v>
      </c>
      <c r="N319" t="str">
        <f t="shared" si="49"/>
        <v>45-11-2021</v>
      </c>
    </row>
    <row r="320" spans="1:14" x14ac:dyDescent="0.2">
      <c r="A320" s="1">
        <v>44515</v>
      </c>
      <c r="B320">
        <f>IFERROR(INDEX('planning dogs-n-tiger'!B$1:B$30,MATCH($H320,'planning dogs-n-tiger'!$G$1:$G$42,0)),0)</f>
        <v>2687</v>
      </c>
      <c r="C320">
        <f>IFERROR(INDEX('planning dogs-n-tiger'!C$1:C$30,MATCH($H320,'planning dogs-n-tiger'!$G$1:$G$42,0)),0)</f>
        <v>25508</v>
      </c>
      <c r="D320">
        <f>IFERROR(INDEX('planning dogs-n-tiger'!D$1:D$30,MATCH($H320,'planning dogs-n-tiger'!$G$1:$G$42,0)),0)</f>
        <v>0</v>
      </c>
      <c r="E320">
        <f t="shared" si="40"/>
        <v>46</v>
      </c>
      <c r="F320">
        <f t="shared" si="41"/>
        <v>11</v>
      </c>
      <c r="G320">
        <f t="shared" si="42"/>
        <v>2021</v>
      </c>
      <c r="H320" t="str">
        <f t="shared" si="46"/>
        <v>112021</v>
      </c>
      <c r="I320">
        <f t="shared" si="47"/>
        <v>30</v>
      </c>
      <c r="J320">
        <f t="shared" si="43"/>
        <v>89.566666666666663</v>
      </c>
      <c r="K320">
        <f t="shared" si="44"/>
        <v>850.26666666666665</v>
      </c>
      <c r="L320">
        <f t="shared" si="45"/>
        <v>0</v>
      </c>
      <c r="M320" t="str">
        <f t="shared" si="48"/>
        <v>462021</v>
      </c>
      <c r="N320" t="str">
        <f t="shared" si="49"/>
        <v>46-11-2021</v>
      </c>
    </row>
    <row r="321" spans="1:14" x14ac:dyDescent="0.2">
      <c r="A321" s="1">
        <v>44516</v>
      </c>
      <c r="B321">
        <f>IFERROR(INDEX('planning dogs-n-tiger'!B$1:B$30,MATCH($H321,'planning dogs-n-tiger'!$G$1:$G$42,0)),0)</f>
        <v>2687</v>
      </c>
      <c r="C321">
        <f>IFERROR(INDEX('planning dogs-n-tiger'!C$1:C$30,MATCH($H321,'planning dogs-n-tiger'!$G$1:$G$42,0)),0)</f>
        <v>25508</v>
      </c>
      <c r="D321">
        <f>IFERROR(INDEX('planning dogs-n-tiger'!D$1:D$30,MATCH($H321,'planning dogs-n-tiger'!$G$1:$G$42,0)),0)</f>
        <v>0</v>
      </c>
      <c r="E321">
        <f t="shared" si="40"/>
        <v>46</v>
      </c>
      <c r="F321">
        <f t="shared" si="41"/>
        <v>11</v>
      </c>
      <c r="G321">
        <f t="shared" si="42"/>
        <v>2021</v>
      </c>
      <c r="H321" t="str">
        <f t="shared" si="46"/>
        <v>112021</v>
      </c>
      <c r="I321">
        <f t="shared" si="47"/>
        <v>30</v>
      </c>
      <c r="J321">
        <f t="shared" si="43"/>
        <v>89.566666666666663</v>
      </c>
      <c r="K321">
        <f t="shared" si="44"/>
        <v>850.26666666666665</v>
      </c>
      <c r="L321">
        <f t="shared" si="45"/>
        <v>0</v>
      </c>
      <c r="M321" t="str">
        <f t="shared" si="48"/>
        <v>462021</v>
      </c>
      <c r="N321" t="str">
        <f t="shared" si="49"/>
        <v>46-11-2021</v>
      </c>
    </row>
    <row r="322" spans="1:14" x14ac:dyDescent="0.2">
      <c r="A322" s="1">
        <v>44517</v>
      </c>
      <c r="B322">
        <f>IFERROR(INDEX('planning dogs-n-tiger'!B$1:B$30,MATCH($H322,'planning dogs-n-tiger'!$G$1:$G$42,0)),0)</f>
        <v>2687</v>
      </c>
      <c r="C322">
        <f>IFERROR(INDEX('planning dogs-n-tiger'!C$1:C$30,MATCH($H322,'planning dogs-n-tiger'!$G$1:$G$42,0)),0)</f>
        <v>25508</v>
      </c>
      <c r="D322">
        <f>IFERROR(INDEX('planning dogs-n-tiger'!D$1:D$30,MATCH($H322,'planning dogs-n-tiger'!$G$1:$G$42,0)),0)</f>
        <v>0</v>
      </c>
      <c r="E322">
        <f t="shared" ref="E322:E385" si="50">_xlfn.ISOWEEKNUM(A322)</f>
        <v>46</v>
      </c>
      <c r="F322">
        <f t="shared" ref="F322:F385" si="51">MONTH(A322)</f>
        <v>11</v>
      </c>
      <c r="G322">
        <f t="shared" ref="G322:G385" si="52">YEAR(A322)</f>
        <v>2021</v>
      </c>
      <c r="H322" t="str">
        <f t="shared" si="46"/>
        <v>112021</v>
      </c>
      <c r="I322">
        <f t="shared" si="47"/>
        <v>30</v>
      </c>
      <c r="J322">
        <f t="shared" ref="J322:J385" si="53">B322/$I322</f>
        <v>89.566666666666663</v>
      </c>
      <c r="K322">
        <f t="shared" ref="K322:K385" si="54">C322/$I322</f>
        <v>850.26666666666665</v>
      </c>
      <c r="L322">
        <f t="shared" ref="L322:L385" si="55">D322/$I322</f>
        <v>0</v>
      </c>
      <c r="M322" t="str">
        <f t="shared" si="48"/>
        <v>462021</v>
      </c>
      <c r="N322" t="str">
        <f t="shared" si="49"/>
        <v>46-11-2021</v>
      </c>
    </row>
    <row r="323" spans="1:14" x14ac:dyDescent="0.2">
      <c r="A323" s="1">
        <v>44518</v>
      </c>
      <c r="B323">
        <f>IFERROR(INDEX('planning dogs-n-tiger'!B$1:B$30,MATCH($H323,'planning dogs-n-tiger'!$G$1:$G$42,0)),0)</f>
        <v>2687</v>
      </c>
      <c r="C323">
        <f>IFERROR(INDEX('planning dogs-n-tiger'!C$1:C$30,MATCH($H323,'planning dogs-n-tiger'!$G$1:$G$42,0)),0)</f>
        <v>25508</v>
      </c>
      <c r="D323">
        <f>IFERROR(INDEX('planning dogs-n-tiger'!D$1:D$30,MATCH($H323,'planning dogs-n-tiger'!$G$1:$G$42,0)),0)</f>
        <v>0</v>
      </c>
      <c r="E323">
        <f t="shared" si="50"/>
        <v>46</v>
      </c>
      <c r="F323">
        <f t="shared" si="51"/>
        <v>11</v>
      </c>
      <c r="G323">
        <f t="shared" si="52"/>
        <v>2021</v>
      </c>
      <c r="H323" t="str">
        <f t="shared" ref="H323:H386" si="56">F323&amp;G323</f>
        <v>112021</v>
      </c>
      <c r="I323">
        <f t="shared" ref="I323:I386" si="57">DAY(EOMONTH(DATE(G323,F323,0),1))</f>
        <v>30</v>
      </c>
      <c r="J323">
        <f t="shared" si="53"/>
        <v>89.566666666666663</v>
      </c>
      <c r="K323">
        <f t="shared" si="54"/>
        <v>850.26666666666665</v>
      </c>
      <c r="L323">
        <f t="shared" si="55"/>
        <v>0</v>
      </c>
      <c r="M323" t="str">
        <f t="shared" ref="M323:M386" si="58">E323&amp;G323</f>
        <v>462021</v>
      </c>
      <c r="N323" t="str">
        <f t="shared" ref="N323:N386" si="59">E323&amp;"-"&amp;F323&amp;"-"&amp;G323</f>
        <v>46-11-2021</v>
      </c>
    </row>
    <row r="324" spans="1:14" x14ac:dyDescent="0.2">
      <c r="A324" s="1">
        <v>44519</v>
      </c>
      <c r="B324">
        <f>IFERROR(INDEX('planning dogs-n-tiger'!B$1:B$30,MATCH($H324,'planning dogs-n-tiger'!$G$1:$G$42,0)),0)</f>
        <v>2687</v>
      </c>
      <c r="C324">
        <f>IFERROR(INDEX('planning dogs-n-tiger'!C$1:C$30,MATCH($H324,'planning dogs-n-tiger'!$G$1:$G$42,0)),0)</f>
        <v>25508</v>
      </c>
      <c r="D324">
        <f>IFERROR(INDEX('planning dogs-n-tiger'!D$1:D$30,MATCH($H324,'planning dogs-n-tiger'!$G$1:$G$42,0)),0)</f>
        <v>0</v>
      </c>
      <c r="E324">
        <f t="shared" si="50"/>
        <v>46</v>
      </c>
      <c r="F324">
        <f t="shared" si="51"/>
        <v>11</v>
      </c>
      <c r="G324">
        <f t="shared" si="52"/>
        <v>2021</v>
      </c>
      <c r="H324" t="str">
        <f t="shared" si="56"/>
        <v>112021</v>
      </c>
      <c r="I324">
        <f t="shared" si="57"/>
        <v>30</v>
      </c>
      <c r="J324">
        <f t="shared" si="53"/>
        <v>89.566666666666663</v>
      </c>
      <c r="K324">
        <f t="shared" si="54"/>
        <v>850.26666666666665</v>
      </c>
      <c r="L324">
        <f t="shared" si="55"/>
        <v>0</v>
      </c>
      <c r="M324" t="str">
        <f t="shared" si="58"/>
        <v>462021</v>
      </c>
      <c r="N324" t="str">
        <f t="shared" si="59"/>
        <v>46-11-2021</v>
      </c>
    </row>
    <row r="325" spans="1:14" x14ac:dyDescent="0.2">
      <c r="A325" s="1">
        <v>44520</v>
      </c>
      <c r="B325">
        <f>IFERROR(INDEX('planning dogs-n-tiger'!B$1:B$30,MATCH($H325,'planning dogs-n-tiger'!$G$1:$G$42,0)),0)</f>
        <v>2687</v>
      </c>
      <c r="C325">
        <f>IFERROR(INDEX('planning dogs-n-tiger'!C$1:C$30,MATCH($H325,'planning dogs-n-tiger'!$G$1:$G$42,0)),0)</f>
        <v>25508</v>
      </c>
      <c r="D325">
        <f>IFERROR(INDEX('planning dogs-n-tiger'!D$1:D$30,MATCH($H325,'planning dogs-n-tiger'!$G$1:$G$42,0)),0)</f>
        <v>0</v>
      </c>
      <c r="E325">
        <f t="shared" si="50"/>
        <v>46</v>
      </c>
      <c r="F325">
        <f t="shared" si="51"/>
        <v>11</v>
      </c>
      <c r="G325">
        <f t="shared" si="52"/>
        <v>2021</v>
      </c>
      <c r="H325" t="str">
        <f t="shared" si="56"/>
        <v>112021</v>
      </c>
      <c r="I325">
        <f t="shared" si="57"/>
        <v>30</v>
      </c>
      <c r="J325">
        <f t="shared" si="53"/>
        <v>89.566666666666663</v>
      </c>
      <c r="K325">
        <f t="shared" si="54"/>
        <v>850.26666666666665</v>
      </c>
      <c r="L325">
        <f t="shared" si="55"/>
        <v>0</v>
      </c>
      <c r="M325" t="str">
        <f t="shared" si="58"/>
        <v>462021</v>
      </c>
      <c r="N325" t="str">
        <f t="shared" si="59"/>
        <v>46-11-2021</v>
      </c>
    </row>
    <row r="326" spans="1:14" x14ac:dyDescent="0.2">
      <c r="A326" s="1">
        <v>44521</v>
      </c>
      <c r="B326">
        <f>IFERROR(INDEX('planning dogs-n-tiger'!B$1:B$30,MATCH($H326,'planning dogs-n-tiger'!$G$1:$G$42,0)),0)</f>
        <v>2687</v>
      </c>
      <c r="C326">
        <f>IFERROR(INDEX('planning dogs-n-tiger'!C$1:C$30,MATCH($H326,'planning dogs-n-tiger'!$G$1:$G$42,0)),0)</f>
        <v>25508</v>
      </c>
      <c r="D326">
        <f>IFERROR(INDEX('planning dogs-n-tiger'!D$1:D$30,MATCH($H326,'planning dogs-n-tiger'!$G$1:$G$42,0)),0)</f>
        <v>0</v>
      </c>
      <c r="E326">
        <f t="shared" si="50"/>
        <v>46</v>
      </c>
      <c r="F326">
        <f t="shared" si="51"/>
        <v>11</v>
      </c>
      <c r="G326">
        <f t="shared" si="52"/>
        <v>2021</v>
      </c>
      <c r="H326" t="str">
        <f t="shared" si="56"/>
        <v>112021</v>
      </c>
      <c r="I326">
        <f t="shared" si="57"/>
        <v>30</v>
      </c>
      <c r="J326">
        <f t="shared" si="53"/>
        <v>89.566666666666663</v>
      </c>
      <c r="K326">
        <f t="shared" si="54"/>
        <v>850.26666666666665</v>
      </c>
      <c r="L326">
        <f t="shared" si="55"/>
        <v>0</v>
      </c>
      <c r="M326" t="str">
        <f t="shared" si="58"/>
        <v>462021</v>
      </c>
      <c r="N326" t="str">
        <f t="shared" si="59"/>
        <v>46-11-2021</v>
      </c>
    </row>
    <row r="327" spans="1:14" x14ac:dyDescent="0.2">
      <c r="A327" s="1">
        <v>44522</v>
      </c>
      <c r="B327">
        <f>IFERROR(INDEX('planning dogs-n-tiger'!B$1:B$30,MATCH($H327,'planning dogs-n-tiger'!$G$1:$G$42,0)),0)</f>
        <v>2687</v>
      </c>
      <c r="C327">
        <f>IFERROR(INDEX('planning dogs-n-tiger'!C$1:C$30,MATCH($H327,'planning dogs-n-tiger'!$G$1:$G$42,0)),0)</f>
        <v>25508</v>
      </c>
      <c r="D327">
        <f>IFERROR(INDEX('planning dogs-n-tiger'!D$1:D$30,MATCH($H327,'planning dogs-n-tiger'!$G$1:$G$42,0)),0)</f>
        <v>0</v>
      </c>
      <c r="E327">
        <f t="shared" si="50"/>
        <v>47</v>
      </c>
      <c r="F327">
        <f t="shared" si="51"/>
        <v>11</v>
      </c>
      <c r="G327">
        <f t="shared" si="52"/>
        <v>2021</v>
      </c>
      <c r="H327" t="str">
        <f t="shared" si="56"/>
        <v>112021</v>
      </c>
      <c r="I327">
        <f t="shared" si="57"/>
        <v>30</v>
      </c>
      <c r="J327">
        <f t="shared" si="53"/>
        <v>89.566666666666663</v>
      </c>
      <c r="K327">
        <f t="shared" si="54"/>
        <v>850.26666666666665</v>
      </c>
      <c r="L327">
        <f t="shared" si="55"/>
        <v>0</v>
      </c>
      <c r="M327" t="str">
        <f t="shared" si="58"/>
        <v>472021</v>
      </c>
      <c r="N327" t="str">
        <f t="shared" si="59"/>
        <v>47-11-2021</v>
      </c>
    </row>
    <row r="328" spans="1:14" x14ac:dyDescent="0.2">
      <c r="A328" s="1">
        <v>44523</v>
      </c>
      <c r="B328">
        <f>IFERROR(INDEX('planning dogs-n-tiger'!B$1:B$30,MATCH($H328,'planning dogs-n-tiger'!$G$1:$G$42,0)),0)</f>
        <v>2687</v>
      </c>
      <c r="C328">
        <f>IFERROR(INDEX('planning dogs-n-tiger'!C$1:C$30,MATCH($H328,'planning dogs-n-tiger'!$G$1:$G$42,0)),0)</f>
        <v>25508</v>
      </c>
      <c r="D328">
        <f>IFERROR(INDEX('planning dogs-n-tiger'!D$1:D$30,MATCH($H328,'planning dogs-n-tiger'!$G$1:$G$42,0)),0)</f>
        <v>0</v>
      </c>
      <c r="E328">
        <f t="shared" si="50"/>
        <v>47</v>
      </c>
      <c r="F328">
        <f t="shared" si="51"/>
        <v>11</v>
      </c>
      <c r="G328">
        <f t="shared" si="52"/>
        <v>2021</v>
      </c>
      <c r="H328" t="str">
        <f t="shared" si="56"/>
        <v>112021</v>
      </c>
      <c r="I328">
        <f t="shared" si="57"/>
        <v>30</v>
      </c>
      <c r="J328">
        <f t="shared" si="53"/>
        <v>89.566666666666663</v>
      </c>
      <c r="K328">
        <f t="shared" si="54"/>
        <v>850.26666666666665</v>
      </c>
      <c r="L328">
        <f t="shared" si="55"/>
        <v>0</v>
      </c>
      <c r="M328" t="str">
        <f t="shared" si="58"/>
        <v>472021</v>
      </c>
      <c r="N328" t="str">
        <f t="shared" si="59"/>
        <v>47-11-2021</v>
      </c>
    </row>
    <row r="329" spans="1:14" x14ac:dyDescent="0.2">
      <c r="A329" s="1">
        <v>44524</v>
      </c>
      <c r="B329">
        <f>IFERROR(INDEX('planning dogs-n-tiger'!B$1:B$30,MATCH($H329,'planning dogs-n-tiger'!$G$1:$G$42,0)),0)</f>
        <v>2687</v>
      </c>
      <c r="C329">
        <f>IFERROR(INDEX('planning dogs-n-tiger'!C$1:C$30,MATCH($H329,'planning dogs-n-tiger'!$G$1:$G$42,0)),0)</f>
        <v>25508</v>
      </c>
      <c r="D329">
        <f>IFERROR(INDEX('planning dogs-n-tiger'!D$1:D$30,MATCH($H329,'planning dogs-n-tiger'!$G$1:$G$42,0)),0)</f>
        <v>0</v>
      </c>
      <c r="E329">
        <f t="shared" si="50"/>
        <v>47</v>
      </c>
      <c r="F329">
        <f t="shared" si="51"/>
        <v>11</v>
      </c>
      <c r="G329">
        <f t="shared" si="52"/>
        <v>2021</v>
      </c>
      <c r="H329" t="str">
        <f t="shared" si="56"/>
        <v>112021</v>
      </c>
      <c r="I329">
        <f t="shared" si="57"/>
        <v>30</v>
      </c>
      <c r="J329">
        <f t="shared" si="53"/>
        <v>89.566666666666663</v>
      </c>
      <c r="K329">
        <f t="shared" si="54"/>
        <v>850.26666666666665</v>
      </c>
      <c r="L329">
        <f t="shared" si="55"/>
        <v>0</v>
      </c>
      <c r="M329" t="str">
        <f t="shared" si="58"/>
        <v>472021</v>
      </c>
      <c r="N329" t="str">
        <f t="shared" si="59"/>
        <v>47-11-2021</v>
      </c>
    </row>
    <row r="330" spans="1:14" x14ac:dyDescent="0.2">
      <c r="A330" s="1">
        <v>44525</v>
      </c>
      <c r="B330">
        <f>IFERROR(INDEX('planning dogs-n-tiger'!B$1:B$30,MATCH($H330,'planning dogs-n-tiger'!$G$1:$G$42,0)),0)</f>
        <v>2687</v>
      </c>
      <c r="C330">
        <f>IFERROR(INDEX('planning dogs-n-tiger'!C$1:C$30,MATCH($H330,'planning dogs-n-tiger'!$G$1:$G$42,0)),0)</f>
        <v>25508</v>
      </c>
      <c r="D330">
        <f>IFERROR(INDEX('planning dogs-n-tiger'!D$1:D$30,MATCH($H330,'planning dogs-n-tiger'!$G$1:$G$42,0)),0)</f>
        <v>0</v>
      </c>
      <c r="E330">
        <f t="shared" si="50"/>
        <v>47</v>
      </c>
      <c r="F330">
        <f t="shared" si="51"/>
        <v>11</v>
      </c>
      <c r="G330">
        <f t="shared" si="52"/>
        <v>2021</v>
      </c>
      <c r="H330" t="str">
        <f t="shared" si="56"/>
        <v>112021</v>
      </c>
      <c r="I330">
        <f t="shared" si="57"/>
        <v>30</v>
      </c>
      <c r="J330">
        <f t="shared" si="53"/>
        <v>89.566666666666663</v>
      </c>
      <c r="K330">
        <f t="shared" si="54"/>
        <v>850.26666666666665</v>
      </c>
      <c r="L330">
        <f t="shared" si="55"/>
        <v>0</v>
      </c>
      <c r="M330" t="str">
        <f t="shared" si="58"/>
        <v>472021</v>
      </c>
      <c r="N330" t="str">
        <f t="shared" si="59"/>
        <v>47-11-2021</v>
      </c>
    </row>
    <row r="331" spans="1:14" x14ac:dyDescent="0.2">
      <c r="A331" s="1">
        <v>44526</v>
      </c>
      <c r="B331">
        <f>IFERROR(INDEX('planning dogs-n-tiger'!B$1:B$30,MATCH($H331,'planning dogs-n-tiger'!$G$1:$G$42,0)),0)</f>
        <v>2687</v>
      </c>
      <c r="C331">
        <f>IFERROR(INDEX('planning dogs-n-tiger'!C$1:C$30,MATCH($H331,'planning dogs-n-tiger'!$G$1:$G$42,0)),0)</f>
        <v>25508</v>
      </c>
      <c r="D331">
        <f>IFERROR(INDEX('planning dogs-n-tiger'!D$1:D$30,MATCH($H331,'planning dogs-n-tiger'!$G$1:$G$42,0)),0)</f>
        <v>0</v>
      </c>
      <c r="E331">
        <f t="shared" si="50"/>
        <v>47</v>
      </c>
      <c r="F331">
        <f t="shared" si="51"/>
        <v>11</v>
      </c>
      <c r="G331">
        <f t="shared" si="52"/>
        <v>2021</v>
      </c>
      <c r="H331" t="str">
        <f t="shared" si="56"/>
        <v>112021</v>
      </c>
      <c r="I331">
        <f t="shared" si="57"/>
        <v>30</v>
      </c>
      <c r="J331">
        <f t="shared" si="53"/>
        <v>89.566666666666663</v>
      </c>
      <c r="K331">
        <f t="shared" si="54"/>
        <v>850.26666666666665</v>
      </c>
      <c r="L331">
        <f t="shared" si="55"/>
        <v>0</v>
      </c>
      <c r="M331" t="str">
        <f t="shared" si="58"/>
        <v>472021</v>
      </c>
      <c r="N331" t="str">
        <f t="shared" si="59"/>
        <v>47-11-2021</v>
      </c>
    </row>
    <row r="332" spans="1:14" x14ac:dyDescent="0.2">
      <c r="A332" s="1">
        <v>44527</v>
      </c>
      <c r="B332">
        <f>IFERROR(INDEX('planning dogs-n-tiger'!B$1:B$30,MATCH($H332,'planning dogs-n-tiger'!$G$1:$G$42,0)),0)</f>
        <v>2687</v>
      </c>
      <c r="C332">
        <f>IFERROR(INDEX('planning dogs-n-tiger'!C$1:C$30,MATCH($H332,'planning dogs-n-tiger'!$G$1:$G$42,0)),0)</f>
        <v>25508</v>
      </c>
      <c r="D332">
        <f>IFERROR(INDEX('planning dogs-n-tiger'!D$1:D$30,MATCH($H332,'planning dogs-n-tiger'!$G$1:$G$42,0)),0)</f>
        <v>0</v>
      </c>
      <c r="E332">
        <f t="shared" si="50"/>
        <v>47</v>
      </c>
      <c r="F332">
        <f t="shared" si="51"/>
        <v>11</v>
      </c>
      <c r="G332">
        <f t="shared" si="52"/>
        <v>2021</v>
      </c>
      <c r="H332" t="str">
        <f t="shared" si="56"/>
        <v>112021</v>
      </c>
      <c r="I332">
        <f t="shared" si="57"/>
        <v>30</v>
      </c>
      <c r="J332">
        <f t="shared" si="53"/>
        <v>89.566666666666663</v>
      </c>
      <c r="K332">
        <f t="shared" si="54"/>
        <v>850.26666666666665</v>
      </c>
      <c r="L332">
        <f t="shared" si="55"/>
        <v>0</v>
      </c>
      <c r="M332" t="str">
        <f t="shared" si="58"/>
        <v>472021</v>
      </c>
      <c r="N332" t="str">
        <f t="shared" si="59"/>
        <v>47-11-2021</v>
      </c>
    </row>
    <row r="333" spans="1:14" x14ac:dyDescent="0.2">
      <c r="A333" s="1">
        <v>44528</v>
      </c>
      <c r="B333">
        <f>IFERROR(INDEX('planning dogs-n-tiger'!B$1:B$30,MATCH($H333,'planning dogs-n-tiger'!$G$1:$G$42,0)),0)</f>
        <v>2687</v>
      </c>
      <c r="C333">
        <f>IFERROR(INDEX('planning dogs-n-tiger'!C$1:C$30,MATCH($H333,'planning dogs-n-tiger'!$G$1:$G$42,0)),0)</f>
        <v>25508</v>
      </c>
      <c r="D333">
        <f>IFERROR(INDEX('planning dogs-n-tiger'!D$1:D$30,MATCH($H333,'planning dogs-n-tiger'!$G$1:$G$42,0)),0)</f>
        <v>0</v>
      </c>
      <c r="E333">
        <f t="shared" si="50"/>
        <v>47</v>
      </c>
      <c r="F333">
        <f t="shared" si="51"/>
        <v>11</v>
      </c>
      <c r="G333">
        <f t="shared" si="52"/>
        <v>2021</v>
      </c>
      <c r="H333" t="str">
        <f t="shared" si="56"/>
        <v>112021</v>
      </c>
      <c r="I333">
        <f t="shared" si="57"/>
        <v>30</v>
      </c>
      <c r="J333">
        <f t="shared" si="53"/>
        <v>89.566666666666663</v>
      </c>
      <c r="K333">
        <f t="shared" si="54"/>
        <v>850.26666666666665</v>
      </c>
      <c r="L333">
        <f t="shared" si="55"/>
        <v>0</v>
      </c>
      <c r="M333" t="str">
        <f t="shared" si="58"/>
        <v>472021</v>
      </c>
      <c r="N333" t="str">
        <f t="shared" si="59"/>
        <v>47-11-2021</v>
      </c>
    </row>
    <row r="334" spans="1:14" x14ac:dyDescent="0.2">
      <c r="A334" s="1">
        <v>44529</v>
      </c>
      <c r="B334">
        <f>IFERROR(INDEX('planning dogs-n-tiger'!B$1:B$30,MATCH($H334,'planning dogs-n-tiger'!$G$1:$G$42,0)),0)</f>
        <v>2687</v>
      </c>
      <c r="C334">
        <f>IFERROR(INDEX('planning dogs-n-tiger'!C$1:C$30,MATCH($H334,'planning dogs-n-tiger'!$G$1:$G$42,0)),0)</f>
        <v>25508</v>
      </c>
      <c r="D334">
        <f>IFERROR(INDEX('planning dogs-n-tiger'!D$1:D$30,MATCH($H334,'planning dogs-n-tiger'!$G$1:$G$42,0)),0)</f>
        <v>0</v>
      </c>
      <c r="E334">
        <f t="shared" si="50"/>
        <v>48</v>
      </c>
      <c r="F334">
        <f t="shared" si="51"/>
        <v>11</v>
      </c>
      <c r="G334">
        <f t="shared" si="52"/>
        <v>2021</v>
      </c>
      <c r="H334" t="str">
        <f t="shared" si="56"/>
        <v>112021</v>
      </c>
      <c r="I334">
        <f t="shared" si="57"/>
        <v>30</v>
      </c>
      <c r="J334">
        <f t="shared" si="53"/>
        <v>89.566666666666663</v>
      </c>
      <c r="K334">
        <f t="shared" si="54"/>
        <v>850.26666666666665</v>
      </c>
      <c r="L334">
        <f t="shared" si="55"/>
        <v>0</v>
      </c>
      <c r="M334" t="str">
        <f t="shared" si="58"/>
        <v>482021</v>
      </c>
      <c r="N334" t="str">
        <f t="shared" si="59"/>
        <v>48-11-2021</v>
      </c>
    </row>
    <row r="335" spans="1:14" x14ac:dyDescent="0.2">
      <c r="A335" s="1">
        <v>44530</v>
      </c>
      <c r="B335">
        <f>IFERROR(INDEX('planning dogs-n-tiger'!B$1:B$30,MATCH($H335,'planning dogs-n-tiger'!$G$1:$G$42,0)),0)</f>
        <v>2687</v>
      </c>
      <c r="C335">
        <f>IFERROR(INDEX('planning dogs-n-tiger'!C$1:C$30,MATCH($H335,'planning dogs-n-tiger'!$G$1:$G$42,0)),0)</f>
        <v>25508</v>
      </c>
      <c r="D335">
        <f>IFERROR(INDEX('planning dogs-n-tiger'!D$1:D$30,MATCH($H335,'planning dogs-n-tiger'!$G$1:$G$42,0)),0)</f>
        <v>0</v>
      </c>
      <c r="E335">
        <f t="shared" si="50"/>
        <v>48</v>
      </c>
      <c r="F335">
        <f t="shared" si="51"/>
        <v>11</v>
      </c>
      <c r="G335">
        <f t="shared" si="52"/>
        <v>2021</v>
      </c>
      <c r="H335" t="str">
        <f t="shared" si="56"/>
        <v>112021</v>
      </c>
      <c r="I335">
        <f t="shared" si="57"/>
        <v>30</v>
      </c>
      <c r="J335">
        <f t="shared" si="53"/>
        <v>89.566666666666663</v>
      </c>
      <c r="K335">
        <f t="shared" si="54"/>
        <v>850.26666666666665</v>
      </c>
      <c r="L335">
        <f t="shared" si="55"/>
        <v>0</v>
      </c>
      <c r="M335" t="str">
        <f t="shared" si="58"/>
        <v>482021</v>
      </c>
      <c r="N335" t="str">
        <f t="shared" si="59"/>
        <v>48-11-2021</v>
      </c>
    </row>
    <row r="336" spans="1:14" x14ac:dyDescent="0.2">
      <c r="A336" s="1">
        <v>44531</v>
      </c>
      <c r="B336">
        <f>IFERROR(INDEX('planning dogs-n-tiger'!B$1:B$30,MATCH($H336,'planning dogs-n-tiger'!$G$1:$G$42,0)),0)</f>
        <v>2998</v>
      </c>
      <c r="C336">
        <f>IFERROR(INDEX('planning dogs-n-tiger'!C$1:C$30,MATCH($H336,'planning dogs-n-tiger'!$G$1:$G$42,0)),0)</f>
        <v>14357.28</v>
      </c>
      <c r="D336">
        <f>IFERROR(INDEX('planning dogs-n-tiger'!D$1:D$30,MATCH($H336,'planning dogs-n-tiger'!$G$1:$G$42,0)),0)</f>
        <v>0</v>
      </c>
      <c r="E336">
        <f t="shared" si="50"/>
        <v>48</v>
      </c>
      <c r="F336">
        <f t="shared" si="51"/>
        <v>12</v>
      </c>
      <c r="G336">
        <f t="shared" si="52"/>
        <v>2021</v>
      </c>
      <c r="H336" t="str">
        <f t="shared" si="56"/>
        <v>122021</v>
      </c>
      <c r="I336">
        <f t="shared" si="57"/>
        <v>31</v>
      </c>
      <c r="J336">
        <f t="shared" si="53"/>
        <v>96.709677419354833</v>
      </c>
      <c r="K336">
        <f t="shared" si="54"/>
        <v>463.13806451612908</v>
      </c>
      <c r="L336">
        <f t="shared" si="55"/>
        <v>0</v>
      </c>
      <c r="M336" t="str">
        <f t="shared" si="58"/>
        <v>482021</v>
      </c>
      <c r="N336" t="str">
        <f t="shared" si="59"/>
        <v>48-12-2021</v>
      </c>
    </row>
    <row r="337" spans="1:14" x14ac:dyDescent="0.2">
      <c r="A337" s="1">
        <v>44532</v>
      </c>
      <c r="B337">
        <f>IFERROR(INDEX('planning dogs-n-tiger'!B$1:B$30,MATCH($H337,'planning dogs-n-tiger'!$G$1:$G$42,0)),0)</f>
        <v>2998</v>
      </c>
      <c r="C337">
        <f>IFERROR(INDEX('planning dogs-n-tiger'!C$1:C$30,MATCH($H337,'planning dogs-n-tiger'!$G$1:$G$42,0)),0)</f>
        <v>14357.28</v>
      </c>
      <c r="D337">
        <f>IFERROR(INDEX('planning dogs-n-tiger'!D$1:D$30,MATCH($H337,'planning dogs-n-tiger'!$G$1:$G$42,0)),0)</f>
        <v>0</v>
      </c>
      <c r="E337">
        <f t="shared" si="50"/>
        <v>48</v>
      </c>
      <c r="F337">
        <f t="shared" si="51"/>
        <v>12</v>
      </c>
      <c r="G337">
        <f t="shared" si="52"/>
        <v>2021</v>
      </c>
      <c r="H337" t="str">
        <f t="shared" si="56"/>
        <v>122021</v>
      </c>
      <c r="I337">
        <f t="shared" si="57"/>
        <v>31</v>
      </c>
      <c r="J337">
        <f t="shared" si="53"/>
        <v>96.709677419354833</v>
      </c>
      <c r="K337">
        <f t="shared" si="54"/>
        <v>463.13806451612908</v>
      </c>
      <c r="L337">
        <f t="shared" si="55"/>
        <v>0</v>
      </c>
      <c r="M337" t="str">
        <f t="shared" si="58"/>
        <v>482021</v>
      </c>
      <c r="N337" t="str">
        <f t="shared" si="59"/>
        <v>48-12-2021</v>
      </c>
    </row>
    <row r="338" spans="1:14" x14ac:dyDescent="0.2">
      <c r="A338" s="1">
        <v>44533</v>
      </c>
      <c r="B338">
        <f>IFERROR(INDEX('planning dogs-n-tiger'!B$1:B$30,MATCH($H338,'planning dogs-n-tiger'!$G$1:$G$42,0)),0)</f>
        <v>2998</v>
      </c>
      <c r="C338">
        <f>IFERROR(INDEX('planning dogs-n-tiger'!C$1:C$30,MATCH($H338,'planning dogs-n-tiger'!$G$1:$G$42,0)),0)</f>
        <v>14357.28</v>
      </c>
      <c r="D338">
        <f>IFERROR(INDEX('planning dogs-n-tiger'!D$1:D$30,MATCH($H338,'planning dogs-n-tiger'!$G$1:$G$42,0)),0)</f>
        <v>0</v>
      </c>
      <c r="E338">
        <f t="shared" si="50"/>
        <v>48</v>
      </c>
      <c r="F338">
        <f t="shared" si="51"/>
        <v>12</v>
      </c>
      <c r="G338">
        <f t="shared" si="52"/>
        <v>2021</v>
      </c>
      <c r="H338" t="str">
        <f t="shared" si="56"/>
        <v>122021</v>
      </c>
      <c r="I338">
        <f t="shared" si="57"/>
        <v>31</v>
      </c>
      <c r="J338">
        <f t="shared" si="53"/>
        <v>96.709677419354833</v>
      </c>
      <c r="K338">
        <f t="shared" si="54"/>
        <v>463.13806451612908</v>
      </c>
      <c r="L338">
        <f t="shared" si="55"/>
        <v>0</v>
      </c>
      <c r="M338" t="str">
        <f t="shared" si="58"/>
        <v>482021</v>
      </c>
      <c r="N338" t="str">
        <f t="shared" si="59"/>
        <v>48-12-2021</v>
      </c>
    </row>
    <row r="339" spans="1:14" x14ac:dyDescent="0.2">
      <c r="A339" s="1">
        <v>44534</v>
      </c>
      <c r="B339">
        <f>IFERROR(INDEX('planning dogs-n-tiger'!B$1:B$30,MATCH($H339,'planning dogs-n-tiger'!$G$1:$G$42,0)),0)</f>
        <v>2998</v>
      </c>
      <c r="C339">
        <f>IFERROR(INDEX('planning dogs-n-tiger'!C$1:C$30,MATCH($H339,'planning dogs-n-tiger'!$G$1:$G$42,0)),0)</f>
        <v>14357.28</v>
      </c>
      <c r="D339">
        <f>IFERROR(INDEX('planning dogs-n-tiger'!D$1:D$30,MATCH($H339,'planning dogs-n-tiger'!$G$1:$G$42,0)),0)</f>
        <v>0</v>
      </c>
      <c r="E339">
        <f t="shared" si="50"/>
        <v>48</v>
      </c>
      <c r="F339">
        <f t="shared" si="51"/>
        <v>12</v>
      </c>
      <c r="G339">
        <f t="shared" si="52"/>
        <v>2021</v>
      </c>
      <c r="H339" t="str">
        <f t="shared" si="56"/>
        <v>122021</v>
      </c>
      <c r="I339">
        <f t="shared" si="57"/>
        <v>31</v>
      </c>
      <c r="J339">
        <f t="shared" si="53"/>
        <v>96.709677419354833</v>
      </c>
      <c r="K339">
        <f t="shared" si="54"/>
        <v>463.13806451612908</v>
      </c>
      <c r="L339">
        <f t="shared" si="55"/>
        <v>0</v>
      </c>
      <c r="M339" t="str">
        <f t="shared" si="58"/>
        <v>482021</v>
      </c>
      <c r="N339" t="str">
        <f t="shared" si="59"/>
        <v>48-12-2021</v>
      </c>
    </row>
    <row r="340" spans="1:14" x14ac:dyDescent="0.2">
      <c r="A340" s="1">
        <v>44535</v>
      </c>
      <c r="B340">
        <f>IFERROR(INDEX('planning dogs-n-tiger'!B$1:B$30,MATCH($H340,'planning dogs-n-tiger'!$G$1:$G$42,0)),0)</f>
        <v>2998</v>
      </c>
      <c r="C340">
        <f>IFERROR(INDEX('planning dogs-n-tiger'!C$1:C$30,MATCH($H340,'planning dogs-n-tiger'!$G$1:$G$42,0)),0)</f>
        <v>14357.28</v>
      </c>
      <c r="D340">
        <f>IFERROR(INDEX('planning dogs-n-tiger'!D$1:D$30,MATCH($H340,'planning dogs-n-tiger'!$G$1:$G$42,0)),0)</f>
        <v>0</v>
      </c>
      <c r="E340">
        <f t="shared" si="50"/>
        <v>48</v>
      </c>
      <c r="F340">
        <f t="shared" si="51"/>
        <v>12</v>
      </c>
      <c r="G340">
        <f t="shared" si="52"/>
        <v>2021</v>
      </c>
      <c r="H340" t="str">
        <f t="shared" si="56"/>
        <v>122021</v>
      </c>
      <c r="I340">
        <f t="shared" si="57"/>
        <v>31</v>
      </c>
      <c r="J340">
        <f t="shared" si="53"/>
        <v>96.709677419354833</v>
      </c>
      <c r="K340">
        <f t="shared" si="54"/>
        <v>463.13806451612908</v>
      </c>
      <c r="L340">
        <f t="shared" si="55"/>
        <v>0</v>
      </c>
      <c r="M340" t="str">
        <f t="shared" si="58"/>
        <v>482021</v>
      </c>
      <c r="N340" t="str">
        <f t="shared" si="59"/>
        <v>48-12-2021</v>
      </c>
    </row>
    <row r="341" spans="1:14" x14ac:dyDescent="0.2">
      <c r="A341" s="1">
        <v>44536</v>
      </c>
      <c r="B341">
        <f>IFERROR(INDEX('planning dogs-n-tiger'!B$1:B$30,MATCH($H341,'planning dogs-n-tiger'!$G$1:$G$42,0)),0)</f>
        <v>2998</v>
      </c>
      <c r="C341">
        <f>IFERROR(INDEX('planning dogs-n-tiger'!C$1:C$30,MATCH($H341,'planning dogs-n-tiger'!$G$1:$G$42,0)),0)</f>
        <v>14357.28</v>
      </c>
      <c r="D341">
        <f>IFERROR(INDEX('planning dogs-n-tiger'!D$1:D$30,MATCH($H341,'planning dogs-n-tiger'!$G$1:$G$42,0)),0)</f>
        <v>0</v>
      </c>
      <c r="E341">
        <f t="shared" si="50"/>
        <v>49</v>
      </c>
      <c r="F341">
        <f t="shared" si="51"/>
        <v>12</v>
      </c>
      <c r="G341">
        <f t="shared" si="52"/>
        <v>2021</v>
      </c>
      <c r="H341" t="str">
        <f t="shared" si="56"/>
        <v>122021</v>
      </c>
      <c r="I341">
        <f t="shared" si="57"/>
        <v>31</v>
      </c>
      <c r="J341">
        <f t="shared" si="53"/>
        <v>96.709677419354833</v>
      </c>
      <c r="K341">
        <f t="shared" si="54"/>
        <v>463.13806451612908</v>
      </c>
      <c r="L341">
        <f t="shared" si="55"/>
        <v>0</v>
      </c>
      <c r="M341" t="str">
        <f t="shared" si="58"/>
        <v>492021</v>
      </c>
      <c r="N341" t="str">
        <f t="shared" si="59"/>
        <v>49-12-2021</v>
      </c>
    </row>
    <row r="342" spans="1:14" x14ac:dyDescent="0.2">
      <c r="A342" s="1">
        <v>44537</v>
      </c>
      <c r="B342">
        <f>IFERROR(INDEX('planning dogs-n-tiger'!B$1:B$30,MATCH($H342,'planning dogs-n-tiger'!$G$1:$G$42,0)),0)</f>
        <v>2998</v>
      </c>
      <c r="C342">
        <f>IFERROR(INDEX('planning dogs-n-tiger'!C$1:C$30,MATCH($H342,'planning dogs-n-tiger'!$G$1:$G$42,0)),0)</f>
        <v>14357.28</v>
      </c>
      <c r="D342">
        <f>IFERROR(INDEX('planning dogs-n-tiger'!D$1:D$30,MATCH($H342,'planning dogs-n-tiger'!$G$1:$G$42,0)),0)</f>
        <v>0</v>
      </c>
      <c r="E342">
        <f t="shared" si="50"/>
        <v>49</v>
      </c>
      <c r="F342">
        <f t="shared" si="51"/>
        <v>12</v>
      </c>
      <c r="G342">
        <f t="shared" si="52"/>
        <v>2021</v>
      </c>
      <c r="H342" t="str">
        <f t="shared" si="56"/>
        <v>122021</v>
      </c>
      <c r="I342">
        <f t="shared" si="57"/>
        <v>31</v>
      </c>
      <c r="J342">
        <f t="shared" si="53"/>
        <v>96.709677419354833</v>
      </c>
      <c r="K342">
        <f t="shared" si="54"/>
        <v>463.13806451612908</v>
      </c>
      <c r="L342">
        <f t="shared" si="55"/>
        <v>0</v>
      </c>
      <c r="M342" t="str">
        <f t="shared" si="58"/>
        <v>492021</v>
      </c>
      <c r="N342" t="str">
        <f t="shared" si="59"/>
        <v>49-12-2021</v>
      </c>
    </row>
    <row r="343" spans="1:14" x14ac:dyDescent="0.2">
      <c r="A343" s="1">
        <v>44538</v>
      </c>
      <c r="B343">
        <f>IFERROR(INDEX('planning dogs-n-tiger'!B$1:B$30,MATCH($H343,'planning dogs-n-tiger'!$G$1:$G$42,0)),0)</f>
        <v>2998</v>
      </c>
      <c r="C343">
        <f>IFERROR(INDEX('planning dogs-n-tiger'!C$1:C$30,MATCH($H343,'planning dogs-n-tiger'!$G$1:$G$42,0)),0)</f>
        <v>14357.28</v>
      </c>
      <c r="D343">
        <f>IFERROR(INDEX('planning dogs-n-tiger'!D$1:D$30,MATCH($H343,'planning dogs-n-tiger'!$G$1:$G$42,0)),0)</f>
        <v>0</v>
      </c>
      <c r="E343">
        <f t="shared" si="50"/>
        <v>49</v>
      </c>
      <c r="F343">
        <f t="shared" si="51"/>
        <v>12</v>
      </c>
      <c r="G343">
        <f t="shared" si="52"/>
        <v>2021</v>
      </c>
      <c r="H343" t="str">
        <f t="shared" si="56"/>
        <v>122021</v>
      </c>
      <c r="I343">
        <f t="shared" si="57"/>
        <v>31</v>
      </c>
      <c r="J343">
        <f t="shared" si="53"/>
        <v>96.709677419354833</v>
      </c>
      <c r="K343">
        <f t="shared" si="54"/>
        <v>463.13806451612908</v>
      </c>
      <c r="L343">
        <f t="shared" si="55"/>
        <v>0</v>
      </c>
      <c r="M343" t="str">
        <f t="shared" si="58"/>
        <v>492021</v>
      </c>
      <c r="N343" t="str">
        <f t="shared" si="59"/>
        <v>49-12-2021</v>
      </c>
    </row>
    <row r="344" spans="1:14" x14ac:dyDescent="0.2">
      <c r="A344" s="1">
        <v>44539</v>
      </c>
      <c r="B344">
        <f>IFERROR(INDEX('planning dogs-n-tiger'!B$1:B$30,MATCH($H344,'planning dogs-n-tiger'!$G$1:$G$42,0)),0)</f>
        <v>2998</v>
      </c>
      <c r="C344">
        <f>IFERROR(INDEX('planning dogs-n-tiger'!C$1:C$30,MATCH($H344,'planning dogs-n-tiger'!$G$1:$G$42,0)),0)</f>
        <v>14357.28</v>
      </c>
      <c r="D344">
        <f>IFERROR(INDEX('planning dogs-n-tiger'!D$1:D$30,MATCH($H344,'planning dogs-n-tiger'!$G$1:$G$42,0)),0)</f>
        <v>0</v>
      </c>
      <c r="E344">
        <f t="shared" si="50"/>
        <v>49</v>
      </c>
      <c r="F344">
        <f t="shared" si="51"/>
        <v>12</v>
      </c>
      <c r="G344">
        <f t="shared" si="52"/>
        <v>2021</v>
      </c>
      <c r="H344" t="str">
        <f t="shared" si="56"/>
        <v>122021</v>
      </c>
      <c r="I344">
        <f t="shared" si="57"/>
        <v>31</v>
      </c>
      <c r="J344">
        <f t="shared" si="53"/>
        <v>96.709677419354833</v>
      </c>
      <c r="K344">
        <f t="shared" si="54"/>
        <v>463.13806451612908</v>
      </c>
      <c r="L344">
        <f t="shared" si="55"/>
        <v>0</v>
      </c>
      <c r="M344" t="str">
        <f t="shared" si="58"/>
        <v>492021</v>
      </c>
      <c r="N344" t="str">
        <f t="shared" si="59"/>
        <v>49-12-2021</v>
      </c>
    </row>
    <row r="345" spans="1:14" x14ac:dyDescent="0.2">
      <c r="A345" s="1">
        <v>44540</v>
      </c>
      <c r="B345">
        <f>IFERROR(INDEX('planning dogs-n-tiger'!B$1:B$30,MATCH($H345,'planning dogs-n-tiger'!$G$1:$G$42,0)),0)</f>
        <v>2998</v>
      </c>
      <c r="C345">
        <f>IFERROR(INDEX('planning dogs-n-tiger'!C$1:C$30,MATCH($H345,'planning dogs-n-tiger'!$G$1:$G$42,0)),0)</f>
        <v>14357.28</v>
      </c>
      <c r="D345">
        <f>IFERROR(INDEX('planning dogs-n-tiger'!D$1:D$30,MATCH($H345,'planning dogs-n-tiger'!$G$1:$G$42,0)),0)</f>
        <v>0</v>
      </c>
      <c r="E345">
        <f t="shared" si="50"/>
        <v>49</v>
      </c>
      <c r="F345">
        <f t="shared" si="51"/>
        <v>12</v>
      </c>
      <c r="G345">
        <f t="shared" si="52"/>
        <v>2021</v>
      </c>
      <c r="H345" t="str">
        <f t="shared" si="56"/>
        <v>122021</v>
      </c>
      <c r="I345">
        <f t="shared" si="57"/>
        <v>31</v>
      </c>
      <c r="J345">
        <f t="shared" si="53"/>
        <v>96.709677419354833</v>
      </c>
      <c r="K345">
        <f t="shared" si="54"/>
        <v>463.13806451612908</v>
      </c>
      <c r="L345">
        <f t="shared" si="55"/>
        <v>0</v>
      </c>
      <c r="M345" t="str">
        <f t="shared" si="58"/>
        <v>492021</v>
      </c>
      <c r="N345" t="str">
        <f t="shared" si="59"/>
        <v>49-12-2021</v>
      </c>
    </row>
    <row r="346" spans="1:14" x14ac:dyDescent="0.2">
      <c r="A346" s="1">
        <v>44541</v>
      </c>
      <c r="B346">
        <f>IFERROR(INDEX('planning dogs-n-tiger'!B$1:B$30,MATCH($H346,'planning dogs-n-tiger'!$G$1:$G$42,0)),0)</f>
        <v>2998</v>
      </c>
      <c r="C346">
        <f>IFERROR(INDEX('planning dogs-n-tiger'!C$1:C$30,MATCH($H346,'planning dogs-n-tiger'!$G$1:$G$42,0)),0)</f>
        <v>14357.28</v>
      </c>
      <c r="D346">
        <f>IFERROR(INDEX('planning dogs-n-tiger'!D$1:D$30,MATCH($H346,'planning dogs-n-tiger'!$G$1:$G$42,0)),0)</f>
        <v>0</v>
      </c>
      <c r="E346">
        <f t="shared" si="50"/>
        <v>49</v>
      </c>
      <c r="F346">
        <f t="shared" si="51"/>
        <v>12</v>
      </c>
      <c r="G346">
        <f t="shared" si="52"/>
        <v>2021</v>
      </c>
      <c r="H346" t="str">
        <f t="shared" si="56"/>
        <v>122021</v>
      </c>
      <c r="I346">
        <f t="shared" si="57"/>
        <v>31</v>
      </c>
      <c r="J346">
        <f t="shared" si="53"/>
        <v>96.709677419354833</v>
      </c>
      <c r="K346">
        <f t="shared" si="54"/>
        <v>463.13806451612908</v>
      </c>
      <c r="L346">
        <f t="shared" si="55"/>
        <v>0</v>
      </c>
      <c r="M346" t="str">
        <f t="shared" si="58"/>
        <v>492021</v>
      </c>
      <c r="N346" t="str">
        <f t="shared" si="59"/>
        <v>49-12-2021</v>
      </c>
    </row>
    <row r="347" spans="1:14" x14ac:dyDescent="0.2">
      <c r="A347" s="1">
        <v>44542</v>
      </c>
      <c r="B347">
        <f>IFERROR(INDEX('planning dogs-n-tiger'!B$1:B$30,MATCH($H347,'planning dogs-n-tiger'!$G$1:$G$42,0)),0)</f>
        <v>2998</v>
      </c>
      <c r="C347">
        <f>IFERROR(INDEX('planning dogs-n-tiger'!C$1:C$30,MATCH($H347,'planning dogs-n-tiger'!$G$1:$G$42,0)),0)</f>
        <v>14357.28</v>
      </c>
      <c r="D347">
        <f>IFERROR(INDEX('planning dogs-n-tiger'!D$1:D$30,MATCH($H347,'planning dogs-n-tiger'!$G$1:$G$42,0)),0)</f>
        <v>0</v>
      </c>
      <c r="E347">
        <f t="shared" si="50"/>
        <v>49</v>
      </c>
      <c r="F347">
        <f t="shared" si="51"/>
        <v>12</v>
      </c>
      <c r="G347">
        <f t="shared" si="52"/>
        <v>2021</v>
      </c>
      <c r="H347" t="str">
        <f t="shared" si="56"/>
        <v>122021</v>
      </c>
      <c r="I347">
        <f t="shared" si="57"/>
        <v>31</v>
      </c>
      <c r="J347">
        <f t="shared" si="53"/>
        <v>96.709677419354833</v>
      </c>
      <c r="K347">
        <f t="shared" si="54"/>
        <v>463.13806451612908</v>
      </c>
      <c r="L347">
        <f t="shared" si="55"/>
        <v>0</v>
      </c>
      <c r="M347" t="str">
        <f t="shared" si="58"/>
        <v>492021</v>
      </c>
      <c r="N347" t="str">
        <f t="shared" si="59"/>
        <v>49-12-2021</v>
      </c>
    </row>
    <row r="348" spans="1:14" x14ac:dyDescent="0.2">
      <c r="A348" s="1">
        <v>44543</v>
      </c>
      <c r="B348">
        <f>IFERROR(INDEX('planning dogs-n-tiger'!B$1:B$30,MATCH($H348,'planning dogs-n-tiger'!$G$1:$G$42,0)),0)</f>
        <v>2998</v>
      </c>
      <c r="C348">
        <f>IFERROR(INDEX('planning dogs-n-tiger'!C$1:C$30,MATCH($H348,'planning dogs-n-tiger'!$G$1:$G$42,0)),0)</f>
        <v>14357.28</v>
      </c>
      <c r="D348">
        <f>IFERROR(INDEX('planning dogs-n-tiger'!D$1:D$30,MATCH($H348,'planning dogs-n-tiger'!$G$1:$G$42,0)),0)</f>
        <v>0</v>
      </c>
      <c r="E348">
        <f t="shared" si="50"/>
        <v>50</v>
      </c>
      <c r="F348">
        <f t="shared" si="51"/>
        <v>12</v>
      </c>
      <c r="G348">
        <f t="shared" si="52"/>
        <v>2021</v>
      </c>
      <c r="H348" t="str">
        <f t="shared" si="56"/>
        <v>122021</v>
      </c>
      <c r="I348">
        <f t="shared" si="57"/>
        <v>31</v>
      </c>
      <c r="J348">
        <f t="shared" si="53"/>
        <v>96.709677419354833</v>
      </c>
      <c r="K348">
        <f t="shared" si="54"/>
        <v>463.13806451612908</v>
      </c>
      <c r="L348">
        <f t="shared" si="55"/>
        <v>0</v>
      </c>
      <c r="M348" t="str">
        <f t="shared" si="58"/>
        <v>502021</v>
      </c>
      <c r="N348" t="str">
        <f t="shared" si="59"/>
        <v>50-12-2021</v>
      </c>
    </row>
    <row r="349" spans="1:14" x14ac:dyDescent="0.2">
      <c r="A349" s="1">
        <v>44544</v>
      </c>
      <c r="B349">
        <f>IFERROR(INDEX('planning dogs-n-tiger'!B$1:B$30,MATCH($H349,'planning dogs-n-tiger'!$G$1:$G$42,0)),0)</f>
        <v>2998</v>
      </c>
      <c r="C349">
        <f>IFERROR(INDEX('planning dogs-n-tiger'!C$1:C$30,MATCH($H349,'planning dogs-n-tiger'!$G$1:$G$42,0)),0)</f>
        <v>14357.28</v>
      </c>
      <c r="D349">
        <f>IFERROR(INDEX('planning dogs-n-tiger'!D$1:D$30,MATCH($H349,'planning dogs-n-tiger'!$G$1:$G$42,0)),0)</f>
        <v>0</v>
      </c>
      <c r="E349">
        <f t="shared" si="50"/>
        <v>50</v>
      </c>
      <c r="F349">
        <f t="shared" si="51"/>
        <v>12</v>
      </c>
      <c r="G349">
        <f t="shared" si="52"/>
        <v>2021</v>
      </c>
      <c r="H349" t="str">
        <f t="shared" si="56"/>
        <v>122021</v>
      </c>
      <c r="I349">
        <f t="shared" si="57"/>
        <v>31</v>
      </c>
      <c r="J349">
        <f t="shared" si="53"/>
        <v>96.709677419354833</v>
      </c>
      <c r="K349">
        <f t="shared" si="54"/>
        <v>463.13806451612908</v>
      </c>
      <c r="L349">
        <f t="shared" si="55"/>
        <v>0</v>
      </c>
      <c r="M349" t="str">
        <f t="shared" si="58"/>
        <v>502021</v>
      </c>
      <c r="N349" t="str">
        <f t="shared" si="59"/>
        <v>50-12-2021</v>
      </c>
    </row>
    <row r="350" spans="1:14" x14ac:dyDescent="0.2">
      <c r="A350" s="1">
        <v>44545</v>
      </c>
      <c r="B350">
        <f>IFERROR(INDEX('planning dogs-n-tiger'!B$1:B$30,MATCH($H350,'planning dogs-n-tiger'!$G$1:$G$42,0)),0)</f>
        <v>2998</v>
      </c>
      <c r="C350">
        <f>IFERROR(INDEX('planning dogs-n-tiger'!C$1:C$30,MATCH($H350,'planning dogs-n-tiger'!$G$1:$G$42,0)),0)</f>
        <v>14357.28</v>
      </c>
      <c r="D350">
        <f>IFERROR(INDEX('planning dogs-n-tiger'!D$1:D$30,MATCH($H350,'planning dogs-n-tiger'!$G$1:$G$42,0)),0)</f>
        <v>0</v>
      </c>
      <c r="E350">
        <f t="shared" si="50"/>
        <v>50</v>
      </c>
      <c r="F350">
        <f t="shared" si="51"/>
        <v>12</v>
      </c>
      <c r="G350">
        <f t="shared" si="52"/>
        <v>2021</v>
      </c>
      <c r="H350" t="str">
        <f t="shared" si="56"/>
        <v>122021</v>
      </c>
      <c r="I350">
        <f t="shared" si="57"/>
        <v>31</v>
      </c>
      <c r="J350">
        <f t="shared" si="53"/>
        <v>96.709677419354833</v>
      </c>
      <c r="K350">
        <f t="shared" si="54"/>
        <v>463.13806451612908</v>
      </c>
      <c r="L350">
        <f t="shared" si="55"/>
        <v>0</v>
      </c>
      <c r="M350" t="str">
        <f t="shared" si="58"/>
        <v>502021</v>
      </c>
      <c r="N350" t="str">
        <f t="shared" si="59"/>
        <v>50-12-2021</v>
      </c>
    </row>
    <row r="351" spans="1:14" x14ac:dyDescent="0.2">
      <c r="A351" s="1">
        <v>44546</v>
      </c>
      <c r="B351">
        <f>IFERROR(INDEX('planning dogs-n-tiger'!B$1:B$30,MATCH($H351,'planning dogs-n-tiger'!$G$1:$G$42,0)),0)</f>
        <v>2998</v>
      </c>
      <c r="C351">
        <f>IFERROR(INDEX('planning dogs-n-tiger'!C$1:C$30,MATCH($H351,'planning dogs-n-tiger'!$G$1:$G$42,0)),0)</f>
        <v>14357.28</v>
      </c>
      <c r="D351">
        <f>IFERROR(INDEX('planning dogs-n-tiger'!D$1:D$30,MATCH($H351,'planning dogs-n-tiger'!$G$1:$G$42,0)),0)</f>
        <v>0</v>
      </c>
      <c r="E351">
        <f t="shared" si="50"/>
        <v>50</v>
      </c>
      <c r="F351">
        <f t="shared" si="51"/>
        <v>12</v>
      </c>
      <c r="G351">
        <f t="shared" si="52"/>
        <v>2021</v>
      </c>
      <c r="H351" t="str">
        <f t="shared" si="56"/>
        <v>122021</v>
      </c>
      <c r="I351">
        <f t="shared" si="57"/>
        <v>31</v>
      </c>
      <c r="J351">
        <f t="shared" si="53"/>
        <v>96.709677419354833</v>
      </c>
      <c r="K351">
        <f t="shared" si="54"/>
        <v>463.13806451612908</v>
      </c>
      <c r="L351">
        <f t="shared" si="55"/>
        <v>0</v>
      </c>
      <c r="M351" t="str">
        <f t="shared" si="58"/>
        <v>502021</v>
      </c>
      <c r="N351" t="str">
        <f t="shared" si="59"/>
        <v>50-12-2021</v>
      </c>
    </row>
    <row r="352" spans="1:14" x14ac:dyDescent="0.2">
      <c r="A352" s="1">
        <v>44547</v>
      </c>
      <c r="B352">
        <f>IFERROR(INDEX('planning dogs-n-tiger'!B$1:B$30,MATCH($H352,'planning dogs-n-tiger'!$G$1:$G$42,0)),0)</f>
        <v>2998</v>
      </c>
      <c r="C352">
        <f>IFERROR(INDEX('planning dogs-n-tiger'!C$1:C$30,MATCH($H352,'planning dogs-n-tiger'!$G$1:$G$42,0)),0)</f>
        <v>14357.28</v>
      </c>
      <c r="D352">
        <f>IFERROR(INDEX('planning dogs-n-tiger'!D$1:D$30,MATCH($H352,'planning dogs-n-tiger'!$G$1:$G$42,0)),0)</f>
        <v>0</v>
      </c>
      <c r="E352">
        <f t="shared" si="50"/>
        <v>50</v>
      </c>
      <c r="F352">
        <f t="shared" si="51"/>
        <v>12</v>
      </c>
      <c r="G352">
        <f t="shared" si="52"/>
        <v>2021</v>
      </c>
      <c r="H352" t="str">
        <f t="shared" si="56"/>
        <v>122021</v>
      </c>
      <c r="I352">
        <f t="shared" si="57"/>
        <v>31</v>
      </c>
      <c r="J352">
        <f t="shared" si="53"/>
        <v>96.709677419354833</v>
      </c>
      <c r="K352">
        <f t="shared" si="54"/>
        <v>463.13806451612908</v>
      </c>
      <c r="L352">
        <f t="shared" si="55"/>
        <v>0</v>
      </c>
      <c r="M352" t="str">
        <f t="shared" si="58"/>
        <v>502021</v>
      </c>
      <c r="N352" t="str">
        <f t="shared" si="59"/>
        <v>50-12-2021</v>
      </c>
    </row>
    <row r="353" spans="1:14" x14ac:dyDescent="0.2">
      <c r="A353" s="1">
        <v>44548</v>
      </c>
      <c r="B353">
        <f>IFERROR(INDEX('planning dogs-n-tiger'!B$1:B$30,MATCH($H353,'planning dogs-n-tiger'!$G$1:$G$42,0)),0)</f>
        <v>2998</v>
      </c>
      <c r="C353">
        <f>IFERROR(INDEX('planning dogs-n-tiger'!C$1:C$30,MATCH($H353,'planning dogs-n-tiger'!$G$1:$G$42,0)),0)</f>
        <v>14357.28</v>
      </c>
      <c r="D353">
        <f>IFERROR(INDEX('planning dogs-n-tiger'!D$1:D$30,MATCH($H353,'planning dogs-n-tiger'!$G$1:$G$42,0)),0)</f>
        <v>0</v>
      </c>
      <c r="E353">
        <f t="shared" si="50"/>
        <v>50</v>
      </c>
      <c r="F353">
        <f t="shared" si="51"/>
        <v>12</v>
      </c>
      <c r="G353">
        <f t="shared" si="52"/>
        <v>2021</v>
      </c>
      <c r="H353" t="str">
        <f t="shared" si="56"/>
        <v>122021</v>
      </c>
      <c r="I353">
        <f t="shared" si="57"/>
        <v>31</v>
      </c>
      <c r="J353">
        <f t="shared" si="53"/>
        <v>96.709677419354833</v>
      </c>
      <c r="K353">
        <f t="shared" si="54"/>
        <v>463.13806451612908</v>
      </c>
      <c r="L353">
        <f t="shared" si="55"/>
        <v>0</v>
      </c>
      <c r="M353" t="str">
        <f t="shared" si="58"/>
        <v>502021</v>
      </c>
      <c r="N353" t="str">
        <f t="shared" si="59"/>
        <v>50-12-2021</v>
      </c>
    </row>
    <row r="354" spans="1:14" x14ac:dyDescent="0.2">
      <c r="A354" s="1">
        <v>44549</v>
      </c>
      <c r="B354">
        <f>IFERROR(INDEX('planning dogs-n-tiger'!B$1:B$30,MATCH($H354,'planning dogs-n-tiger'!$G$1:$G$42,0)),0)</f>
        <v>2998</v>
      </c>
      <c r="C354">
        <f>IFERROR(INDEX('planning dogs-n-tiger'!C$1:C$30,MATCH($H354,'planning dogs-n-tiger'!$G$1:$G$42,0)),0)</f>
        <v>14357.28</v>
      </c>
      <c r="D354">
        <f>IFERROR(INDEX('planning dogs-n-tiger'!D$1:D$30,MATCH($H354,'planning dogs-n-tiger'!$G$1:$G$42,0)),0)</f>
        <v>0</v>
      </c>
      <c r="E354">
        <f t="shared" si="50"/>
        <v>50</v>
      </c>
      <c r="F354">
        <f t="shared" si="51"/>
        <v>12</v>
      </c>
      <c r="G354">
        <f t="shared" si="52"/>
        <v>2021</v>
      </c>
      <c r="H354" t="str">
        <f t="shared" si="56"/>
        <v>122021</v>
      </c>
      <c r="I354">
        <f t="shared" si="57"/>
        <v>31</v>
      </c>
      <c r="J354">
        <f t="shared" si="53"/>
        <v>96.709677419354833</v>
      </c>
      <c r="K354">
        <f t="shared" si="54"/>
        <v>463.13806451612908</v>
      </c>
      <c r="L354">
        <f t="shared" si="55"/>
        <v>0</v>
      </c>
      <c r="M354" t="str">
        <f t="shared" si="58"/>
        <v>502021</v>
      </c>
      <c r="N354" t="str">
        <f t="shared" si="59"/>
        <v>50-12-2021</v>
      </c>
    </row>
    <row r="355" spans="1:14" x14ac:dyDescent="0.2">
      <c r="A355" s="1">
        <v>44550</v>
      </c>
      <c r="B355">
        <f>IFERROR(INDEX('planning dogs-n-tiger'!B$1:B$30,MATCH($H355,'planning dogs-n-tiger'!$G$1:$G$42,0)),0)</f>
        <v>2998</v>
      </c>
      <c r="C355">
        <f>IFERROR(INDEX('planning dogs-n-tiger'!C$1:C$30,MATCH($H355,'planning dogs-n-tiger'!$G$1:$G$42,0)),0)</f>
        <v>14357.28</v>
      </c>
      <c r="D355">
        <f>IFERROR(INDEX('planning dogs-n-tiger'!D$1:D$30,MATCH($H355,'planning dogs-n-tiger'!$G$1:$G$42,0)),0)</f>
        <v>0</v>
      </c>
      <c r="E355">
        <f t="shared" si="50"/>
        <v>51</v>
      </c>
      <c r="F355">
        <f t="shared" si="51"/>
        <v>12</v>
      </c>
      <c r="G355">
        <f t="shared" si="52"/>
        <v>2021</v>
      </c>
      <c r="H355" t="str">
        <f t="shared" si="56"/>
        <v>122021</v>
      </c>
      <c r="I355">
        <f t="shared" si="57"/>
        <v>31</v>
      </c>
      <c r="J355">
        <f t="shared" si="53"/>
        <v>96.709677419354833</v>
      </c>
      <c r="K355">
        <f t="shared" si="54"/>
        <v>463.13806451612908</v>
      </c>
      <c r="L355">
        <f t="shared" si="55"/>
        <v>0</v>
      </c>
      <c r="M355" t="str">
        <f t="shared" si="58"/>
        <v>512021</v>
      </c>
      <c r="N355" t="str">
        <f t="shared" si="59"/>
        <v>51-12-2021</v>
      </c>
    </row>
    <row r="356" spans="1:14" x14ac:dyDescent="0.2">
      <c r="A356" s="1">
        <v>44551</v>
      </c>
      <c r="B356">
        <f>IFERROR(INDEX('planning dogs-n-tiger'!B$1:B$30,MATCH($H356,'planning dogs-n-tiger'!$G$1:$G$42,0)),0)</f>
        <v>2998</v>
      </c>
      <c r="C356">
        <f>IFERROR(INDEX('planning dogs-n-tiger'!C$1:C$30,MATCH($H356,'planning dogs-n-tiger'!$G$1:$G$42,0)),0)</f>
        <v>14357.28</v>
      </c>
      <c r="D356">
        <f>IFERROR(INDEX('planning dogs-n-tiger'!D$1:D$30,MATCH($H356,'planning dogs-n-tiger'!$G$1:$G$42,0)),0)</f>
        <v>0</v>
      </c>
      <c r="E356">
        <f t="shared" si="50"/>
        <v>51</v>
      </c>
      <c r="F356">
        <f t="shared" si="51"/>
        <v>12</v>
      </c>
      <c r="G356">
        <f t="shared" si="52"/>
        <v>2021</v>
      </c>
      <c r="H356" t="str">
        <f t="shared" si="56"/>
        <v>122021</v>
      </c>
      <c r="I356">
        <f t="shared" si="57"/>
        <v>31</v>
      </c>
      <c r="J356">
        <f t="shared" si="53"/>
        <v>96.709677419354833</v>
      </c>
      <c r="K356">
        <f t="shared" si="54"/>
        <v>463.13806451612908</v>
      </c>
      <c r="L356">
        <f t="shared" si="55"/>
        <v>0</v>
      </c>
      <c r="M356" t="str">
        <f t="shared" si="58"/>
        <v>512021</v>
      </c>
      <c r="N356" t="str">
        <f t="shared" si="59"/>
        <v>51-12-2021</v>
      </c>
    </row>
    <row r="357" spans="1:14" x14ac:dyDescent="0.2">
      <c r="A357" s="1">
        <v>44552</v>
      </c>
      <c r="B357">
        <f>IFERROR(INDEX('planning dogs-n-tiger'!B$1:B$30,MATCH($H357,'planning dogs-n-tiger'!$G$1:$G$42,0)),0)</f>
        <v>2998</v>
      </c>
      <c r="C357">
        <f>IFERROR(INDEX('planning dogs-n-tiger'!C$1:C$30,MATCH($H357,'planning dogs-n-tiger'!$G$1:$G$42,0)),0)</f>
        <v>14357.28</v>
      </c>
      <c r="D357">
        <f>IFERROR(INDEX('planning dogs-n-tiger'!D$1:D$30,MATCH($H357,'planning dogs-n-tiger'!$G$1:$G$42,0)),0)</f>
        <v>0</v>
      </c>
      <c r="E357">
        <f t="shared" si="50"/>
        <v>51</v>
      </c>
      <c r="F357">
        <f t="shared" si="51"/>
        <v>12</v>
      </c>
      <c r="G357">
        <f t="shared" si="52"/>
        <v>2021</v>
      </c>
      <c r="H357" t="str">
        <f t="shared" si="56"/>
        <v>122021</v>
      </c>
      <c r="I357">
        <f t="shared" si="57"/>
        <v>31</v>
      </c>
      <c r="J357">
        <f t="shared" si="53"/>
        <v>96.709677419354833</v>
      </c>
      <c r="K357">
        <f t="shared" si="54"/>
        <v>463.13806451612908</v>
      </c>
      <c r="L357">
        <f t="shared" si="55"/>
        <v>0</v>
      </c>
      <c r="M357" t="str">
        <f t="shared" si="58"/>
        <v>512021</v>
      </c>
      <c r="N357" t="str">
        <f t="shared" si="59"/>
        <v>51-12-2021</v>
      </c>
    </row>
    <row r="358" spans="1:14" x14ac:dyDescent="0.2">
      <c r="A358" s="1">
        <v>44553</v>
      </c>
      <c r="B358">
        <f>IFERROR(INDEX('planning dogs-n-tiger'!B$1:B$30,MATCH($H358,'planning dogs-n-tiger'!$G$1:$G$42,0)),0)</f>
        <v>2998</v>
      </c>
      <c r="C358">
        <f>IFERROR(INDEX('planning dogs-n-tiger'!C$1:C$30,MATCH($H358,'planning dogs-n-tiger'!$G$1:$G$42,0)),0)</f>
        <v>14357.28</v>
      </c>
      <c r="D358">
        <f>IFERROR(INDEX('planning dogs-n-tiger'!D$1:D$30,MATCH($H358,'planning dogs-n-tiger'!$G$1:$G$42,0)),0)</f>
        <v>0</v>
      </c>
      <c r="E358">
        <f t="shared" si="50"/>
        <v>51</v>
      </c>
      <c r="F358">
        <f t="shared" si="51"/>
        <v>12</v>
      </c>
      <c r="G358">
        <f t="shared" si="52"/>
        <v>2021</v>
      </c>
      <c r="H358" t="str">
        <f t="shared" si="56"/>
        <v>122021</v>
      </c>
      <c r="I358">
        <f t="shared" si="57"/>
        <v>31</v>
      </c>
      <c r="J358">
        <f t="shared" si="53"/>
        <v>96.709677419354833</v>
      </c>
      <c r="K358">
        <f t="shared" si="54"/>
        <v>463.13806451612908</v>
      </c>
      <c r="L358">
        <f t="shared" si="55"/>
        <v>0</v>
      </c>
      <c r="M358" t="str">
        <f t="shared" si="58"/>
        <v>512021</v>
      </c>
      <c r="N358" t="str">
        <f t="shared" si="59"/>
        <v>51-12-2021</v>
      </c>
    </row>
    <row r="359" spans="1:14" x14ac:dyDescent="0.2">
      <c r="A359" s="1">
        <v>44554</v>
      </c>
      <c r="B359">
        <f>IFERROR(INDEX('planning dogs-n-tiger'!B$1:B$30,MATCH($H359,'planning dogs-n-tiger'!$G$1:$G$42,0)),0)</f>
        <v>2998</v>
      </c>
      <c r="C359">
        <f>IFERROR(INDEX('planning dogs-n-tiger'!C$1:C$30,MATCH($H359,'planning dogs-n-tiger'!$G$1:$G$42,0)),0)</f>
        <v>14357.28</v>
      </c>
      <c r="D359">
        <f>IFERROR(INDEX('planning dogs-n-tiger'!D$1:D$30,MATCH($H359,'planning dogs-n-tiger'!$G$1:$G$42,0)),0)</f>
        <v>0</v>
      </c>
      <c r="E359">
        <f t="shared" si="50"/>
        <v>51</v>
      </c>
      <c r="F359">
        <f t="shared" si="51"/>
        <v>12</v>
      </c>
      <c r="G359">
        <f t="shared" si="52"/>
        <v>2021</v>
      </c>
      <c r="H359" t="str">
        <f t="shared" si="56"/>
        <v>122021</v>
      </c>
      <c r="I359">
        <f t="shared" si="57"/>
        <v>31</v>
      </c>
      <c r="J359">
        <f t="shared" si="53"/>
        <v>96.709677419354833</v>
      </c>
      <c r="K359">
        <f t="shared" si="54"/>
        <v>463.13806451612908</v>
      </c>
      <c r="L359">
        <f t="shared" si="55"/>
        <v>0</v>
      </c>
      <c r="M359" t="str">
        <f t="shared" si="58"/>
        <v>512021</v>
      </c>
      <c r="N359" t="str">
        <f t="shared" si="59"/>
        <v>51-12-2021</v>
      </c>
    </row>
    <row r="360" spans="1:14" x14ac:dyDescent="0.2">
      <c r="A360" s="1">
        <v>44555</v>
      </c>
      <c r="B360">
        <f>IFERROR(INDEX('planning dogs-n-tiger'!B$1:B$30,MATCH($H360,'planning dogs-n-tiger'!$G$1:$G$42,0)),0)</f>
        <v>2998</v>
      </c>
      <c r="C360">
        <f>IFERROR(INDEX('planning dogs-n-tiger'!C$1:C$30,MATCH($H360,'planning dogs-n-tiger'!$G$1:$G$42,0)),0)</f>
        <v>14357.28</v>
      </c>
      <c r="D360">
        <f>IFERROR(INDEX('planning dogs-n-tiger'!D$1:D$30,MATCH($H360,'planning dogs-n-tiger'!$G$1:$G$42,0)),0)</f>
        <v>0</v>
      </c>
      <c r="E360">
        <f t="shared" si="50"/>
        <v>51</v>
      </c>
      <c r="F360">
        <f t="shared" si="51"/>
        <v>12</v>
      </c>
      <c r="G360">
        <f t="shared" si="52"/>
        <v>2021</v>
      </c>
      <c r="H360" t="str">
        <f t="shared" si="56"/>
        <v>122021</v>
      </c>
      <c r="I360">
        <f t="shared" si="57"/>
        <v>31</v>
      </c>
      <c r="J360">
        <f t="shared" si="53"/>
        <v>96.709677419354833</v>
      </c>
      <c r="K360">
        <f t="shared" si="54"/>
        <v>463.13806451612908</v>
      </c>
      <c r="L360">
        <f t="shared" si="55"/>
        <v>0</v>
      </c>
      <c r="M360" t="str">
        <f t="shared" si="58"/>
        <v>512021</v>
      </c>
      <c r="N360" t="str">
        <f t="shared" si="59"/>
        <v>51-12-2021</v>
      </c>
    </row>
    <row r="361" spans="1:14" x14ac:dyDescent="0.2">
      <c r="A361" s="1">
        <v>44556</v>
      </c>
      <c r="B361">
        <f>IFERROR(INDEX('planning dogs-n-tiger'!B$1:B$30,MATCH($H361,'planning dogs-n-tiger'!$G$1:$G$42,0)),0)</f>
        <v>2998</v>
      </c>
      <c r="C361">
        <f>IFERROR(INDEX('planning dogs-n-tiger'!C$1:C$30,MATCH($H361,'planning dogs-n-tiger'!$G$1:$G$42,0)),0)</f>
        <v>14357.28</v>
      </c>
      <c r="D361">
        <f>IFERROR(INDEX('planning dogs-n-tiger'!D$1:D$30,MATCH($H361,'planning dogs-n-tiger'!$G$1:$G$42,0)),0)</f>
        <v>0</v>
      </c>
      <c r="E361">
        <f t="shared" si="50"/>
        <v>51</v>
      </c>
      <c r="F361">
        <f t="shared" si="51"/>
        <v>12</v>
      </c>
      <c r="G361">
        <f t="shared" si="52"/>
        <v>2021</v>
      </c>
      <c r="H361" t="str">
        <f t="shared" si="56"/>
        <v>122021</v>
      </c>
      <c r="I361">
        <f t="shared" si="57"/>
        <v>31</v>
      </c>
      <c r="J361">
        <f t="shared" si="53"/>
        <v>96.709677419354833</v>
      </c>
      <c r="K361">
        <f t="shared" si="54"/>
        <v>463.13806451612908</v>
      </c>
      <c r="L361">
        <f t="shared" si="55"/>
        <v>0</v>
      </c>
      <c r="M361" t="str">
        <f t="shared" si="58"/>
        <v>512021</v>
      </c>
      <c r="N361" t="str">
        <f t="shared" si="59"/>
        <v>51-12-2021</v>
      </c>
    </row>
    <row r="362" spans="1:14" x14ac:dyDescent="0.2">
      <c r="A362" s="1">
        <v>44557</v>
      </c>
      <c r="B362">
        <f>IFERROR(INDEX('planning dogs-n-tiger'!B$1:B$30,MATCH($H362,'planning dogs-n-tiger'!$G$1:$G$42,0)),0)</f>
        <v>2998</v>
      </c>
      <c r="C362">
        <f>IFERROR(INDEX('planning dogs-n-tiger'!C$1:C$30,MATCH($H362,'planning dogs-n-tiger'!$G$1:$G$42,0)),0)</f>
        <v>14357.28</v>
      </c>
      <c r="D362">
        <f>IFERROR(INDEX('planning dogs-n-tiger'!D$1:D$30,MATCH($H362,'planning dogs-n-tiger'!$G$1:$G$42,0)),0)</f>
        <v>0</v>
      </c>
      <c r="E362">
        <f t="shared" si="50"/>
        <v>52</v>
      </c>
      <c r="F362">
        <f t="shared" si="51"/>
        <v>12</v>
      </c>
      <c r="G362">
        <f t="shared" si="52"/>
        <v>2021</v>
      </c>
      <c r="H362" t="str">
        <f t="shared" si="56"/>
        <v>122021</v>
      </c>
      <c r="I362">
        <f t="shared" si="57"/>
        <v>31</v>
      </c>
      <c r="J362">
        <f t="shared" si="53"/>
        <v>96.709677419354833</v>
      </c>
      <c r="K362">
        <f t="shared" si="54"/>
        <v>463.13806451612908</v>
      </c>
      <c r="L362">
        <f t="shared" si="55"/>
        <v>0</v>
      </c>
      <c r="M362" t="str">
        <f t="shared" si="58"/>
        <v>522021</v>
      </c>
      <c r="N362" t="str">
        <f t="shared" si="59"/>
        <v>52-12-2021</v>
      </c>
    </row>
    <row r="363" spans="1:14" x14ac:dyDescent="0.2">
      <c r="A363" s="1">
        <v>44558</v>
      </c>
      <c r="B363">
        <f>IFERROR(INDEX('planning dogs-n-tiger'!B$1:B$30,MATCH($H363,'planning dogs-n-tiger'!$G$1:$G$42,0)),0)</f>
        <v>2998</v>
      </c>
      <c r="C363">
        <f>IFERROR(INDEX('planning dogs-n-tiger'!C$1:C$30,MATCH($H363,'planning dogs-n-tiger'!$G$1:$G$42,0)),0)</f>
        <v>14357.28</v>
      </c>
      <c r="D363">
        <f>IFERROR(INDEX('planning dogs-n-tiger'!D$1:D$30,MATCH($H363,'planning dogs-n-tiger'!$G$1:$G$42,0)),0)</f>
        <v>0</v>
      </c>
      <c r="E363">
        <f t="shared" si="50"/>
        <v>52</v>
      </c>
      <c r="F363">
        <f t="shared" si="51"/>
        <v>12</v>
      </c>
      <c r="G363">
        <f t="shared" si="52"/>
        <v>2021</v>
      </c>
      <c r="H363" t="str">
        <f t="shared" si="56"/>
        <v>122021</v>
      </c>
      <c r="I363">
        <f t="shared" si="57"/>
        <v>31</v>
      </c>
      <c r="J363">
        <f t="shared" si="53"/>
        <v>96.709677419354833</v>
      </c>
      <c r="K363">
        <f t="shared" si="54"/>
        <v>463.13806451612908</v>
      </c>
      <c r="L363">
        <f t="shared" si="55"/>
        <v>0</v>
      </c>
      <c r="M363" t="str">
        <f t="shared" si="58"/>
        <v>522021</v>
      </c>
      <c r="N363" t="str">
        <f t="shared" si="59"/>
        <v>52-12-2021</v>
      </c>
    </row>
    <row r="364" spans="1:14" x14ac:dyDescent="0.2">
      <c r="A364" s="1">
        <v>44559</v>
      </c>
      <c r="B364">
        <f>IFERROR(INDEX('planning dogs-n-tiger'!B$1:B$30,MATCH($H364,'planning dogs-n-tiger'!$G$1:$G$42,0)),0)</f>
        <v>2998</v>
      </c>
      <c r="C364">
        <f>IFERROR(INDEX('planning dogs-n-tiger'!C$1:C$30,MATCH($H364,'planning dogs-n-tiger'!$G$1:$G$42,0)),0)</f>
        <v>14357.28</v>
      </c>
      <c r="D364">
        <f>IFERROR(INDEX('planning dogs-n-tiger'!D$1:D$30,MATCH($H364,'planning dogs-n-tiger'!$G$1:$G$42,0)),0)</f>
        <v>0</v>
      </c>
      <c r="E364">
        <f t="shared" si="50"/>
        <v>52</v>
      </c>
      <c r="F364">
        <f t="shared" si="51"/>
        <v>12</v>
      </c>
      <c r="G364">
        <f t="shared" si="52"/>
        <v>2021</v>
      </c>
      <c r="H364" t="str">
        <f t="shared" si="56"/>
        <v>122021</v>
      </c>
      <c r="I364">
        <f t="shared" si="57"/>
        <v>31</v>
      </c>
      <c r="J364">
        <f t="shared" si="53"/>
        <v>96.709677419354833</v>
      </c>
      <c r="K364">
        <f t="shared" si="54"/>
        <v>463.13806451612908</v>
      </c>
      <c r="L364">
        <f t="shared" si="55"/>
        <v>0</v>
      </c>
      <c r="M364" t="str">
        <f t="shared" si="58"/>
        <v>522021</v>
      </c>
      <c r="N364" t="str">
        <f t="shared" si="59"/>
        <v>52-12-2021</v>
      </c>
    </row>
    <row r="365" spans="1:14" x14ac:dyDescent="0.2">
      <c r="A365" s="1">
        <v>44560</v>
      </c>
      <c r="B365">
        <f>IFERROR(INDEX('planning dogs-n-tiger'!B$1:B$30,MATCH($H365,'planning dogs-n-tiger'!$G$1:$G$42,0)),0)</f>
        <v>2998</v>
      </c>
      <c r="C365">
        <f>IFERROR(INDEX('planning dogs-n-tiger'!C$1:C$30,MATCH($H365,'planning dogs-n-tiger'!$G$1:$G$42,0)),0)</f>
        <v>14357.28</v>
      </c>
      <c r="D365">
        <f>IFERROR(INDEX('planning dogs-n-tiger'!D$1:D$30,MATCH($H365,'planning dogs-n-tiger'!$G$1:$G$42,0)),0)</f>
        <v>0</v>
      </c>
      <c r="E365">
        <f t="shared" si="50"/>
        <v>52</v>
      </c>
      <c r="F365">
        <f t="shared" si="51"/>
        <v>12</v>
      </c>
      <c r="G365">
        <f t="shared" si="52"/>
        <v>2021</v>
      </c>
      <c r="H365" t="str">
        <f t="shared" si="56"/>
        <v>122021</v>
      </c>
      <c r="I365">
        <f t="shared" si="57"/>
        <v>31</v>
      </c>
      <c r="J365">
        <f t="shared" si="53"/>
        <v>96.709677419354833</v>
      </c>
      <c r="K365">
        <f t="shared" si="54"/>
        <v>463.13806451612908</v>
      </c>
      <c r="L365">
        <f t="shared" si="55"/>
        <v>0</v>
      </c>
      <c r="M365" t="str">
        <f t="shared" si="58"/>
        <v>522021</v>
      </c>
      <c r="N365" t="str">
        <f t="shared" si="59"/>
        <v>52-12-2021</v>
      </c>
    </row>
    <row r="366" spans="1:14" x14ac:dyDescent="0.2">
      <c r="A366" s="1">
        <v>44561</v>
      </c>
      <c r="B366">
        <f>IFERROR(INDEX('planning dogs-n-tiger'!B$1:B$30,MATCH($H366,'planning dogs-n-tiger'!$G$1:$G$42,0)),0)</f>
        <v>2998</v>
      </c>
      <c r="C366">
        <f>IFERROR(INDEX('planning dogs-n-tiger'!C$1:C$30,MATCH($H366,'planning dogs-n-tiger'!$G$1:$G$42,0)),0)</f>
        <v>14357.28</v>
      </c>
      <c r="D366">
        <f>IFERROR(INDEX('planning dogs-n-tiger'!D$1:D$30,MATCH($H366,'planning dogs-n-tiger'!$G$1:$G$42,0)),0)</f>
        <v>0</v>
      </c>
      <c r="E366">
        <f t="shared" si="50"/>
        <v>52</v>
      </c>
      <c r="F366">
        <f t="shared" si="51"/>
        <v>12</v>
      </c>
      <c r="G366">
        <f t="shared" si="52"/>
        <v>2021</v>
      </c>
      <c r="H366" t="str">
        <f t="shared" si="56"/>
        <v>122021</v>
      </c>
      <c r="I366">
        <f t="shared" si="57"/>
        <v>31</v>
      </c>
      <c r="J366">
        <f t="shared" si="53"/>
        <v>96.709677419354833</v>
      </c>
      <c r="K366">
        <f t="shared" si="54"/>
        <v>463.13806451612908</v>
      </c>
      <c r="L366">
        <f t="shared" si="55"/>
        <v>0</v>
      </c>
      <c r="M366" t="str">
        <f t="shared" si="58"/>
        <v>522021</v>
      </c>
      <c r="N366" t="str">
        <f t="shared" si="59"/>
        <v>52-12-2021</v>
      </c>
    </row>
    <row r="367" spans="1:14" x14ac:dyDescent="0.2">
      <c r="A367" s="1">
        <v>44562</v>
      </c>
      <c r="B367">
        <f>IFERROR(INDEX('planning dogs-n-tiger'!B$1:B$30,MATCH($H367,'planning dogs-n-tiger'!$G$1:$G$42,0)),0)</f>
        <v>3515</v>
      </c>
      <c r="C367">
        <f>IFERROR(INDEX('planning dogs-n-tiger'!C$1:C$30,MATCH($H367,'planning dogs-n-tiger'!$G$1:$G$42,0)),0)</f>
        <v>22889.31</v>
      </c>
      <c r="D367">
        <f>IFERROR(INDEX('planning dogs-n-tiger'!D$1:D$30,MATCH($H367,'planning dogs-n-tiger'!$G$1:$G$42,0)),0)</f>
        <v>0</v>
      </c>
      <c r="E367">
        <f t="shared" si="50"/>
        <v>52</v>
      </c>
      <c r="F367">
        <f t="shared" si="51"/>
        <v>1</v>
      </c>
      <c r="G367">
        <f t="shared" si="52"/>
        <v>2022</v>
      </c>
      <c r="H367" t="str">
        <f t="shared" si="56"/>
        <v>12022</v>
      </c>
      <c r="I367">
        <f t="shared" si="57"/>
        <v>31</v>
      </c>
      <c r="J367">
        <f t="shared" si="53"/>
        <v>113.38709677419355</v>
      </c>
      <c r="K367">
        <f t="shared" si="54"/>
        <v>738.36483870967743</v>
      </c>
      <c r="L367">
        <f t="shared" si="55"/>
        <v>0</v>
      </c>
      <c r="M367" t="str">
        <f t="shared" si="58"/>
        <v>522022</v>
      </c>
      <c r="N367" t="str">
        <f t="shared" si="59"/>
        <v>52-1-2022</v>
      </c>
    </row>
    <row r="368" spans="1:14" x14ac:dyDescent="0.2">
      <c r="A368" s="1">
        <v>44563</v>
      </c>
      <c r="B368">
        <f>IFERROR(INDEX('planning dogs-n-tiger'!B$1:B$30,MATCH($H368,'planning dogs-n-tiger'!$G$1:$G$42,0)),0)</f>
        <v>3515</v>
      </c>
      <c r="C368">
        <f>IFERROR(INDEX('planning dogs-n-tiger'!C$1:C$30,MATCH($H368,'planning dogs-n-tiger'!$G$1:$G$42,0)),0)</f>
        <v>22889.31</v>
      </c>
      <c r="D368">
        <f>IFERROR(INDEX('planning dogs-n-tiger'!D$1:D$30,MATCH($H368,'planning dogs-n-tiger'!$G$1:$G$42,0)),0)</f>
        <v>0</v>
      </c>
      <c r="E368">
        <f t="shared" si="50"/>
        <v>52</v>
      </c>
      <c r="F368">
        <f t="shared" si="51"/>
        <v>1</v>
      </c>
      <c r="G368">
        <f t="shared" si="52"/>
        <v>2022</v>
      </c>
      <c r="H368" t="str">
        <f t="shared" si="56"/>
        <v>12022</v>
      </c>
      <c r="I368">
        <f t="shared" si="57"/>
        <v>31</v>
      </c>
      <c r="J368">
        <f t="shared" si="53"/>
        <v>113.38709677419355</v>
      </c>
      <c r="K368">
        <f t="shared" si="54"/>
        <v>738.36483870967743</v>
      </c>
      <c r="L368">
        <f t="shared" si="55"/>
        <v>0</v>
      </c>
      <c r="M368" t="str">
        <f t="shared" si="58"/>
        <v>522022</v>
      </c>
      <c r="N368" t="str">
        <f t="shared" si="59"/>
        <v>52-1-2022</v>
      </c>
    </row>
    <row r="369" spans="1:14" x14ac:dyDescent="0.2">
      <c r="A369" s="1">
        <v>44564</v>
      </c>
      <c r="B369">
        <f>IFERROR(INDEX('planning dogs-n-tiger'!B$1:B$30,MATCH($H369,'planning dogs-n-tiger'!$G$1:$G$42,0)),0)</f>
        <v>3515</v>
      </c>
      <c r="C369">
        <f>IFERROR(INDEX('planning dogs-n-tiger'!C$1:C$30,MATCH($H369,'planning dogs-n-tiger'!$G$1:$G$42,0)),0)</f>
        <v>22889.31</v>
      </c>
      <c r="D369">
        <f>IFERROR(INDEX('planning dogs-n-tiger'!D$1:D$30,MATCH($H369,'planning dogs-n-tiger'!$G$1:$G$42,0)),0)</f>
        <v>0</v>
      </c>
      <c r="E369">
        <f t="shared" si="50"/>
        <v>1</v>
      </c>
      <c r="F369">
        <f t="shared" si="51"/>
        <v>1</v>
      </c>
      <c r="G369">
        <f t="shared" si="52"/>
        <v>2022</v>
      </c>
      <c r="H369" t="str">
        <f t="shared" si="56"/>
        <v>12022</v>
      </c>
      <c r="I369">
        <f t="shared" si="57"/>
        <v>31</v>
      </c>
      <c r="J369">
        <f t="shared" si="53"/>
        <v>113.38709677419355</v>
      </c>
      <c r="K369">
        <f t="shared" si="54"/>
        <v>738.36483870967743</v>
      </c>
      <c r="L369">
        <f t="shared" si="55"/>
        <v>0</v>
      </c>
      <c r="M369" t="str">
        <f t="shared" si="58"/>
        <v>12022</v>
      </c>
      <c r="N369" t="str">
        <f t="shared" si="59"/>
        <v>1-1-2022</v>
      </c>
    </row>
    <row r="370" spans="1:14" x14ac:dyDescent="0.2">
      <c r="A370" s="1">
        <v>44565</v>
      </c>
      <c r="B370">
        <f>IFERROR(INDEX('planning dogs-n-tiger'!B$1:B$30,MATCH($H370,'planning dogs-n-tiger'!$G$1:$G$42,0)),0)</f>
        <v>3515</v>
      </c>
      <c r="C370">
        <f>IFERROR(INDEX('planning dogs-n-tiger'!C$1:C$30,MATCH($H370,'planning dogs-n-tiger'!$G$1:$G$42,0)),0)</f>
        <v>22889.31</v>
      </c>
      <c r="D370">
        <f>IFERROR(INDEX('planning dogs-n-tiger'!D$1:D$30,MATCH($H370,'planning dogs-n-tiger'!$G$1:$G$42,0)),0)</f>
        <v>0</v>
      </c>
      <c r="E370">
        <f t="shared" si="50"/>
        <v>1</v>
      </c>
      <c r="F370">
        <f t="shared" si="51"/>
        <v>1</v>
      </c>
      <c r="G370">
        <f t="shared" si="52"/>
        <v>2022</v>
      </c>
      <c r="H370" t="str">
        <f t="shared" si="56"/>
        <v>12022</v>
      </c>
      <c r="I370">
        <f t="shared" si="57"/>
        <v>31</v>
      </c>
      <c r="J370">
        <f t="shared" si="53"/>
        <v>113.38709677419355</v>
      </c>
      <c r="K370">
        <f t="shared" si="54"/>
        <v>738.36483870967743</v>
      </c>
      <c r="L370">
        <f t="shared" si="55"/>
        <v>0</v>
      </c>
      <c r="M370" t="str">
        <f t="shared" si="58"/>
        <v>12022</v>
      </c>
      <c r="N370" t="str">
        <f t="shared" si="59"/>
        <v>1-1-2022</v>
      </c>
    </row>
    <row r="371" spans="1:14" x14ac:dyDescent="0.2">
      <c r="A371" s="1">
        <v>44566</v>
      </c>
      <c r="B371">
        <f>IFERROR(INDEX('planning dogs-n-tiger'!B$1:B$30,MATCH($H371,'planning dogs-n-tiger'!$G$1:$G$42,0)),0)</f>
        <v>3515</v>
      </c>
      <c r="C371">
        <f>IFERROR(INDEX('planning dogs-n-tiger'!C$1:C$30,MATCH($H371,'planning dogs-n-tiger'!$G$1:$G$42,0)),0)</f>
        <v>22889.31</v>
      </c>
      <c r="D371">
        <f>IFERROR(INDEX('planning dogs-n-tiger'!D$1:D$30,MATCH($H371,'planning dogs-n-tiger'!$G$1:$G$42,0)),0)</f>
        <v>0</v>
      </c>
      <c r="E371">
        <f t="shared" si="50"/>
        <v>1</v>
      </c>
      <c r="F371">
        <f t="shared" si="51"/>
        <v>1</v>
      </c>
      <c r="G371">
        <f t="shared" si="52"/>
        <v>2022</v>
      </c>
      <c r="H371" t="str">
        <f t="shared" si="56"/>
        <v>12022</v>
      </c>
      <c r="I371">
        <f t="shared" si="57"/>
        <v>31</v>
      </c>
      <c r="J371">
        <f t="shared" si="53"/>
        <v>113.38709677419355</v>
      </c>
      <c r="K371">
        <f t="shared" si="54"/>
        <v>738.36483870967743</v>
      </c>
      <c r="L371">
        <f t="shared" si="55"/>
        <v>0</v>
      </c>
      <c r="M371" t="str">
        <f t="shared" si="58"/>
        <v>12022</v>
      </c>
      <c r="N371" t="str">
        <f t="shared" si="59"/>
        <v>1-1-2022</v>
      </c>
    </row>
    <row r="372" spans="1:14" x14ac:dyDescent="0.2">
      <c r="A372" s="1">
        <v>44567</v>
      </c>
      <c r="B372">
        <f>IFERROR(INDEX('planning dogs-n-tiger'!B$1:B$30,MATCH($H372,'planning dogs-n-tiger'!$G$1:$G$42,0)),0)</f>
        <v>3515</v>
      </c>
      <c r="C372">
        <f>IFERROR(INDEX('planning dogs-n-tiger'!C$1:C$30,MATCH($H372,'planning dogs-n-tiger'!$G$1:$G$42,0)),0)</f>
        <v>22889.31</v>
      </c>
      <c r="D372">
        <f>IFERROR(INDEX('planning dogs-n-tiger'!D$1:D$30,MATCH($H372,'planning dogs-n-tiger'!$G$1:$G$42,0)),0)</f>
        <v>0</v>
      </c>
      <c r="E372">
        <f t="shared" si="50"/>
        <v>1</v>
      </c>
      <c r="F372">
        <f t="shared" si="51"/>
        <v>1</v>
      </c>
      <c r="G372">
        <f t="shared" si="52"/>
        <v>2022</v>
      </c>
      <c r="H372" t="str">
        <f t="shared" si="56"/>
        <v>12022</v>
      </c>
      <c r="I372">
        <f t="shared" si="57"/>
        <v>31</v>
      </c>
      <c r="J372">
        <f t="shared" si="53"/>
        <v>113.38709677419355</v>
      </c>
      <c r="K372">
        <f t="shared" si="54"/>
        <v>738.36483870967743</v>
      </c>
      <c r="L372">
        <f t="shared" si="55"/>
        <v>0</v>
      </c>
      <c r="M372" t="str">
        <f t="shared" si="58"/>
        <v>12022</v>
      </c>
      <c r="N372" t="str">
        <f t="shared" si="59"/>
        <v>1-1-2022</v>
      </c>
    </row>
    <row r="373" spans="1:14" x14ac:dyDescent="0.2">
      <c r="A373" s="1">
        <v>44568</v>
      </c>
      <c r="B373">
        <f>IFERROR(INDEX('planning dogs-n-tiger'!B$1:B$30,MATCH($H373,'planning dogs-n-tiger'!$G$1:$G$42,0)),0)</f>
        <v>3515</v>
      </c>
      <c r="C373">
        <f>IFERROR(INDEX('planning dogs-n-tiger'!C$1:C$30,MATCH($H373,'planning dogs-n-tiger'!$G$1:$G$42,0)),0)</f>
        <v>22889.31</v>
      </c>
      <c r="D373">
        <f>IFERROR(INDEX('planning dogs-n-tiger'!D$1:D$30,MATCH($H373,'planning dogs-n-tiger'!$G$1:$G$42,0)),0)</f>
        <v>0</v>
      </c>
      <c r="E373">
        <f t="shared" si="50"/>
        <v>1</v>
      </c>
      <c r="F373">
        <f t="shared" si="51"/>
        <v>1</v>
      </c>
      <c r="G373">
        <f t="shared" si="52"/>
        <v>2022</v>
      </c>
      <c r="H373" t="str">
        <f t="shared" si="56"/>
        <v>12022</v>
      </c>
      <c r="I373">
        <f t="shared" si="57"/>
        <v>31</v>
      </c>
      <c r="J373">
        <f t="shared" si="53"/>
        <v>113.38709677419355</v>
      </c>
      <c r="K373">
        <f t="shared" si="54"/>
        <v>738.36483870967743</v>
      </c>
      <c r="L373">
        <f t="shared" si="55"/>
        <v>0</v>
      </c>
      <c r="M373" t="str">
        <f t="shared" si="58"/>
        <v>12022</v>
      </c>
      <c r="N373" t="str">
        <f t="shared" si="59"/>
        <v>1-1-2022</v>
      </c>
    </row>
    <row r="374" spans="1:14" x14ac:dyDescent="0.2">
      <c r="A374" s="1">
        <v>44569</v>
      </c>
      <c r="B374">
        <f>IFERROR(INDEX('planning dogs-n-tiger'!B$1:B$30,MATCH($H374,'planning dogs-n-tiger'!$G$1:$G$42,0)),0)</f>
        <v>3515</v>
      </c>
      <c r="C374">
        <f>IFERROR(INDEX('planning dogs-n-tiger'!C$1:C$30,MATCH($H374,'planning dogs-n-tiger'!$G$1:$G$42,0)),0)</f>
        <v>22889.31</v>
      </c>
      <c r="D374">
        <f>IFERROR(INDEX('planning dogs-n-tiger'!D$1:D$30,MATCH($H374,'planning dogs-n-tiger'!$G$1:$G$42,0)),0)</f>
        <v>0</v>
      </c>
      <c r="E374">
        <f t="shared" si="50"/>
        <v>1</v>
      </c>
      <c r="F374">
        <f t="shared" si="51"/>
        <v>1</v>
      </c>
      <c r="G374">
        <f t="shared" si="52"/>
        <v>2022</v>
      </c>
      <c r="H374" t="str">
        <f t="shared" si="56"/>
        <v>12022</v>
      </c>
      <c r="I374">
        <f t="shared" si="57"/>
        <v>31</v>
      </c>
      <c r="J374">
        <f t="shared" si="53"/>
        <v>113.38709677419355</v>
      </c>
      <c r="K374">
        <f t="shared" si="54"/>
        <v>738.36483870967743</v>
      </c>
      <c r="L374">
        <f t="shared" si="55"/>
        <v>0</v>
      </c>
      <c r="M374" t="str">
        <f t="shared" si="58"/>
        <v>12022</v>
      </c>
      <c r="N374" t="str">
        <f t="shared" si="59"/>
        <v>1-1-2022</v>
      </c>
    </row>
    <row r="375" spans="1:14" x14ac:dyDescent="0.2">
      <c r="A375" s="1">
        <v>44570</v>
      </c>
      <c r="B375">
        <f>IFERROR(INDEX('planning dogs-n-tiger'!B$1:B$30,MATCH($H375,'planning dogs-n-tiger'!$G$1:$G$42,0)),0)</f>
        <v>3515</v>
      </c>
      <c r="C375">
        <f>IFERROR(INDEX('planning dogs-n-tiger'!C$1:C$30,MATCH($H375,'planning dogs-n-tiger'!$G$1:$G$42,0)),0)</f>
        <v>22889.31</v>
      </c>
      <c r="D375">
        <f>IFERROR(INDEX('planning dogs-n-tiger'!D$1:D$30,MATCH($H375,'planning dogs-n-tiger'!$G$1:$G$42,0)),0)</f>
        <v>0</v>
      </c>
      <c r="E375">
        <f t="shared" si="50"/>
        <v>1</v>
      </c>
      <c r="F375">
        <f t="shared" si="51"/>
        <v>1</v>
      </c>
      <c r="G375">
        <f t="shared" si="52"/>
        <v>2022</v>
      </c>
      <c r="H375" t="str">
        <f t="shared" si="56"/>
        <v>12022</v>
      </c>
      <c r="I375">
        <f t="shared" si="57"/>
        <v>31</v>
      </c>
      <c r="J375">
        <f t="shared" si="53"/>
        <v>113.38709677419355</v>
      </c>
      <c r="K375">
        <f t="shared" si="54"/>
        <v>738.36483870967743</v>
      </c>
      <c r="L375">
        <f t="shared" si="55"/>
        <v>0</v>
      </c>
      <c r="M375" t="str">
        <f t="shared" si="58"/>
        <v>12022</v>
      </c>
      <c r="N375" t="str">
        <f t="shared" si="59"/>
        <v>1-1-2022</v>
      </c>
    </row>
    <row r="376" spans="1:14" x14ac:dyDescent="0.2">
      <c r="A376" s="1">
        <v>44571</v>
      </c>
      <c r="B376">
        <f>IFERROR(INDEX('planning dogs-n-tiger'!B$1:B$30,MATCH($H376,'planning dogs-n-tiger'!$G$1:$G$42,0)),0)</f>
        <v>3515</v>
      </c>
      <c r="C376">
        <f>IFERROR(INDEX('planning dogs-n-tiger'!C$1:C$30,MATCH($H376,'planning dogs-n-tiger'!$G$1:$G$42,0)),0)</f>
        <v>22889.31</v>
      </c>
      <c r="D376">
        <f>IFERROR(INDEX('planning dogs-n-tiger'!D$1:D$30,MATCH($H376,'planning dogs-n-tiger'!$G$1:$G$42,0)),0)</f>
        <v>0</v>
      </c>
      <c r="E376">
        <f t="shared" si="50"/>
        <v>2</v>
      </c>
      <c r="F376">
        <f t="shared" si="51"/>
        <v>1</v>
      </c>
      <c r="G376">
        <f t="shared" si="52"/>
        <v>2022</v>
      </c>
      <c r="H376" t="str">
        <f t="shared" si="56"/>
        <v>12022</v>
      </c>
      <c r="I376">
        <f t="shared" si="57"/>
        <v>31</v>
      </c>
      <c r="J376">
        <f t="shared" si="53"/>
        <v>113.38709677419355</v>
      </c>
      <c r="K376">
        <f t="shared" si="54"/>
        <v>738.36483870967743</v>
      </c>
      <c r="L376">
        <f t="shared" si="55"/>
        <v>0</v>
      </c>
      <c r="M376" t="str">
        <f t="shared" si="58"/>
        <v>22022</v>
      </c>
      <c r="N376" t="str">
        <f t="shared" si="59"/>
        <v>2-1-2022</v>
      </c>
    </row>
    <row r="377" spans="1:14" x14ac:dyDescent="0.2">
      <c r="A377" s="1">
        <v>44572</v>
      </c>
      <c r="B377">
        <f>IFERROR(INDEX('planning dogs-n-tiger'!B$1:B$30,MATCH($H377,'planning dogs-n-tiger'!$G$1:$G$42,0)),0)</f>
        <v>3515</v>
      </c>
      <c r="C377">
        <f>IFERROR(INDEX('planning dogs-n-tiger'!C$1:C$30,MATCH($H377,'planning dogs-n-tiger'!$G$1:$G$42,0)),0)</f>
        <v>22889.31</v>
      </c>
      <c r="D377">
        <f>IFERROR(INDEX('planning dogs-n-tiger'!D$1:D$30,MATCH($H377,'planning dogs-n-tiger'!$G$1:$G$42,0)),0)</f>
        <v>0</v>
      </c>
      <c r="E377">
        <f t="shared" si="50"/>
        <v>2</v>
      </c>
      <c r="F377">
        <f t="shared" si="51"/>
        <v>1</v>
      </c>
      <c r="G377">
        <f t="shared" si="52"/>
        <v>2022</v>
      </c>
      <c r="H377" t="str">
        <f t="shared" si="56"/>
        <v>12022</v>
      </c>
      <c r="I377">
        <f t="shared" si="57"/>
        <v>31</v>
      </c>
      <c r="J377">
        <f t="shared" si="53"/>
        <v>113.38709677419355</v>
      </c>
      <c r="K377">
        <f t="shared" si="54"/>
        <v>738.36483870967743</v>
      </c>
      <c r="L377">
        <f t="shared" si="55"/>
        <v>0</v>
      </c>
      <c r="M377" t="str">
        <f t="shared" si="58"/>
        <v>22022</v>
      </c>
      <c r="N377" t="str">
        <f t="shared" si="59"/>
        <v>2-1-2022</v>
      </c>
    </row>
    <row r="378" spans="1:14" x14ac:dyDescent="0.2">
      <c r="A378" s="1">
        <v>44573</v>
      </c>
      <c r="B378">
        <f>IFERROR(INDEX('planning dogs-n-tiger'!B$1:B$30,MATCH($H378,'planning dogs-n-tiger'!$G$1:$G$42,0)),0)</f>
        <v>3515</v>
      </c>
      <c r="C378">
        <f>IFERROR(INDEX('planning dogs-n-tiger'!C$1:C$30,MATCH($H378,'planning dogs-n-tiger'!$G$1:$G$42,0)),0)</f>
        <v>22889.31</v>
      </c>
      <c r="D378">
        <f>IFERROR(INDEX('planning dogs-n-tiger'!D$1:D$30,MATCH($H378,'planning dogs-n-tiger'!$G$1:$G$42,0)),0)</f>
        <v>0</v>
      </c>
      <c r="E378">
        <f t="shared" si="50"/>
        <v>2</v>
      </c>
      <c r="F378">
        <f t="shared" si="51"/>
        <v>1</v>
      </c>
      <c r="G378">
        <f t="shared" si="52"/>
        <v>2022</v>
      </c>
      <c r="H378" t="str">
        <f t="shared" si="56"/>
        <v>12022</v>
      </c>
      <c r="I378">
        <f t="shared" si="57"/>
        <v>31</v>
      </c>
      <c r="J378">
        <f t="shared" si="53"/>
        <v>113.38709677419355</v>
      </c>
      <c r="K378">
        <f t="shared" si="54"/>
        <v>738.36483870967743</v>
      </c>
      <c r="L378">
        <f t="shared" si="55"/>
        <v>0</v>
      </c>
      <c r="M378" t="str">
        <f t="shared" si="58"/>
        <v>22022</v>
      </c>
      <c r="N378" t="str">
        <f t="shared" si="59"/>
        <v>2-1-2022</v>
      </c>
    </row>
    <row r="379" spans="1:14" x14ac:dyDescent="0.2">
      <c r="A379" s="1">
        <v>44574</v>
      </c>
      <c r="B379">
        <f>IFERROR(INDEX('planning dogs-n-tiger'!B$1:B$30,MATCH($H379,'planning dogs-n-tiger'!$G$1:$G$42,0)),0)</f>
        <v>3515</v>
      </c>
      <c r="C379">
        <f>IFERROR(INDEX('planning dogs-n-tiger'!C$1:C$30,MATCH($H379,'planning dogs-n-tiger'!$G$1:$G$42,0)),0)</f>
        <v>22889.31</v>
      </c>
      <c r="D379">
        <f>IFERROR(INDEX('planning dogs-n-tiger'!D$1:D$30,MATCH($H379,'planning dogs-n-tiger'!$G$1:$G$42,0)),0)</f>
        <v>0</v>
      </c>
      <c r="E379">
        <f t="shared" si="50"/>
        <v>2</v>
      </c>
      <c r="F379">
        <f t="shared" si="51"/>
        <v>1</v>
      </c>
      <c r="G379">
        <f t="shared" si="52"/>
        <v>2022</v>
      </c>
      <c r="H379" t="str">
        <f t="shared" si="56"/>
        <v>12022</v>
      </c>
      <c r="I379">
        <f t="shared" si="57"/>
        <v>31</v>
      </c>
      <c r="J379">
        <f t="shared" si="53"/>
        <v>113.38709677419355</v>
      </c>
      <c r="K379">
        <f t="shared" si="54"/>
        <v>738.36483870967743</v>
      </c>
      <c r="L379">
        <f t="shared" si="55"/>
        <v>0</v>
      </c>
      <c r="M379" t="str">
        <f t="shared" si="58"/>
        <v>22022</v>
      </c>
      <c r="N379" t="str">
        <f t="shared" si="59"/>
        <v>2-1-2022</v>
      </c>
    </row>
    <row r="380" spans="1:14" x14ac:dyDescent="0.2">
      <c r="A380" s="1">
        <v>44575</v>
      </c>
      <c r="B380">
        <f>IFERROR(INDEX('planning dogs-n-tiger'!B$1:B$30,MATCH($H380,'planning dogs-n-tiger'!$G$1:$G$42,0)),0)</f>
        <v>3515</v>
      </c>
      <c r="C380">
        <f>IFERROR(INDEX('planning dogs-n-tiger'!C$1:C$30,MATCH($H380,'planning dogs-n-tiger'!$G$1:$G$42,0)),0)</f>
        <v>22889.31</v>
      </c>
      <c r="D380">
        <f>IFERROR(INDEX('planning dogs-n-tiger'!D$1:D$30,MATCH($H380,'planning dogs-n-tiger'!$G$1:$G$42,0)),0)</f>
        <v>0</v>
      </c>
      <c r="E380">
        <f t="shared" si="50"/>
        <v>2</v>
      </c>
      <c r="F380">
        <f t="shared" si="51"/>
        <v>1</v>
      </c>
      <c r="G380">
        <f t="shared" si="52"/>
        <v>2022</v>
      </c>
      <c r="H380" t="str">
        <f t="shared" si="56"/>
        <v>12022</v>
      </c>
      <c r="I380">
        <f t="shared" si="57"/>
        <v>31</v>
      </c>
      <c r="J380">
        <f t="shared" si="53"/>
        <v>113.38709677419355</v>
      </c>
      <c r="K380">
        <f t="shared" si="54"/>
        <v>738.36483870967743</v>
      </c>
      <c r="L380">
        <f t="shared" si="55"/>
        <v>0</v>
      </c>
      <c r="M380" t="str">
        <f t="shared" si="58"/>
        <v>22022</v>
      </c>
      <c r="N380" t="str">
        <f t="shared" si="59"/>
        <v>2-1-2022</v>
      </c>
    </row>
    <row r="381" spans="1:14" x14ac:dyDescent="0.2">
      <c r="A381" s="1">
        <v>44576</v>
      </c>
      <c r="B381">
        <f>IFERROR(INDEX('planning dogs-n-tiger'!B$1:B$30,MATCH($H381,'planning dogs-n-tiger'!$G$1:$G$42,0)),0)</f>
        <v>3515</v>
      </c>
      <c r="C381">
        <f>IFERROR(INDEX('planning dogs-n-tiger'!C$1:C$30,MATCH($H381,'planning dogs-n-tiger'!$G$1:$G$42,0)),0)</f>
        <v>22889.31</v>
      </c>
      <c r="D381">
        <f>IFERROR(INDEX('planning dogs-n-tiger'!D$1:D$30,MATCH($H381,'planning dogs-n-tiger'!$G$1:$G$42,0)),0)</f>
        <v>0</v>
      </c>
      <c r="E381">
        <f t="shared" si="50"/>
        <v>2</v>
      </c>
      <c r="F381">
        <f t="shared" si="51"/>
        <v>1</v>
      </c>
      <c r="G381">
        <f t="shared" si="52"/>
        <v>2022</v>
      </c>
      <c r="H381" t="str">
        <f t="shared" si="56"/>
        <v>12022</v>
      </c>
      <c r="I381">
        <f t="shared" si="57"/>
        <v>31</v>
      </c>
      <c r="J381">
        <f t="shared" si="53"/>
        <v>113.38709677419355</v>
      </c>
      <c r="K381">
        <f t="shared" si="54"/>
        <v>738.36483870967743</v>
      </c>
      <c r="L381">
        <f t="shared" si="55"/>
        <v>0</v>
      </c>
      <c r="M381" t="str">
        <f t="shared" si="58"/>
        <v>22022</v>
      </c>
      <c r="N381" t="str">
        <f t="shared" si="59"/>
        <v>2-1-2022</v>
      </c>
    </row>
    <row r="382" spans="1:14" x14ac:dyDescent="0.2">
      <c r="A382" s="1">
        <v>44577</v>
      </c>
      <c r="B382">
        <f>IFERROR(INDEX('planning dogs-n-tiger'!B$1:B$30,MATCH($H382,'planning dogs-n-tiger'!$G$1:$G$42,0)),0)</f>
        <v>3515</v>
      </c>
      <c r="C382">
        <f>IFERROR(INDEX('planning dogs-n-tiger'!C$1:C$30,MATCH($H382,'planning dogs-n-tiger'!$G$1:$G$42,0)),0)</f>
        <v>22889.31</v>
      </c>
      <c r="D382">
        <f>IFERROR(INDEX('planning dogs-n-tiger'!D$1:D$30,MATCH($H382,'planning dogs-n-tiger'!$G$1:$G$42,0)),0)</f>
        <v>0</v>
      </c>
      <c r="E382">
        <f t="shared" si="50"/>
        <v>2</v>
      </c>
      <c r="F382">
        <f t="shared" si="51"/>
        <v>1</v>
      </c>
      <c r="G382">
        <f t="shared" si="52"/>
        <v>2022</v>
      </c>
      <c r="H382" t="str">
        <f t="shared" si="56"/>
        <v>12022</v>
      </c>
      <c r="I382">
        <f t="shared" si="57"/>
        <v>31</v>
      </c>
      <c r="J382">
        <f t="shared" si="53"/>
        <v>113.38709677419355</v>
      </c>
      <c r="K382">
        <f t="shared" si="54"/>
        <v>738.36483870967743</v>
      </c>
      <c r="L382">
        <f t="shared" si="55"/>
        <v>0</v>
      </c>
      <c r="M382" t="str">
        <f t="shared" si="58"/>
        <v>22022</v>
      </c>
      <c r="N382" t="str">
        <f t="shared" si="59"/>
        <v>2-1-2022</v>
      </c>
    </row>
    <row r="383" spans="1:14" x14ac:dyDescent="0.2">
      <c r="A383" s="1">
        <v>44578</v>
      </c>
      <c r="B383">
        <f>IFERROR(INDEX('planning dogs-n-tiger'!B$1:B$30,MATCH($H383,'planning dogs-n-tiger'!$G$1:$G$42,0)),0)</f>
        <v>3515</v>
      </c>
      <c r="C383">
        <f>IFERROR(INDEX('planning dogs-n-tiger'!C$1:C$30,MATCH($H383,'planning dogs-n-tiger'!$G$1:$G$42,0)),0)</f>
        <v>22889.31</v>
      </c>
      <c r="D383">
        <f>IFERROR(INDEX('planning dogs-n-tiger'!D$1:D$30,MATCH($H383,'planning dogs-n-tiger'!$G$1:$G$42,0)),0)</f>
        <v>0</v>
      </c>
      <c r="E383">
        <f t="shared" si="50"/>
        <v>3</v>
      </c>
      <c r="F383">
        <f t="shared" si="51"/>
        <v>1</v>
      </c>
      <c r="G383">
        <f t="shared" si="52"/>
        <v>2022</v>
      </c>
      <c r="H383" t="str">
        <f t="shared" si="56"/>
        <v>12022</v>
      </c>
      <c r="I383">
        <f t="shared" si="57"/>
        <v>31</v>
      </c>
      <c r="J383">
        <f t="shared" si="53"/>
        <v>113.38709677419355</v>
      </c>
      <c r="K383">
        <f t="shared" si="54"/>
        <v>738.36483870967743</v>
      </c>
      <c r="L383">
        <f t="shared" si="55"/>
        <v>0</v>
      </c>
      <c r="M383" t="str">
        <f t="shared" si="58"/>
        <v>32022</v>
      </c>
      <c r="N383" t="str">
        <f t="shared" si="59"/>
        <v>3-1-2022</v>
      </c>
    </row>
    <row r="384" spans="1:14" x14ac:dyDescent="0.2">
      <c r="A384" s="1">
        <v>44579</v>
      </c>
      <c r="B384">
        <f>IFERROR(INDEX('planning dogs-n-tiger'!B$1:B$30,MATCH($H384,'planning dogs-n-tiger'!$G$1:$G$42,0)),0)</f>
        <v>3515</v>
      </c>
      <c r="C384">
        <f>IFERROR(INDEX('planning dogs-n-tiger'!C$1:C$30,MATCH($H384,'planning dogs-n-tiger'!$G$1:$G$42,0)),0)</f>
        <v>22889.31</v>
      </c>
      <c r="D384">
        <f>IFERROR(INDEX('planning dogs-n-tiger'!D$1:D$30,MATCH($H384,'planning dogs-n-tiger'!$G$1:$G$42,0)),0)</f>
        <v>0</v>
      </c>
      <c r="E384">
        <f t="shared" si="50"/>
        <v>3</v>
      </c>
      <c r="F384">
        <f t="shared" si="51"/>
        <v>1</v>
      </c>
      <c r="G384">
        <f t="shared" si="52"/>
        <v>2022</v>
      </c>
      <c r="H384" t="str">
        <f t="shared" si="56"/>
        <v>12022</v>
      </c>
      <c r="I384">
        <f t="shared" si="57"/>
        <v>31</v>
      </c>
      <c r="J384">
        <f t="shared" si="53"/>
        <v>113.38709677419355</v>
      </c>
      <c r="K384">
        <f t="shared" si="54"/>
        <v>738.36483870967743</v>
      </c>
      <c r="L384">
        <f t="shared" si="55"/>
        <v>0</v>
      </c>
      <c r="M384" t="str">
        <f t="shared" si="58"/>
        <v>32022</v>
      </c>
      <c r="N384" t="str">
        <f t="shared" si="59"/>
        <v>3-1-2022</v>
      </c>
    </row>
    <row r="385" spans="1:14" x14ac:dyDescent="0.2">
      <c r="A385" s="1">
        <v>44580</v>
      </c>
      <c r="B385">
        <f>IFERROR(INDEX('planning dogs-n-tiger'!B$1:B$30,MATCH($H385,'planning dogs-n-tiger'!$G$1:$G$42,0)),0)</f>
        <v>3515</v>
      </c>
      <c r="C385">
        <f>IFERROR(INDEX('planning dogs-n-tiger'!C$1:C$30,MATCH($H385,'planning dogs-n-tiger'!$G$1:$G$42,0)),0)</f>
        <v>22889.31</v>
      </c>
      <c r="D385">
        <f>IFERROR(INDEX('planning dogs-n-tiger'!D$1:D$30,MATCH($H385,'planning dogs-n-tiger'!$G$1:$G$42,0)),0)</f>
        <v>0</v>
      </c>
      <c r="E385">
        <f t="shared" si="50"/>
        <v>3</v>
      </c>
      <c r="F385">
        <f t="shared" si="51"/>
        <v>1</v>
      </c>
      <c r="G385">
        <f t="shared" si="52"/>
        <v>2022</v>
      </c>
      <c r="H385" t="str">
        <f t="shared" si="56"/>
        <v>12022</v>
      </c>
      <c r="I385">
        <f t="shared" si="57"/>
        <v>31</v>
      </c>
      <c r="J385">
        <f t="shared" si="53"/>
        <v>113.38709677419355</v>
      </c>
      <c r="K385">
        <f t="shared" si="54"/>
        <v>738.36483870967743</v>
      </c>
      <c r="L385">
        <f t="shared" si="55"/>
        <v>0</v>
      </c>
      <c r="M385" t="str">
        <f t="shared" si="58"/>
        <v>32022</v>
      </c>
      <c r="N385" t="str">
        <f t="shared" si="59"/>
        <v>3-1-2022</v>
      </c>
    </row>
    <row r="386" spans="1:14" x14ac:dyDescent="0.2">
      <c r="A386" s="1">
        <v>44581</v>
      </c>
      <c r="B386">
        <f>IFERROR(INDEX('planning dogs-n-tiger'!B$1:B$30,MATCH($H386,'planning dogs-n-tiger'!$G$1:$G$42,0)),0)</f>
        <v>3515</v>
      </c>
      <c r="C386">
        <f>IFERROR(INDEX('planning dogs-n-tiger'!C$1:C$30,MATCH($H386,'planning dogs-n-tiger'!$G$1:$G$42,0)),0)</f>
        <v>22889.31</v>
      </c>
      <c r="D386">
        <f>IFERROR(INDEX('planning dogs-n-tiger'!D$1:D$30,MATCH($H386,'planning dogs-n-tiger'!$G$1:$G$42,0)),0)</f>
        <v>0</v>
      </c>
      <c r="E386">
        <f t="shared" ref="E386:E449" si="60">_xlfn.ISOWEEKNUM(A386)</f>
        <v>3</v>
      </c>
      <c r="F386">
        <f t="shared" ref="F386:F449" si="61">MONTH(A386)</f>
        <v>1</v>
      </c>
      <c r="G386">
        <f t="shared" ref="G386:G449" si="62">YEAR(A386)</f>
        <v>2022</v>
      </c>
      <c r="H386" t="str">
        <f t="shared" si="56"/>
        <v>12022</v>
      </c>
      <c r="I386">
        <f t="shared" si="57"/>
        <v>31</v>
      </c>
      <c r="J386">
        <f t="shared" ref="J386:J449" si="63">B386/$I386</f>
        <v>113.38709677419355</v>
      </c>
      <c r="K386">
        <f t="shared" ref="K386:K449" si="64">C386/$I386</f>
        <v>738.36483870967743</v>
      </c>
      <c r="L386">
        <f t="shared" ref="L386:L449" si="65">D386/$I386</f>
        <v>0</v>
      </c>
      <c r="M386" t="str">
        <f t="shared" si="58"/>
        <v>32022</v>
      </c>
      <c r="N386" t="str">
        <f t="shared" si="59"/>
        <v>3-1-2022</v>
      </c>
    </row>
    <row r="387" spans="1:14" x14ac:dyDescent="0.2">
      <c r="A387" s="1">
        <v>44582</v>
      </c>
      <c r="B387">
        <f>IFERROR(INDEX('planning dogs-n-tiger'!B$1:B$30,MATCH($H387,'planning dogs-n-tiger'!$G$1:$G$42,0)),0)</f>
        <v>3515</v>
      </c>
      <c r="C387">
        <f>IFERROR(INDEX('planning dogs-n-tiger'!C$1:C$30,MATCH($H387,'planning dogs-n-tiger'!$G$1:$G$42,0)),0)</f>
        <v>22889.31</v>
      </c>
      <c r="D387">
        <f>IFERROR(INDEX('planning dogs-n-tiger'!D$1:D$30,MATCH($H387,'planning dogs-n-tiger'!$G$1:$G$42,0)),0)</f>
        <v>0</v>
      </c>
      <c r="E387">
        <f t="shared" si="60"/>
        <v>3</v>
      </c>
      <c r="F387">
        <f t="shared" si="61"/>
        <v>1</v>
      </c>
      <c r="G387">
        <f t="shared" si="62"/>
        <v>2022</v>
      </c>
      <c r="H387" t="str">
        <f t="shared" ref="H387:H450" si="66">F387&amp;G387</f>
        <v>12022</v>
      </c>
      <c r="I387">
        <f t="shared" ref="I387:I450" si="67">DAY(EOMONTH(DATE(G387,F387,0),1))</f>
        <v>31</v>
      </c>
      <c r="J387">
        <f t="shared" si="63"/>
        <v>113.38709677419355</v>
      </c>
      <c r="K387">
        <f t="shared" si="64"/>
        <v>738.36483870967743</v>
      </c>
      <c r="L387">
        <f t="shared" si="65"/>
        <v>0</v>
      </c>
      <c r="M387" t="str">
        <f t="shared" ref="M387:M450" si="68">E387&amp;G387</f>
        <v>32022</v>
      </c>
      <c r="N387" t="str">
        <f t="shared" ref="N387:N450" si="69">E387&amp;"-"&amp;F387&amp;"-"&amp;G387</f>
        <v>3-1-2022</v>
      </c>
    </row>
    <row r="388" spans="1:14" x14ac:dyDescent="0.2">
      <c r="A388" s="1">
        <v>44583</v>
      </c>
      <c r="B388">
        <f>IFERROR(INDEX('planning dogs-n-tiger'!B$1:B$30,MATCH($H388,'planning dogs-n-tiger'!$G$1:$G$42,0)),0)</f>
        <v>3515</v>
      </c>
      <c r="C388">
        <f>IFERROR(INDEX('planning dogs-n-tiger'!C$1:C$30,MATCH($H388,'planning dogs-n-tiger'!$G$1:$G$42,0)),0)</f>
        <v>22889.31</v>
      </c>
      <c r="D388">
        <f>IFERROR(INDEX('planning dogs-n-tiger'!D$1:D$30,MATCH($H388,'planning dogs-n-tiger'!$G$1:$G$42,0)),0)</f>
        <v>0</v>
      </c>
      <c r="E388">
        <f t="shared" si="60"/>
        <v>3</v>
      </c>
      <c r="F388">
        <f t="shared" si="61"/>
        <v>1</v>
      </c>
      <c r="G388">
        <f t="shared" si="62"/>
        <v>2022</v>
      </c>
      <c r="H388" t="str">
        <f t="shared" si="66"/>
        <v>12022</v>
      </c>
      <c r="I388">
        <f t="shared" si="67"/>
        <v>31</v>
      </c>
      <c r="J388">
        <f t="shared" si="63"/>
        <v>113.38709677419355</v>
      </c>
      <c r="K388">
        <f t="shared" si="64"/>
        <v>738.36483870967743</v>
      </c>
      <c r="L388">
        <f t="shared" si="65"/>
        <v>0</v>
      </c>
      <c r="M388" t="str">
        <f t="shared" si="68"/>
        <v>32022</v>
      </c>
      <c r="N388" t="str">
        <f t="shared" si="69"/>
        <v>3-1-2022</v>
      </c>
    </row>
    <row r="389" spans="1:14" x14ac:dyDescent="0.2">
      <c r="A389" s="1">
        <v>44584</v>
      </c>
      <c r="B389">
        <f>IFERROR(INDEX('planning dogs-n-tiger'!B$1:B$30,MATCH($H389,'planning dogs-n-tiger'!$G$1:$G$42,0)),0)</f>
        <v>3515</v>
      </c>
      <c r="C389">
        <f>IFERROR(INDEX('planning dogs-n-tiger'!C$1:C$30,MATCH($H389,'planning dogs-n-tiger'!$G$1:$G$42,0)),0)</f>
        <v>22889.31</v>
      </c>
      <c r="D389">
        <f>IFERROR(INDEX('planning dogs-n-tiger'!D$1:D$30,MATCH($H389,'planning dogs-n-tiger'!$G$1:$G$42,0)),0)</f>
        <v>0</v>
      </c>
      <c r="E389">
        <f t="shared" si="60"/>
        <v>3</v>
      </c>
      <c r="F389">
        <f t="shared" si="61"/>
        <v>1</v>
      </c>
      <c r="G389">
        <f t="shared" si="62"/>
        <v>2022</v>
      </c>
      <c r="H389" t="str">
        <f t="shared" si="66"/>
        <v>12022</v>
      </c>
      <c r="I389">
        <f t="shared" si="67"/>
        <v>31</v>
      </c>
      <c r="J389">
        <f t="shared" si="63"/>
        <v>113.38709677419355</v>
      </c>
      <c r="K389">
        <f t="shared" si="64"/>
        <v>738.36483870967743</v>
      </c>
      <c r="L389">
        <f t="shared" si="65"/>
        <v>0</v>
      </c>
      <c r="M389" t="str">
        <f t="shared" si="68"/>
        <v>32022</v>
      </c>
      <c r="N389" t="str">
        <f t="shared" si="69"/>
        <v>3-1-2022</v>
      </c>
    </row>
    <row r="390" spans="1:14" x14ac:dyDescent="0.2">
      <c r="A390" s="1">
        <v>44585</v>
      </c>
      <c r="B390">
        <f>IFERROR(INDEX('planning dogs-n-tiger'!B$1:B$30,MATCH($H390,'planning dogs-n-tiger'!$G$1:$G$42,0)),0)</f>
        <v>3515</v>
      </c>
      <c r="C390">
        <f>IFERROR(INDEX('planning dogs-n-tiger'!C$1:C$30,MATCH($H390,'planning dogs-n-tiger'!$G$1:$G$42,0)),0)</f>
        <v>22889.31</v>
      </c>
      <c r="D390">
        <f>IFERROR(INDEX('planning dogs-n-tiger'!D$1:D$30,MATCH($H390,'planning dogs-n-tiger'!$G$1:$G$42,0)),0)</f>
        <v>0</v>
      </c>
      <c r="E390">
        <f t="shared" si="60"/>
        <v>4</v>
      </c>
      <c r="F390">
        <f t="shared" si="61"/>
        <v>1</v>
      </c>
      <c r="G390">
        <f t="shared" si="62"/>
        <v>2022</v>
      </c>
      <c r="H390" t="str">
        <f t="shared" si="66"/>
        <v>12022</v>
      </c>
      <c r="I390">
        <f t="shared" si="67"/>
        <v>31</v>
      </c>
      <c r="J390">
        <f t="shared" si="63"/>
        <v>113.38709677419355</v>
      </c>
      <c r="K390">
        <f t="shared" si="64"/>
        <v>738.36483870967743</v>
      </c>
      <c r="L390">
        <f t="shared" si="65"/>
        <v>0</v>
      </c>
      <c r="M390" t="str">
        <f t="shared" si="68"/>
        <v>42022</v>
      </c>
      <c r="N390" t="str">
        <f t="shared" si="69"/>
        <v>4-1-2022</v>
      </c>
    </row>
    <row r="391" spans="1:14" x14ac:dyDescent="0.2">
      <c r="A391" s="1">
        <v>44586</v>
      </c>
      <c r="B391">
        <f>IFERROR(INDEX('planning dogs-n-tiger'!B$1:B$30,MATCH($H391,'planning dogs-n-tiger'!$G$1:$G$42,0)),0)</f>
        <v>3515</v>
      </c>
      <c r="C391">
        <f>IFERROR(INDEX('planning dogs-n-tiger'!C$1:C$30,MATCH($H391,'planning dogs-n-tiger'!$G$1:$G$42,0)),0)</f>
        <v>22889.31</v>
      </c>
      <c r="D391">
        <f>IFERROR(INDEX('planning dogs-n-tiger'!D$1:D$30,MATCH($H391,'planning dogs-n-tiger'!$G$1:$G$42,0)),0)</f>
        <v>0</v>
      </c>
      <c r="E391">
        <f t="shared" si="60"/>
        <v>4</v>
      </c>
      <c r="F391">
        <f t="shared" si="61"/>
        <v>1</v>
      </c>
      <c r="G391">
        <f t="shared" si="62"/>
        <v>2022</v>
      </c>
      <c r="H391" t="str">
        <f t="shared" si="66"/>
        <v>12022</v>
      </c>
      <c r="I391">
        <f t="shared" si="67"/>
        <v>31</v>
      </c>
      <c r="J391">
        <f t="shared" si="63"/>
        <v>113.38709677419355</v>
      </c>
      <c r="K391">
        <f t="shared" si="64"/>
        <v>738.36483870967743</v>
      </c>
      <c r="L391">
        <f t="shared" si="65"/>
        <v>0</v>
      </c>
      <c r="M391" t="str">
        <f t="shared" si="68"/>
        <v>42022</v>
      </c>
      <c r="N391" t="str">
        <f t="shared" si="69"/>
        <v>4-1-2022</v>
      </c>
    </row>
    <row r="392" spans="1:14" x14ac:dyDescent="0.2">
      <c r="A392" s="1">
        <v>44587</v>
      </c>
      <c r="B392">
        <f>IFERROR(INDEX('planning dogs-n-tiger'!B$1:B$30,MATCH($H392,'planning dogs-n-tiger'!$G$1:$G$42,0)),0)</f>
        <v>3515</v>
      </c>
      <c r="C392">
        <f>IFERROR(INDEX('planning dogs-n-tiger'!C$1:C$30,MATCH($H392,'planning dogs-n-tiger'!$G$1:$G$42,0)),0)</f>
        <v>22889.31</v>
      </c>
      <c r="D392">
        <f>IFERROR(INDEX('planning dogs-n-tiger'!D$1:D$30,MATCH($H392,'planning dogs-n-tiger'!$G$1:$G$42,0)),0)</f>
        <v>0</v>
      </c>
      <c r="E392">
        <f t="shared" si="60"/>
        <v>4</v>
      </c>
      <c r="F392">
        <f t="shared" si="61"/>
        <v>1</v>
      </c>
      <c r="G392">
        <f t="shared" si="62"/>
        <v>2022</v>
      </c>
      <c r="H392" t="str">
        <f t="shared" si="66"/>
        <v>12022</v>
      </c>
      <c r="I392">
        <f t="shared" si="67"/>
        <v>31</v>
      </c>
      <c r="J392">
        <f t="shared" si="63"/>
        <v>113.38709677419355</v>
      </c>
      <c r="K392">
        <f t="shared" si="64"/>
        <v>738.36483870967743</v>
      </c>
      <c r="L392">
        <f t="shared" si="65"/>
        <v>0</v>
      </c>
      <c r="M392" t="str">
        <f t="shared" si="68"/>
        <v>42022</v>
      </c>
      <c r="N392" t="str">
        <f t="shared" si="69"/>
        <v>4-1-2022</v>
      </c>
    </row>
    <row r="393" spans="1:14" x14ac:dyDescent="0.2">
      <c r="A393" s="1">
        <v>44588</v>
      </c>
      <c r="B393">
        <f>IFERROR(INDEX('planning dogs-n-tiger'!B$1:B$30,MATCH($H393,'planning dogs-n-tiger'!$G$1:$G$42,0)),0)</f>
        <v>3515</v>
      </c>
      <c r="C393">
        <f>IFERROR(INDEX('planning dogs-n-tiger'!C$1:C$30,MATCH($H393,'planning dogs-n-tiger'!$G$1:$G$42,0)),0)</f>
        <v>22889.31</v>
      </c>
      <c r="D393">
        <f>IFERROR(INDEX('planning dogs-n-tiger'!D$1:D$30,MATCH($H393,'planning dogs-n-tiger'!$G$1:$G$42,0)),0)</f>
        <v>0</v>
      </c>
      <c r="E393">
        <f t="shared" si="60"/>
        <v>4</v>
      </c>
      <c r="F393">
        <f t="shared" si="61"/>
        <v>1</v>
      </c>
      <c r="G393">
        <f t="shared" si="62"/>
        <v>2022</v>
      </c>
      <c r="H393" t="str">
        <f t="shared" si="66"/>
        <v>12022</v>
      </c>
      <c r="I393">
        <f t="shared" si="67"/>
        <v>31</v>
      </c>
      <c r="J393">
        <f t="shared" si="63"/>
        <v>113.38709677419355</v>
      </c>
      <c r="K393">
        <f t="shared" si="64"/>
        <v>738.36483870967743</v>
      </c>
      <c r="L393">
        <f t="shared" si="65"/>
        <v>0</v>
      </c>
      <c r="M393" t="str">
        <f t="shared" si="68"/>
        <v>42022</v>
      </c>
      <c r="N393" t="str">
        <f t="shared" si="69"/>
        <v>4-1-2022</v>
      </c>
    </row>
    <row r="394" spans="1:14" x14ac:dyDescent="0.2">
      <c r="A394" s="1">
        <v>44589</v>
      </c>
      <c r="B394">
        <f>IFERROR(INDEX('planning dogs-n-tiger'!B$1:B$30,MATCH($H394,'planning dogs-n-tiger'!$G$1:$G$42,0)),0)</f>
        <v>3515</v>
      </c>
      <c r="C394">
        <f>IFERROR(INDEX('planning dogs-n-tiger'!C$1:C$30,MATCH($H394,'planning dogs-n-tiger'!$G$1:$G$42,0)),0)</f>
        <v>22889.31</v>
      </c>
      <c r="D394">
        <f>IFERROR(INDEX('planning dogs-n-tiger'!D$1:D$30,MATCH($H394,'planning dogs-n-tiger'!$G$1:$G$42,0)),0)</f>
        <v>0</v>
      </c>
      <c r="E394">
        <f t="shared" si="60"/>
        <v>4</v>
      </c>
      <c r="F394">
        <f t="shared" si="61"/>
        <v>1</v>
      </c>
      <c r="G394">
        <f t="shared" si="62"/>
        <v>2022</v>
      </c>
      <c r="H394" t="str">
        <f t="shared" si="66"/>
        <v>12022</v>
      </c>
      <c r="I394">
        <f t="shared" si="67"/>
        <v>31</v>
      </c>
      <c r="J394">
        <f t="shared" si="63"/>
        <v>113.38709677419355</v>
      </c>
      <c r="K394">
        <f t="shared" si="64"/>
        <v>738.36483870967743</v>
      </c>
      <c r="L394">
        <f t="shared" si="65"/>
        <v>0</v>
      </c>
      <c r="M394" t="str">
        <f t="shared" si="68"/>
        <v>42022</v>
      </c>
      <c r="N394" t="str">
        <f t="shared" si="69"/>
        <v>4-1-2022</v>
      </c>
    </row>
    <row r="395" spans="1:14" x14ac:dyDescent="0.2">
      <c r="A395" s="1">
        <v>44590</v>
      </c>
      <c r="B395">
        <f>IFERROR(INDEX('planning dogs-n-tiger'!B$1:B$30,MATCH($H395,'planning dogs-n-tiger'!$G$1:$G$42,0)),0)</f>
        <v>3515</v>
      </c>
      <c r="C395">
        <f>IFERROR(INDEX('planning dogs-n-tiger'!C$1:C$30,MATCH($H395,'planning dogs-n-tiger'!$G$1:$G$42,0)),0)</f>
        <v>22889.31</v>
      </c>
      <c r="D395">
        <f>IFERROR(INDEX('planning dogs-n-tiger'!D$1:D$30,MATCH($H395,'planning dogs-n-tiger'!$G$1:$G$42,0)),0)</f>
        <v>0</v>
      </c>
      <c r="E395">
        <f t="shared" si="60"/>
        <v>4</v>
      </c>
      <c r="F395">
        <f t="shared" si="61"/>
        <v>1</v>
      </c>
      <c r="G395">
        <f t="shared" si="62"/>
        <v>2022</v>
      </c>
      <c r="H395" t="str">
        <f t="shared" si="66"/>
        <v>12022</v>
      </c>
      <c r="I395">
        <f t="shared" si="67"/>
        <v>31</v>
      </c>
      <c r="J395">
        <f t="shared" si="63"/>
        <v>113.38709677419355</v>
      </c>
      <c r="K395">
        <f t="shared" si="64"/>
        <v>738.36483870967743</v>
      </c>
      <c r="L395">
        <f t="shared" si="65"/>
        <v>0</v>
      </c>
      <c r="M395" t="str">
        <f t="shared" si="68"/>
        <v>42022</v>
      </c>
      <c r="N395" t="str">
        <f t="shared" si="69"/>
        <v>4-1-2022</v>
      </c>
    </row>
    <row r="396" spans="1:14" x14ac:dyDescent="0.2">
      <c r="A396" s="1">
        <v>44591</v>
      </c>
      <c r="B396">
        <f>IFERROR(INDEX('planning dogs-n-tiger'!B$1:B$30,MATCH($H396,'planning dogs-n-tiger'!$G$1:$G$42,0)),0)</f>
        <v>3515</v>
      </c>
      <c r="C396">
        <f>IFERROR(INDEX('planning dogs-n-tiger'!C$1:C$30,MATCH($H396,'planning dogs-n-tiger'!$G$1:$G$42,0)),0)</f>
        <v>22889.31</v>
      </c>
      <c r="D396">
        <f>IFERROR(INDEX('planning dogs-n-tiger'!D$1:D$30,MATCH($H396,'planning dogs-n-tiger'!$G$1:$G$42,0)),0)</f>
        <v>0</v>
      </c>
      <c r="E396">
        <f t="shared" si="60"/>
        <v>4</v>
      </c>
      <c r="F396">
        <f t="shared" si="61"/>
        <v>1</v>
      </c>
      <c r="G396">
        <f t="shared" si="62"/>
        <v>2022</v>
      </c>
      <c r="H396" t="str">
        <f t="shared" si="66"/>
        <v>12022</v>
      </c>
      <c r="I396">
        <f t="shared" si="67"/>
        <v>31</v>
      </c>
      <c r="J396">
        <f t="shared" si="63"/>
        <v>113.38709677419355</v>
      </c>
      <c r="K396">
        <f t="shared" si="64"/>
        <v>738.36483870967743</v>
      </c>
      <c r="L396">
        <f t="shared" si="65"/>
        <v>0</v>
      </c>
      <c r="M396" t="str">
        <f t="shared" si="68"/>
        <v>42022</v>
      </c>
      <c r="N396" t="str">
        <f t="shared" si="69"/>
        <v>4-1-2022</v>
      </c>
    </row>
    <row r="397" spans="1:14" x14ac:dyDescent="0.2">
      <c r="A397" s="1">
        <v>44592</v>
      </c>
      <c r="B397">
        <f>IFERROR(INDEX('planning dogs-n-tiger'!B$1:B$30,MATCH($H397,'planning dogs-n-tiger'!$G$1:$G$42,0)),0)</f>
        <v>3515</v>
      </c>
      <c r="C397">
        <f>IFERROR(INDEX('planning dogs-n-tiger'!C$1:C$30,MATCH($H397,'planning dogs-n-tiger'!$G$1:$G$42,0)),0)</f>
        <v>22889.31</v>
      </c>
      <c r="D397">
        <f>IFERROR(INDEX('planning dogs-n-tiger'!D$1:D$30,MATCH($H397,'planning dogs-n-tiger'!$G$1:$G$42,0)),0)</f>
        <v>0</v>
      </c>
      <c r="E397">
        <f t="shared" si="60"/>
        <v>5</v>
      </c>
      <c r="F397">
        <f t="shared" si="61"/>
        <v>1</v>
      </c>
      <c r="G397">
        <f t="shared" si="62"/>
        <v>2022</v>
      </c>
      <c r="H397" t="str">
        <f t="shared" si="66"/>
        <v>12022</v>
      </c>
      <c r="I397">
        <f t="shared" si="67"/>
        <v>31</v>
      </c>
      <c r="J397">
        <f t="shared" si="63"/>
        <v>113.38709677419355</v>
      </c>
      <c r="K397">
        <f t="shared" si="64"/>
        <v>738.36483870967743</v>
      </c>
      <c r="L397">
        <f t="shared" si="65"/>
        <v>0</v>
      </c>
      <c r="M397" t="str">
        <f t="shared" si="68"/>
        <v>52022</v>
      </c>
      <c r="N397" t="str">
        <f t="shared" si="69"/>
        <v>5-1-2022</v>
      </c>
    </row>
    <row r="398" spans="1:14" x14ac:dyDescent="0.2">
      <c r="A398" s="1">
        <v>44593</v>
      </c>
      <c r="B398">
        <f>IFERROR(INDEX('planning dogs-n-tiger'!B$1:B$30,MATCH($H398,'planning dogs-n-tiger'!$G$1:$G$42,0)),0)</f>
        <v>10879</v>
      </c>
      <c r="C398">
        <f>IFERROR(INDEX('planning dogs-n-tiger'!C$1:C$30,MATCH($H398,'planning dogs-n-tiger'!$G$1:$G$42,0)),0)</f>
        <v>25600.37</v>
      </c>
      <c r="D398">
        <f>IFERROR(INDEX('planning dogs-n-tiger'!D$1:D$30,MATCH($H398,'planning dogs-n-tiger'!$G$1:$G$42,0)),0)</f>
        <v>0</v>
      </c>
      <c r="E398">
        <f t="shared" si="60"/>
        <v>5</v>
      </c>
      <c r="F398">
        <f t="shared" si="61"/>
        <v>2</v>
      </c>
      <c r="G398">
        <f t="shared" si="62"/>
        <v>2022</v>
      </c>
      <c r="H398" t="str">
        <f t="shared" si="66"/>
        <v>22022</v>
      </c>
      <c r="I398">
        <f t="shared" si="67"/>
        <v>28</v>
      </c>
      <c r="J398">
        <f t="shared" si="63"/>
        <v>388.53571428571428</v>
      </c>
      <c r="K398">
        <f t="shared" si="64"/>
        <v>914.29892857142852</v>
      </c>
      <c r="L398">
        <f t="shared" si="65"/>
        <v>0</v>
      </c>
      <c r="M398" t="str">
        <f t="shared" si="68"/>
        <v>52022</v>
      </c>
      <c r="N398" t="str">
        <f t="shared" si="69"/>
        <v>5-2-2022</v>
      </c>
    </row>
    <row r="399" spans="1:14" x14ac:dyDescent="0.2">
      <c r="A399" s="1">
        <v>44594</v>
      </c>
      <c r="B399">
        <f>IFERROR(INDEX('planning dogs-n-tiger'!B$1:B$30,MATCH($H399,'planning dogs-n-tiger'!$G$1:$G$42,0)),0)</f>
        <v>10879</v>
      </c>
      <c r="C399">
        <f>IFERROR(INDEX('planning dogs-n-tiger'!C$1:C$30,MATCH($H399,'planning dogs-n-tiger'!$G$1:$G$42,0)),0)</f>
        <v>25600.37</v>
      </c>
      <c r="D399">
        <f>IFERROR(INDEX('planning dogs-n-tiger'!D$1:D$30,MATCH($H399,'planning dogs-n-tiger'!$G$1:$G$42,0)),0)</f>
        <v>0</v>
      </c>
      <c r="E399">
        <f t="shared" si="60"/>
        <v>5</v>
      </c>
      <c r="F399">
        <f t="shared" si="61"/>
        <v>2</v>
      </c>
      <c r="G399">
        <f t="shared" si="62"/>
        <v>2022</v>
      </c>
      <c r="H399" t="str">
        <f t="shared" si="66"/>
        <v>22022</v>
      </c>
      <c r="I399">
        <f t="shared" si="67"/>
        <v>28</v>
      </c>
      <c r="J399">
        <f t="shared" si="63"/>
        <v>388.53571428571428</v>
      </c>
      <c r="K399">
        <f t="shared" si="64"/>
        <v>914.29892857142852</v>
      </c>
      <c r="L399">
        <f t="shared" si="65"/>
        <v>0</v>
      </c>
      <c r="M399" t="str">
        <f t="shared" si="68"/>
        <v>52022</v>
      </c>
      <c r="N399" t="str">
        <f t="shared" si="69"/>
        <v>5-2-2022</v>
      </c>
    </row>
    <row r="400" spans="1:14" x14ac:dyDescent="0.2">
      <c r="A400" s="1">
        <v>44595</v>
      </c>
      <c r="B400">
        <f>IFERROR(INDEX('planning dogs-n-tiger'!B$1:B$30,MATCH($H400,'planning dogs-n-tiger'!$G$1:$G$42,0)),0)</f>
        <v>10879</v>
      </c>
      <c r="C400">
        <f>IFERROR(INDEX('planning dogs-n-tiger'!C$1:C$30,MATCH($H400,'planning dogs-n-tiger'!$G$1:$G$42,0)),0)</f>
        <v>25600.37</v>
      </c>
      <c r="D400">
        <f>IFERROR(INDEX('planning dogs-n-tiger'!D$1:D$30,MATCH($H400,'planning dogs-n-tiger'!$G$1:$G$42,0)),0)</f>
        <v>0</v>
      </c>
      <c r="E400">
        <f t="shared" si="60"/>
        <v>5</v>
      </c>
      <c r="F400">
        <f t="shared" si="61"/>
        <v>2</v>
      </c>
      <c r="G400">
        <f t="shared" si="62"/>
        <v>2022</v>
      </c>
      <c r="H400" t="str">
        <f t="shared" si="66"/>
        <v>22022</v>
      </c>
      <c r="I400">
        <f t="shared" si="67"/>
        <v>28</v>
      </c>
      <c r="J400">
        <f t="shared" si="63"/>
        <v>388.53571428571428</v>
      </c>
      <c r="K400">
        <f t="shared" si="64"/>
        <v>914.29892857142852</v>
      </c>
      <c r="L400">
        <f t="shared" si="65"/>
        <v>0</v>
      </c>
      <c r="M400" t="str">
        <f t="shared" si="68"/>
        <v>52022</v>
      </c>
      <c r="N400" t="str">
        <f t="shared" si="69"/>
        <v>5-2-2022</v>
      </c>
    </row>
    <row r="401" spans="1:14" x14ac:dyDescent="0.2">
      <c r="A401" s="1">
        <v>44596</v>
      </c>
      <c r="B401">
        <f>IFERROR(INDEX('planning dogs-n-tiger'!B$1:B$30,MATCH($H401,'planning dogs-n-tiger'!$G$1:$G$42,0)),0)</f>
        <v>10879</v>
      </c>
      <c r="C401">
        <f>IFERROR(INDEX('planning dogs-n-tiger'!C$1:C$30,MATCH($H401,'planning dogs-n-tiger'!$G$1:$G$42,0)),0)</f>
        <v>25600.37</v>
      </c>
      <c r="D401">
        <f>IFERROR(INDEX('planning dogs-n-tiger'!D$1:D$30,MATCH($H401,'planning dogs-n-tiger'!$G$1:$G$42,0)),0)</f>
        <v>0</v>
      </c>
      <c r="E401">
        <f t="shared" si="60"/>
        <v>5</v>
      </c>
      <c r="F401">
        <f t="shared" si="61"/>
        <v>2</v>
      </c>
      <c r="G401">
        <f t="shared" si="62"/>
        <v>2022</v>
      </c>
      <c r="H401" t="str">
        <f t="shared" si="66"/>
        <v>22022</v>
      </c>
      <c r="I401">
        <f t="shared" si="67"/>
        <v>28</v>
      </c>
      <c r="J401">
        <f t="shared" si="63"/>
        <v>388.53571428571428</v>
      </c>
      <c r="K401">
        <f t="shared" si="64"/>
        <v>914.29892857142852</v>
      </c>
      <c r="L401">
        <f t="shared" si="65"/>
        <v>0</v>
      </c>
      <c r="M401" t="str">
        <f t="shared" si="68"/>
        <v>52022</v>
      </c>
      <c r="N401" t="str">
        <f t="shared" si="69"/>
        <v>5-2-2022</v>
      </c>
    </row>
    <row r="402" spans="1:14" x14ac:dyDescent="0.2">
      <c r="A402" s="1">
        <v>44597</v>
      </c>
      <c r="B402">
        <f>IFERROR(INDEX('planning dogs-n-tiger'!B$1:B$30,MATCH($H402,'planning dogs-n-tiger'!$G$1:$G$42,0)),0)</f>
        <v>10879</v>
      </c>
      <c r="C402">
        <f>IFERROR(INDEX('planning dogs-n-tiger'!C$1:C$30,MATCH($H402,'planning dogs-n-tiger'!$G$1:$G$42,0)),0)</f>
        <v>25600.37</v>
      </c>
      <c r="D402">
        <f>IFERROR(INDEX('planning dogs-n-tiger'!D$1:D$30,MATCH($H402,'planning dogs-n-tiger'!$G$1:$G$42,0)),0)</f>
        <v>0</v>
      </c>
      <c r="E402">
        <f t="shared" si="60"/>
        <v>5</v>
      </c>
      <c r="F402">
        <f t="shared" si="61"/>
        <v>2</v>
      </c>
      <c r="G402">
        <f t="shared" si="62"/>
        <v>2022</v>
      </c>
      <c r="H402" t="str">
        <f t="shared" si="66"/>
        <v>22022</v>
      </c>
      <c r="I402">
        <f t="shared" si="67"/>
        <v>28</v>
      </c>
      <c r="J402">
        <f t="shared" si="63"/>
        <v>388.53571428571428</v>
      </c>
      <c r="K402">
        <f t="shared" si="64"/>
        <v>914.29892857142852</v>
      </c>
      <c r="L402">
        <f t="shared" si="65"/>
        <v>0</v>
      </c>
      <c r="M402" t="str">
        <f t="shared" si="68"/>
        <v>52022</v>
      </c>
      <c r="N402" t="str">
        <f t="shared" si="69"/>
        <v>5-2-2022</v>
      </c>
    </row>
    <row r="403" spans="1:14" x14ac:dyDescent="0.2">
      <c r="A403" s="1">
        <v>44598</v>
      </c>
      <c r="B403">
        <f>IFERROR(INDEX('planning dogs-n-tiger'!B$1:B$30,MATCH($H403,'planning dogs-n-tiger'!$G$1:$G$42,0)),0)</f>
        <v>10879</v>
      </c>
      <c r="C403">
        <f>IFERROR(INDEX('planning dogs-n-tiger'!C$1:C$30,MATCH($H403,'planning dogs-n-tiger'!$G$1:$G$42,0)),0)</f>
        <v>25600.37</v>
      </c>
      <c r="D403">
        <f>IFERROR(INDEX('planning dogs-n-tiger'!D$1:D$30,MATCH($H403,'planning dogs-n-tiger'!$G$1:$G$42,0)),0)</f>
        <v>0</v>
      </c>
      <c r="E403">
        <f t="shared" si="60"/>
        <v>5</v>
      </c>
      <c r="F403">
        <f t="shared" si="61"/>
        <v>2</v>
      </c>
      <c r="G403">
        <f t="shared" si="62"/>
        <v>2022</v>
      </c>
      <c r="H403" t="str">
        <f t="shared" si="66"/>
        <v>22022</v>
      </c>
      <c r="I403">
        <f t="shared" si="67"/>
        <v>28</v>
      </c>
      <c r="J403">
        <f t="shared" si="63"/>
        <v>388.53571428571428</v>
      </c>
      <c r="K403">
        <f t="shared" si="64"/>
        <v>914.29892857142852</v>
      </c>
      <c r="L403">
        <f t="shared" si="65"/>
        <v>0</v>
      </c>
      <c r="M403" t="str">
        <f t="shared" si="68"/>
        <v>52022</v>
      </c>
      <c r="N403" t="str">
        <f t="shared" si="69"/>
        <v>5-2-2022</v>
      </c>
    </row>
    <row r="404" spans="1:14" x14ac:dyDescent="0.2">
      <c r="A404" s="1">
        <v>44599</v>
      </c>
      <c r="B404">
        <f>IFERROR(INDEX('planning dogs-n-tiger'!B$1:B$30,MATCH($H404,'planning dogs-n-tiger'!$G$1:$G$42,0)),0)</f>
        <v>10879</v>
      </c>
      <c r="C404">
        <f>IFERROR(INDEX('planning dogs-n-tiger'!C$1:C$30,MATCH($H404,'planning dogs-n-tiger'!$G$1:$G$42,0)),0)</f>
        <v>25600.37</v>
      </c>
      <c r="D404">
        <f>IFERROR(INDEX('planning dogs-n-tiger'!D$1:D$30,MATCH($H404,'planning dogs-n-tiger'!$G$1:$G$42,0)),0)</f>
        <v>0</v>
      </c>
      <c r="E404">
        <f t="shared" si="60"/>
        <v>6</v>
      </c>
      <c r="F404">
        <f t="shared" si="61"/>
        <v>2</v>
      </c>
      <c r="G404">
        <f t="shared" si="62"/>
        <v>2022</v>
      </c>
      <c r="H404" t="str">
        <f t="shared" si="66"/>
        <v>22022</v>
      </c>
      <c r="I404">
        <f t="shared" si="67"/>
        <v>28</v>
      </c>
      <c r="J404">
        <f t="shared" si="63"/>
        <v>388.53571428571428</v>
      </c>
      <c r="K404">
        <f t="shared" si="64"/>
        <v>914.29892857142852</v>
      </c>
      <c r="L404">
        <f t="shared" si="65"/>
        <v>0</v>
      </c>
      <c r="M404" t="str">
        <f t="shared" si="68"/>
        <v>62022</v>
      </c>
      <c r="N404" t="str">
        <f t="shared" si="69"/>
        <v>6-2-2022</v>
      </c>
    </row>
    <row r="405" spans="1:14" x14ac:dyDescent="0.2">
      <c r="A405" s="1">
        <v>44600</v>
      </c>
      <c r="B405">
        <f>IFERROR(INDEX('planning dogs-n-tiger'!B$1:B$30,MATCH($H405,'planning dogs-n-tiger'!$G$1:$G$42,0)),0)</f>
        <v>10879</v>
      </c>
      <c r="C405">
        <f>IFERROR(INDEX('planning dogs-n-tiger'!C$1:C$30,MATCH($H405,'planning dogs-n-tiger'!$G$1:$G$42,0)),0)</f>
        <v>25600.37</v>
      </c>
      <c r="D405">
        <f>IFERROR(INDEX('planning dogs-n-tiger'!D$1:D$30,MATCH($H405,'planning dogs-n-tiger'!$G$1:$G$42,0)),0)</f>
        <v>0</v>
      </c>
      <c r="E405">
        <f t="shared" si="60"/>
        <v>6</v>
      </c>
      <c r="F405">
        <f t="shared" si="61"/>
        <v>2</v>
      </c>
      <c r="G405">
        <f t="shared" si="62"/>
        <v>2022</v>
      </c>
      <c r="H405" t="str">
        <f t="shared" si="66"/>
        <v>22022</v>
      </c>
      <c r="I405">
        <f t="shared" si="67"/>
        <v>28</v>
      </c>
      <c r="J405">
        <f t="shared" si="63"/>
        <v>388.53571428571428</v>
      </c>
      <c r="K405">
        <f t="shared" si="64"/>
        <v>914.29892857142852</v>
      </c>
      <c r="L405">
        <f t="shared" si="65"/>
        <v>0</v>
      </c>
      <c r="M405" t="str">
        <f t="shared" si="68"/>
        <v>62022</v>
      </c>
      <c r="N405" t="str">
        <f t="shared" si="69"/>
        <v>6-2-2022</v>
      </c>
    </row>
    <row r="406" spans="1:14" x14ac:dyDescent="0.2">
      <c r="A406" s="1">
        <v>44601</v>
      </c>
      <c r="B406">
        <f>IFERROR(INDEX('planning dogs-n-tiger'!B$1:B$30,MATCH($H406,'planning dogs-n-tiger'!$G$1:$G$42,0)),0)</f>
        <v>10879</v>
      </c>
      <c r="C406">
        <f>IFERROR(INDEX('planning dogs-n-tiger'!C$1:C$30,MATCH($H406,'planning dogs-n-tiger'!$G$1:$G$42,0)),0)</f>
        <v>25600.37</v>
      </c>
      <c r="D406">
        <f>IFERROR(INDEX('planning dogs-n-tiger'!D$1:D$30,MATCH($H406,'planning dogs-n-tiger'!$G$1:$G$42,0)),0)</f>
        <v>0</v>
      </c>
      <c r="E406">
        <f t="shared" si="60"/>
        <v>6</v>
      </c>
      <c r="F406">
        <f t="shared" si="61"/>
        <v>2</v>
      </c>
      <c r="G406">
        <f t="shared" si="62"/>
        <v>2022</v>
      </c>
      <c r="H406" t="str">
        <f t="shared" si="66"/>
        <v>22022</v>
      </c>
      <c r="I406">
        <f t="shared" si="67"/>
        <v>28</v>
      </c>
      <c r="J406">
        <f t="shared" si="63"/>
        <v>388.53571428571428</v>
      </c>
      <c r="K406">
        <f t="shared" si="64"/>
        <v>914.29892857142852</v>
      </c>
      <c r="L406">
        <f t="shared" si="65"/>
        <v>0</v>
      </c>
      <c r="M406" t="str">
        <f t="shared" si="68"/>
        <v>62022</v>
      </c>
      <c r="N406" t="str">
        <f t="shared" si="69"/>
        <v>6-2-2022</v>
      </c>
    </row>
    <row r="407" spans="1:14" x14ac:dyDescent="0.2">
      <c r="A407" s="1">
        <v>44602</v>
      </c>
      <c r="B407">
        <f>IFERROR(INDEX('planning dogs-n-tiger'!B$1:B$30,MATCH($H407,'planning dogs-n-tiger'!$G$1:$G$42,0)),0)</f>
        <v>10879</v>
      </c>
      <c r="C407">
        <f>IFERROR(INDEX('planning dogs-n-tiger'!C$1:C$30,MATCH($H407,'planning dogs-n-tiger'!$G$1:$G$42,0)),0)</f>
        <v>25600.37</v>
      </c>
      <c r="D407">
        <f>IFERROR(INDEX('planning dogs-n-tiger'!D$1:D$30,MATCH($H407,'planning dogs-n-tiger'!$G$1:$G$42,0)),0)</f>
        <v>0</v>
      </c>
      <c r="E407">
        <f t="shared" si="60"/>
        <v>6</v>
      </c>
      <c r="F407">
        <f t="shared" si="61"/>
        <v>2</v>
      </c>
      <c r="G407">
        <f t="shared" si="62"/>
        <v>2022</v>
      </c>
      <c r="H407" t="str">
        <f t="shared" si="66"/>
        <v>22022</v>
      </c>
      <c r="I407">
        <f t="shared" si="67"/>
        <v>28</v>
      </c>
      <c r="J407">
        <f t="shared" si="63"/>
        <v>388.53571428571428</v>
      </c>
      <c r="K407">
        <f t="shared" si="64"/>
        <v>914.29892857142852</v>
      </c>
      <c r="L407">
        <f t="shared" si="65"/>
        <v>0</v>
      </c>
      <c r="M407" t="str">
        <f t="shared" si="68"/>
        <v>62022</v>
      </c>
      <c r="N407" t="str">
        <f t="shared" si="69"/>
        <v>6-2-2022</v>
      </c>
    </row>
    <row r="408" spans="1:14" x14ac:dyDescent="0.2">
      <c r="A408" s="1">
        <v>44603</v>
      </c>
      <c r="B408">
        <f>IFERROR(INDEX('planning dogs-n-tiger'!B$1:B$30,MATCH($H408,'planning dogs-n-tiger'!$G$1:$G$42,0)),0)</f>
        <v>10879</v>
      </c>
      <c r="C408">
        <f>IFERROR(INDEX('planning dogs-n-tiger'!C$1:C$30,MATCH($H408,'planning dogs-n-tiger'!$G$1:$G$42,0)),0)</f>
        <v>25600.37</v>
      </c>
      <c r="D408">
        <f>IFERROR(INDEX('planning dogs-n-tiger'!D$1:D$30,MATCH($H408,'planning dogs-n-tiger'!$G$1:$G$42,0)),0)</f>
        <v>0</v>
      </c>
      <c r="E408">
        <f t="shared" si="60"/>
        <v>6</v>
      </c>
      <c r="F408">
        <f t="shared" si="61"/>
        <v>2</v>
      </c>
      <c r="G408">
        <f t="shared" si="62"/>
        <v>2022</v>
      </c>
      <c r="H408" t="str">
        <f t="shared" si="66"/>
        <v>22022</v>
      </c>
      <c r="I408">
        <f t="shared" si="67"/>
        <v>28</v>
      </c>
      <c r="J408">
        <f t="shared" si="63"/>
        <v>388.53571428571428</v>
      </c>
      <c r="K408">
        <f t="shared" si="64"/>
        <v>914.29892857142852</v>
      </c>
      <c r="L408">
        <f t="shared" si="65"/>
        <v>0</v>
      </c>
      <c r="M408" t="str">
        <f t="shared" si="68"/>
        <v>62022</v>
      </c>
      <c r="N408" t="str">
        <f t="shared" si="69"/>
        <v>6-2-2022</v>
      </c>
    </row>
    <row r="409" spans="1:14" x14ac:dyDescent="0.2">
      <c r="A409" s="1">
        <v>44604</v>
      </c>
      <c r="B409">
        <f>IFERROR(INDEX('planning dogs-n-tiger'!B$1:B$30,MATCH($H409,'planning dogs-n-tiger'!$G$1:$G$42,0)),0)</f>
        <v>10879</v>
      </c>
      <c r="C409">
        <f>IFERROR(INDEX('planning dogs-n-tiger'!C$1:C$30,MATCH($H409,'planning dogs-n-tiger'!$G$1:$G$42,0)),0)</f>
        <v>25600.37</v>
      </c>
      <c r="D409">
        <f>IFERROR(INDEX('planning dogs-n-tiger'!D$1:D$30,MATCH($H409,'planning dogs-n-tiger'!$G$1:$G$42,0)),0)</f>
        <v>0</v>
      </c>
      <c r="E409">
        <f t="shared" si="60"/>
        <v>6</v>
      </c>
      <c r="F409">
        <f t="shared" si="61"/>
        <v>2</v>
      </c>
      <c r="G409">
        <f t="shared" si="62"/>
        <v>2022</v>
      </c>
      <c r="H409" t="str">
        <f t="shared" si="66"/>
        <v>22022</v>
      </c>
      <c r="I409">
        <f t="shared" si="67"/>
        <v>28</v>
      </c>
      <c r="J409">
        <f t="shared" si="63"/>
        <v>388.53571428571428</v>
      </c>
      <c r="K409">
        <f t="shared" si="64"/>
        <v>914.29892857142852</v>
      </c>
      <c r="L409">
        <f t="shared" si="65"/>
        <v>0</v>
      </c>
      <c r="M409" t="str">
        <f t="shared" si="68"/>
        <v>62022</v>
      </c>
      <c r="N409" t="str">
        <f t="shared" si="69"/>
        <v>6-2-2022</v>
      </c>
    </row>
    <row r="410" spans="1:14" x14ac:dyDescent="0.2">
      <c r="A410" s="1">
        <v>44605</v>
      </c>
      <c r="B410">
        <f>IFERROR(INDEX('planning dogs-n-tiger'!B$1:B$30,MATCH($H410,'planning dogs-n-tiger'!$G$1:$G$42,0)),0)</f>
        <v>10879</v>
      </c>
      <c r="C410">
        <f>IFERROR(INDEX('planning dogs-n-tiger'!C$1:C$30,MATCH($H410,'planning dogs-n-tiger'!$G$1:$G$42,0)),0)</f>
        <v>25600.37</v>
      </c>
      <c r="D410">
        <f>IFERROR(INDEX('planning dogs-n-tiger'!D$1:D$30,MATCH($H410,'planning dogs-n-tiger'!$G$1:$G$42,0)),0)</f>
        <v>0</v>
      </c>
      <c r="E410">
        <f t="shared" si="60"/>
        <v>6</v>
      </c>
      <c r="F410">
        <f t="shared" si="61"/>
        <v>2</v>
      </c>
      <c r="G410">
        <f t="shared" si="62"/>
        <v>2022</v>
      </c>
      <c r="H410" t="str">
        <f t="shared" si="66"/>
        <v>22022</v>
      </c>
      <c r="I410">
        <f t="shared" si="67"/>
        <v>28</v>
      </c>
      <c r="J410">
        <f t="shared" si="63"/>
        <v>388.53571428571428</v>
      </c>
      <c r="K410">
        <f t="shared" si="64"/>
        <v>914.29892857142852</v>
      </c>
      <c r="L410">
        <f t="shared" si="65"/>
        <v>0</v>
      </c>
      <c r="M410" t="str">
        <f t="shared" si="68"/>
        <v>62022</v>
      </c>
      <c r="N410" t="str">
        <f t="shared" si="69"/>
        <v>6-2-2022</v>
      </c>
    </row>
    <row r="411" spans="1:14" x14ac:dyDescent="0.2">
      <c r="A411" s="1">
        <v>44606</v>
      </c>
      <c r="B411">
        <f>IFERROR(INDEX('planning dogs-n-tiger'!B$1:B$30,MATCH($H411,'planning dogs-n-tiger'!$G$1:$G$42,0)),0)</f>
        <v>10879</v>
      </c>
      <c r="C411">
        <f>IFERROR(INDEX('planning dogs-n-tiger'!C$1:C$30,MATCH($H411,'planning dogs-n-tiger'!$G$1:$G$42,0)),0)</f>
        <v>25600.37</v>
      </c>
      <c r="D411">
        <f>IFERROR(INDEX('planning dogs-n-tiger'!D$1:D$30,MATCH($H411,'planning dogs-n-tiger'!$G$1:$G$42,0)),0)</f>
        <v>0</v>
      </c>
      <c r="E411">
        <f t="shared" si="60"/>
        <v>7</v>
      </c>
      <c r="F411">
        <f t="shared" si="61"/>
        <v>2</v>
      </c>
      <c r="G411">
        <f t="shared" si="62"/>
        <v>2022</v>
      </c>
      <c r="H411" t="str">
        <f t="shared" si="66"/>
        <v>22022</v>
      </c>
      <c r="I411">
        <f t="shared" si="67"/>
        <v>28</v>
      </c>
      <c r="J411">
        <f t="shared" si="63"/>
        <v>388.53571428571428</v>
      </c>
      <c r="K411">
        <f t="shared" si="64"/>
        <v>914.29892857142852</v>
      </c>
      <c r="L411">
        <f t="shared" si="65"/>
        <v>0</v>
      </c>
      <c r="M411" t="str">
        <f t="shared" si="68"/>
        <v>72022</v>
      </c>
      <c r="N411" t="str">
        <f t="shared" si="69"/>
        <v>7-2-2022</v>
      </c>
    </row>
    <row r="412" spans="1:14" x14ac:dyDescent="0.2">
      <c r="A412" s="1">
        <v>44607</v>
      </c>
      <c r="B412">
        <f>IFERROR(INDEX('planning dogs-n-tiger'!B$1:B$30,MATCH($H412,'planning dogs-n-tiger'!$G$1:$G$42,0)),0)</f>
        <v>10879</v>
      </c>
      <c r="C412">
        <f>IFERROR(INDEX('planning dogs-n-tiger'!C$1:C$30,MATCH($H412,'planning dogs-n-tiger'!$G$1:$G$42,0)),0)</f>
        <v>25600.37</v>
      </c>
      <c r="D412">
        <f>IFERROR(INDEX('planning dogs-n-tiger'!D$1:D$30,MATCH($H412,'planning dogs-n-tiger'!$G$1:$G$42,0)),0)</f>
        <v>0</v>
      </c>
      <c r="E412">
        <f t="shared" si="60"/>
        <v>7</v>
      </c>
      <c r="F412">
        <f t="shared" si="61"/>
        <v>2</v>
      </c>
      <c r="G412">
        <f t="shared" si="62"/>
        <v>2022</v>
      </c>
      <c r="H412" t="str">
        <f t="shared" si="66"/>
        <v>22022</v>
      </c>
      <c r="I412">
        <f t="shared" si="67"/>
        <v>28</v>
      </c>
      <c r="J412">
        <f t="shared" si="63"/>
        <v>388.53571428571428</v>
      </c>
      <c r="K412">
        <f t="shared" si="64"/>
        <v>914.29892857142852</v>
      </c>
      <c r="L412">
        <f t="shared" si="65"/>
        <v>0</v>
      </c>
      <c r="M412" t="str">
        <f t="shared" si="68"/>
        <v>72022</v>
      </c>
      <c r="N412" t="str">
        <f t="shared" si="69"/>
        <v>7-2-2022</v>
      </c>
    </row>
    <row r="413" spans="1:14" x14ac:dyDescent="0.2">
      <c r="A413" s="1">
        <v>44608</v>
      </c>
      <c r="B413">
        <f>IFERROR(INDEX('planning dogs-n-tiger'!B$1:B$30,MATCH($H413,'planning dogs-n-tiger'!$G$1:$G$42,0)),0)</f>
        <v>10879</v>
      </c>
      <c r="C413">
        <f>IFERROR(INDEX('planning dogs-n-tiger'!C$1:C$30,MATCH($H413,'planning dogs-n-tiger'!$G$1:$G$42,0)),0)</f>
        <v>25600.37</v>
      </c>
      <c r="D413">
        <f>IFERROR(INDEX('planning dogs-n-tiger'!D$1:D$30,MATCH($H413,'planning dogs-n-tiger'!$G$1:$G$42,0)),0)</f>
        <v>0</v>
      </c>
      <c r="E413">
        <f t="shared" si="60"/>
        <v>7</v>
      </c>
      <c r="F413">
        <f t="shared" si="61"/>
        <v>2</v>
      </c>
      <c r="G413">
        <f t="shared" si="62"/>
        <v>2022</v>
      </c>
      <c r="H413" t="str">
        <f t="shared" si="66"/>
        <v>22022</v>
      </c>
      <c r="I413">
        <f t="shared" si="67"/>
        <v>28</v>
      </c>
      <c r="J413">
        <f t="shared" si="63"/>
        <v>388.53571428571428</v>
      </c>
      <c r="K413">
        <f t="shared" si="64"/>
        <v>914.29892857142852</v>
      </c>
      <c r="L413">
        <f t="shared" si="65"/>
        <v>0</v>
      </c>
      <c r="M413" t="str">
        <f t="shared" si="68"/>
        <v>72022</v>
      </c>
      <c r="N413" t="str">
        <f t="shared" si="69"/>
        <v>7-2-2022</v>
      </c>
    </row>
    <row r="414" spans="1:14" x14ac:dyDescent="0.2">
      <c r="A414" s="1">
        <v>44609</v>
      </c>
      <c r="B414">
        <f>IFERROR(INDEX('planning dogs-n-tiger'!B$1:B$30,MATCH($H414,'planning dogs-n-tiger'!$G$1:$G$42,0)),0)</f>
        <v>10879</v>
      </c>
      <c r="C414">
        <f>IFERROR(INDEX('planning dogs-n-tiger'!C$1:C$30,MATCH($H414,'planning dogs-n-tiger'!$G$1:$G$42,0)),0)</f>
        <v>25600.37</v>
      </c>
      <c r="D414">
        <f>IFERROR(INDEX('planning dogs-n-tiger'!D$1:D$30,MATCH($H414,'planning dogs-n-tiger'!$G$1:$G$42,0)),0)</f>
        <v>0</v>
      </c>
      <c r="E414">
        <f t="shared" si="60"/>
        <v>7</v>
      </c>
      <c r="F414">
        <f t="shared" si="61"/>
        <v>2</v>
      </c>
      <c r="G414">
        <f t="shared" si="62"/>
        <v>2022</v>
      </c>
      <c r="H414" t="str">
        <f t="shared" si="66"/>
        <v>22022</v>
      </c>
      <c r="I414">
        <f t="shared" si="67"/>
        <v>28</v>
      </c>
      <c r="J414">
        <f t="shared" si="63"/>
        <v>388.53571428571428</v>
      </c>
      <c r="K414">
        <f t="shared" si="64"/>
        <v>914.29892857142852</v>
      </c>
      <c r="L414">
        <f t="shared" si="65"/>
        <v>0</v>
      </c>
      <c r="M414" t="str">
        <f t="shared" si="68"/>
        <v>72022</v>
      </c>
      <c r="N414" t="str">
        <f t="shared" si="69"/>
        <v>7-2-2022</v>
      </c>
    </row>
    <row r="415" spans="1:14" x14ac:dyDescent="0.2">
      <c r="A415" s="1">
        <v>44610</v>
      </c>
      <c r="B415">
        <f>IFERROR(INDEX('planning dogs-n-tiger'!B$1:B$30,MATCH($H415,'planning dogs-n-tiger'!$G$1:$G$42,0)),0)</f>
        <v>10879</v>
      </c>
      <c r="C415">
        <f>IFERROR(INDEX('planning dogs-n-tiger'!C$1:C$30,MATCH($H415,'planning dogs-n-tiger'!$G$1:$G$42,0)),0)</f>
        <v>25600.37</v>
      </c>
      <c r="D415">
        <f>IFERROR(INDEX('planning dogs-n-tiger'!D$1:D$30,MATCH($H415,'planning dogs-n-tiger'!$G$1:$G$42,0)),0)</f>
        <v>0</v>
      </c>
      <c r="E415">
        <f t="shared" si="60"/>
        <v>7</v>
      </c>
      <c r="F415">
        <f t="shared" si="61"/>
        <v>2</v>
      </c>
      <c r="G415">
        <f t="shared" si="62"/>
        <v>2022</v>
      </c>
      <c r="H415" t="str">
        <f t="shared" si="66"/>
        <v>22022</v>
      </c>
      <c r="I415">
        <f t="shared" si="67"/>
        <v>28</v>
      </c>
      <c r="J415">
        <f t="shared" si="63"/>
        <v>388.53571428571428</v>
      </c>
      <c r="K415">
        <f t="shared" si="64"/>
        <v>914.29892857142852</v>
      </c>
      <c r="L415">
        <f t="shared" si="65"/>
        <v>0</v>
      </c>
      <c r="M415" t="str">
        <f t="shared" si="68"/>
        <v>72022</v>
      </c>
      <c r="N415" t="str">
        <f t="shared" si="69"/>
        <v>7-2-2022</v>
      </c>
    </row>
    <row r="416" spans="1:14" x14ac:dyDescent="0.2">
      <c r="A416" s="1">
        <v>44611</v>
      </c>
      <c r="B416">
        <f>IFERROR(INDEX('planning dogs-n-tiger'!B$1:B$30,MATCH($H416,'planning dogs-n-tiger'!$G$1:$G$42,0)),0)</f>
        <v>10879</v>
      </c>
      <c r="C416">
        <f>IFERROR(INDEX('planning dogs-n-tiger'!C$1:C$30,MATCH($H416,'planning dogs-n-tiger'!$G$1:$G$42,0)),0)</f>
        <v>25600.37</v>
      </c>
      <c r="D416">
        <f>IFERROR(INDEX('planning dogs-n-tiger'!D$1:D$30,MATCH($H416,'planning dogs-n-tiger'!$G$1:$G$42,0)),0)</f>
        <v>0</v>
      </c>
      <c r="E416">
        <f t="shared" si="60"/>
        <v>7</v>
      </c>
      <c r="F416">
        <f t="shared" si="61"/>
        <v>2</v>
      </c>
      <c r="G416">
        <f t="shared" si="62"/>
        <v>2022</v>
      </c>
      <c r="H416" t="str">
        <f t="shared" si="66"/>
        <v>22022</v>
      </c>
      <c r="I416">
        <f t="shared" si="67"/>
        <v>28</v>
      </c>
      <c r="J416">
        <f t="shared" si="63"/>
        <v>388.53571428571428</v>
      </c>
      <c r="K416">
        <f t="shared" si="64"/>
        <v>914.29892857142852</v>
      </c>
      <c r="L416">
        <f t="shared" si="65"/>
        <v>0</v>
      </c>
      <c r="M416" t="str">
        <f t="shared" si="68"/>
        <v>72022</v>
      </c>
      <c r="N416" t="str">
        <f t="shared" si="69"/>
        <v>7-2-2022</v>
      </c>
    </row>
    <row r="417" spans="1:14" x14ac:dyDescent="0.2">
      <c r="A417" s="1">
        <v>44612</v>
      </c>
      <c r="B417">
        <f>IFERROR(INDEX('planning dogs-n-tiger'!B$1:B$30,MATCH($H417,'planning dogs-n-tiger'!$G$1:$G$42,0)),0)</f>
        <v>10879</v>
      </c>
      <c r="C417">
        <f>IFERROR(INDEX('planning dogs-n-tiger'!C$1:C$30,MATCH($H417,'planning dogs-n-tiger'!$G$1:$G$42,0)),0)</f>
        <v>25600.37</v>
      </c>
      <c r="D417">
        <f>IFERROR(INDEX('planning dogs-n-tiger'!D$1:D$30,MATCH($H417,'planning dogs-n-tiger'!$G$1:$G$42,0)),0)</f>
        <v>0</v>
      </c>
      <c r="E417">
        <f t="shared" si="60"/>
        <v>7</v>
      </c>
      <c r="F417">
        <f t="shared" si="61"/>
        <v>2</v>
      </c>
      <c r="G417">
        <f t="shared" si="62"/>
        <v>2022</v>
      </c>
      <c r="H417" t="str">
        <f t="shared" si="66"/>
        <v>22022</v>
      </c>
      <c r="I417">
        <f t="shared" si="67"/>
        <v>28</v>
      </c>
      <c r="J417">
        <f t="shared" si="63"/>
        <v>388.53571428571428</v>
      </c>
      <c r="K417">
        <f t="shared" si="64"/>
        <v>914.29892857142852</v>
      </c>
      <c r="L417">
        <f t="shared" si="65"/>
        <v>0</v>
      </c>
      <c r="M417" t="str">
        <f t="shared" si="68"/>
        <v>72022</v>
      </c>
      <c r="N417" t="str">
        <f t="shared" si="69"/>
        <v>7-2-2022</v>
      </c>
    </row>
    <row r="418" spans="1:14" x14ac:dyDescent="0.2">
      <c r="A418" s="1">
        <v>44613</v>
      </c>
      <c r="B418">
        <f>IFERROR(INDEX('planning dogs-n-tiger'!B$1:B$30,MATCH($H418,'planning dogs-n-tiger'!$G$1:$G$42,0)),0)</f>
        <v>10879</v>
      </c>
      <c r="C418">
        <f>IFERROR(INDEX('planning dogs-n-tiger'!C$1:C$30,MATCH($H418,'planning dogs-n-tiger'!$G$1:$G$42,0)),0)</f>
        <v>25600.37</v>
      </c>
      <c r="D418">
        <f>IFERROR(INDEX('planning dogs-n-tiger'!D$1:D$30,MATCH($H418,'planning dogs-n-tiger'!$G$1:$G$42,0)),0)</f>
        <v>0</v>
      </c>
      <c r="E418">
        <f t="shared" si="60"/>
        <v>8</v>
      </c>
      <c r="F418">
        <f t="shared" si="61"/>
        <v>2</v>
      </c>
      <c r="G418">
        <f t="shared" si="62"/>
        <v>2022</v>
      </c>
      <c r="H418" t="str">
        <f t="shared" si="66"/>
        <v>22022</v>
      </c>
      <c r="I418">
        <f t="shared" si="67"/>
        <v>28</v>
      </c>
      <c r="J418">
        <f t="shared" si="63"/>
        <v>388.53571428571428</v>
      </c>
      <c r="K418">
        <f t="shared" si="64"/>
        <v>914.29892857142852</v>
      </c>
      <c r="L418">
        <f t="shared" si="65"/>
        <v>0</v>
      </c>
      <c r="M418" t="str">
        <f t="shared" si="68"/>
        <v>82022</v>
      </c>
      <c r="N418" t="str">
        <f t="shared" si="69"/>
        <v>8-2-2022</v>
      </c>
    </row>
    <row r="419" spans="1:14" x14ac:dyDescent="0.2">
      <c r="A419" s="1">
        <v>44614</v>
      </c>
      <c r="B419">
        <f>IFERROR(INDEX('planning dogs-n-tiger'!B$1:B$30,MATCH($H419,'planning dogs-n-tiger'!$G$1:$G$42,0)),0)</f>
        <v>10879</v>
      </c>
      <c r="C419">
        <f>IFERROR(INDEX('planning dogs-n-tiger'!C$1:C$30,MATCH($H419,'planning dogs-n-tiger'!$G$1:$G$42,0)),0)</f>
        <v>25600.37</v>
      </c>
      <c r="D419">
        <f>IFERROR(INDEX('planning dogs-n-tiger'!D$1:D$30,MATCH($H419,'planning dogs-n-tiger'!$G$1:$G$42,0)),0)</f>
        <v>0</v>
      </c>
      <c r="E419">
        <f t="shared" si="60"/>
        <v>8</v>
      </c>
      <c r="F419">
        <f t="shared" si="61"/>
        <v>2</v>
      </c>
      <c r="G419">
        <f t="shared" si="62"/>
        <v>2022</v>
      </c>
      <c r="H419" t="str">
        <f t="shared" si="66"/>
        <v>22022</v>
      </c>
      <c r="I419">
        <f t="shared" si="67"/>
        <v>28</v>
      </c>
      <c r="J419">
        <f t="shared" si="63"/>
        <v>388.53571428571428</v>
      </c>
      <c r="K419">
        <f t="shared" si="64"/>
        <v>914.29892857142852</v>
      </c>
      <c r="L419">
        <f t="shared" si="65"/>
        <v>0</v>
      </c>
      <c r="M419" t="str">
        <f t="shared" si="68"/>
        <v>82022</v>
      </c>
      <c r="N419" t="str">
        <f t="shared" si="69"/>
        <v>8-2-2022</v>
      </c>
    </row>
    <row r="420" spans="1:14" x14ac:dyDescent="0.2">
      <c r="A420" s="1">
        <v>44615</v>
      </c>
      <c r="B420">
        <f>IFERROR(INDEX('planning dogs-n-tiger'!B$1:B$30,MATCH($H420,'planning dogs-n-tiger'!$G$1:$G$42,0)),0)</f>
        <v>10879</v>
      </c>
      <c r="C420">
        <f>IFERROR(INDEX('planning dogs-n-tiger'!C$1:C$30,MATCH($H420,'planning dogs-n-tiger'!$G$1:$G$42,0)),0)</f>
        <v>25600.37</v>
      </c>
      <c r="D420">
        <f>IFERROR(INDEX('planning dogs-n-tiger'!D$1:D$30,MATCH($H420,'planning dogs-n-tiger'!$G$1:$G$42,0)),0)</f>
        <v>0</v>
      </c>
      <c r="E420">
        <f t="shared" si="60"/>
        <v>8</v>
      </c>
      <c r="F420">
        <f t="shared" si="61"/>
        <v>2</v>
      </c>
      <c r="G420">
        <f t="shared" si="62"/>
        <v>2022</v>
      </c>
      <c r="H420" t="str">
        <f t="shared" si="66"/>
        <v>22022</v>
      </c>
      <c r="I420">
        <f t="shared" si="67"/>
        <v>28</v>
      </c>
      <c r="J420">
        <f t="shared" si="63"/>
        <v>388.53571428571428</v>
      </c>
      <c r="K420">
        <f t="shared" si="64"/>
        <v>914.29892857142852</v>
      </c>
      <c r="L420">
        <f t="shared" si="65"/>
        <v>0</v>
      </c>
      <c r="M420" t="str">
        <f t="shared" si="68"/>
        <v>82022</v>
      </c>
      <c r="N420" t="str">
        <f t="shared" si="69"/>
        <v>8-2-2022</v>
      </c>
    </row>
    <row r="421" spans="1:14" x14ac:dyDescent="0.2">
      <c r="A421" s="1">
        <v>44616</v>
      </c>
      <c r="B421">
        <f>IFERROR(INDEX('planning dogs-n-tiger'!B$1:B$30,MATCH($H421,'planning dogs-n-tiger'!$G$1:$G$42,0)),0)</f>
        <v>10879</v>
      </c>
      <c r="C421">
        <f>IFERROR(INDEX('planning dogs-n-tiger'!C$1:C$30,MATCH($H421,'planning dogs-n-tiger'!$G$1:$G$42,0)),0)</f>
        <v>25600.37</v>
      </c>
      <c r="D421">
        <f>IFERROR(INDEX('planning dogs-n-tiger'!D$1:D$30,MATCH($H421,'planning dogs-n-tiger'!$G$1:$G$42,0)),0)</f>
        <v>0</v>
      </c>
      <c r="E421">
        <f t="shared" si="60"/>
        <v>8</v>
      </c>
      <c r="F421">
        <f t="shared" si="61"/>
        <v>2</v>
      </c>
      <c r="G421">
        <f t="shared" si="62"/>
        <v>2022</v>
      </c>
      <c r="H421" t="str">
        <f t="shared" si="66"/>
        <v>22022</v>
      </c>
      <c r="I421">
        <f t="shared" si="67"/>
        <v>28</v>
      </c>
      <c r="J421">
        <f t="shared" si="63"/>
        <v>388.53571428571428</v>
      </c>
      <c r="K421">
        <f t="shared" si="64"/>
        <v>914.29892857142852</v>
      </c>
      <c r="L421">
        <f t="shared" si="65"/>
        <v>0</v>
      </c>
      <c r="M421" t="str">
        <f t="shared" si="68"/>
        <v>82022</v>
      </c>
      <c r="N421" t="str">
        <f t="shared" si="69"/>
        <v>8-2-2022</v>
      </c>
    </row>
    <row r="422" spans="1:14" x14ac:dyDescent="0.2">
      <c r="A422" s="1">
        <v>44617</v>
      </c>
      <c r="B422">
        <f>IFERROR(INDEX('planning dogs-n-tiger'!B$1:B$30,MATCH($H422,'planning dogs-n-tiger'!$G$1:$G$42,0)),0)</f>
        <v>10879</v>
      </c>
      <c r="C422">
        <f>IFERROR(INDEX('planning dogs-n-tiger'!C$1:C$30,MATCH($H422,'planning dogs-n-tiger'!$G$1:$G$42,0)),0)</f>
        <v>25600.37</v>
      </c>
      <c r="D422">
        <f>IFERROR(INDEX('planning dogs-n-tiger'!D$1:D$30,MATCH($H422,'planning dogs-n-tiger'!$G$1:$G$42,0)),0)</f>
        <v>0</v>
      </c>
      <c r="E422">
        <f t="shared" si="60"/>
        <v>8</v>
      </c>
      <c r="F422">
        <f t="shared" si="61"/>
        <v>2</v>
      </c>
      <c r="G422">
        <f t="shared" si="62"/>
        <v>2022</v>
      </c>
      <c r="H422" t="str">
        <f t="shared" si="66"/>
        <v>22022</v>
      </c>
      <c r="I422">
        <f t="shared" si="67"/>
        <v>28</v>
      </c>
      <c r="J422">
        <f t="shared" si="63"/>
        <v>388.53571428571428</v>
      </c>
      <c r="K422">
        <f t="shared" si="64"/>
        <v>914.29892857142852</v>
      </c>
      <c r="L422">
        <f t="shared" si="65"/>
        <v>0</v>
      </c>
      <c r="M422" t="str">
        <f t="shared" si="68"/>
        <v>82022</v>
      </c>
      <c r="N422" t="str">
        <f t="shared" si="69"/>
        <v>8-2-2022</v>
      </c>
    </row>
    <row r="423" spans="1:14" x14ac:dyDescent="0.2">
      <c r="A423" s="1">
        <v>44618</v>
      </c>
      <c r="B423">
        <f>IFERROR(INDEX('planning dogs-n-tiger'!B$1:B$30,MATCH($H423,'planning dogs-n-tiger'!$G$1:$G$42,0)),0)</f>
        <v>10879</v>
      </c>
      <c r="C423">
        <f>IFERROR(INDEX('planning dogs-n-tiger'!C$1:C$30,MATCH($H423,'planning dogs-n-tiger'!$G$1:$G$42,0)),0)</f>
        <v>25600.37</v>
      </c>
      <c r="D423">
        <f>IFERROR(INDEX('planning dogs-n-tiger'!D$1:D$30,MATCH($H423,'planning dogs-n-tiger'!$G$1:$G$42,0)),0)</f>
        <v>0</v>
      </c>
      <c r="E423">
        <f t="shared" si="60"/>
        <v>8</v>
      </c>
      <c r="F423">
        <f t="shared" si="61"/>
        <v>2</v>
      </c>
      <c r="G423">
        <f t="shared" si="62"/>
        <v>2022</v>
      </c>
      <c r="H423" t="str">
        <f t="shared" si="66"/>
        <v>22022</v>
      </c>
      <c r="I423">
        <f t="shared" si="67"/>
        <v>28</v>
      </c>
      <c r="J423">
        <f t="shared" si="63"/>
        <v>388.53571428571428</v>
      </c>
      <c r="K423">
        <f t="shared" si="64"/>
        <v>914.29892857142852</v>
      </c>
      <c r="L423">
        <f t="shared" si="65"/>
        <v>0</v>
      </c>
      <c r="M423" t="str">
        <f t="shared" si="68"/>
        <v>82022</v>
      </c>
      <c r="N423" t="str">
        <f t="shared" si="69"/>
        <v>8-2-2022</v>
      </c>
    </row>
    <row r="424" spans="1:14" x14ac:dyDescent="0.2">
      <c r="A424" s="1">
        <v>44619</v>
      </c>
      <c r="B424">
        <f>IFERROR(INDEX('planning dogs-n-tiger'!B$1:B$30,MATCH($H424,'planning dogs-n-tiger'!$G$1:$G$42,0)),0)</f>
        <v>10879</v>
      </c>
      <c r="C424">
        <f>IFERROR(INDEX('planning dogs-n-tiger'!C$1:C$30,MATCH($H424,'planning dogs-n-tiger'!$G$1:$G$42,0)),0)</f>
        <v>25600.37</v>
      </c>
      <c r="D424">
        <f>IFERROR(INDEX('planning dogs-n-tiger'!D$1:D$30,MATCH($H424,'planning dogs-n-tiger'!$G$1:$G$42,0)),0)</f>
        <v>0</v>
      </c>
      <c r="E424">
        <f t="shared" si="60"/>
        <v>8</v>
      </c>
      <c r="F424">
        <f t="shared" si="61"/>
        <v>2</v>
      </c>
      <c r="G424">
        <f t="shared" si="62"/>
        <v>2022</v>
      </c>
      <c r="H424" t="str">
        <f t="shared" si="66"/>
        <v>22022</v>
      </c>
      <c r="I424">
        <f t="shared" si="67"/>
        <v>28</v>
      </c>
      <c r="J424">
        <f t="shared" si="63"/>
        <v>388.53571428571428</v>
      </c>
      <c r="K424">
        <f t="shared" si="64"/>
        <v>914.29892857142852</v>
      </c>
      <c r="L424">
        <f t="shared" si="65"/>
        <v>0</v>
      </c>
      <c r="M424" t="str">
        <f t="shared" si="68"/>
        <v>82022</v>
      </c>
      <c r="N424" t="str">
        <f t="shared" si="69"/>
        <v>8-2-2022</v>
      </c>
    </row>
    <row r="425" spans="1:14" x14ac:dyDescent="0.2">
      <c r="A425" s="1">
        <v>44620</v>
      </c>
      <c r="B425">
        <f>IFERROR(INDEX('planning dogs-n-tiger'!B$1:B$30,MATCH($H425,'planning dogs-n-tiger'!$G$1:$G$42,0)),0)</f>
        <v>10879</v>
      </c>
      <c r="C425">
        <f>IFERROR(INDEX('planning dogs-n-tiger'!C$1:C$30,MATCH($H425,'planning dogs-n-tiger'!$G$1:$G$42,0)),0)</f>
        <v>25600.37</v>
      </c>
      <c r="D425">
        <f>IFERROR(INDEX('planning dogs-n-tiger'!D$1:D$30,MATCH($H425,'planning dogs-n-tiger'!$G$1:$G$42,0)),0)</f>
        <v>0</v>
      </c>
      <c r="E425">
        <f t="shared" si="60"/>
        <v>9</v>
      </c>
      <c r="F425">
        <f t="shared" si="61"/>
        <v>2</v>
      </c>
      <c r="G425">
        <f t="shared" si="62"/>
        <v>2022</v>
      </c>
      <c r="H425" t="str">
        <f t="shared" si="66"/>
        <v>22022</v>
      </c>
      <c r="I425">
        <f t="shared" si="67"/>
        <v>28</v>
      </c>
      <c r="J425">
        <f t="shared" si="63"/>
        <v>388.53571428571428</v>
      </c>
      <c r="K425">
        <f t="shared" si="64"/>
        <v>914.29892857142852</v>
      </c>
      <c r="L425">
        <f t="shared" si="65"/>
        <v>0</v>
      </c>
      <c r="M425" t="str">
        <f t="shared" si="68"/>
        <v>92022</v>
      </c>
      <c r="N425" t="str">
        <f t="shared" si="69"/>
        <v>9-2-2022</v>
      </c>
    </row>
    <row r="426" spans="1:14" x14ac:dyDescent="0.2">
      <c r="A426" s="1">
        <v>44621</v>
      </c>
      <c r="B426">
        <f>IFERROR(INDEX('planning dogs-n-tiger'!B$1:B$30,MATCH($H426,'planning dogs-n-tiger'!$G$1:$G$42,0)),0)</f>
        <v>19084</v>
      </c>
      <c r="C426">
        <f>IFERROR(INDEX('planning dogs-n-tiger'!C$1:C$30,MATCH($H426,'planning dogs-n-tiger'!$G$1:$G$42,0)),0)</f>
        <v>25764.03</v>
      </c>
      <c r="D426">
        <f>IFERROR(INDEX('planning dogs-n-tiger'!D$1:D$30,MATCH($H426,'planning dogs-n-tiger'!$G$1:$G$42,0)),0)</f>
        <v>0</v>
      </c>
      <c r="E426">
        <f t="shared" si="60"/>
        <v>9</v>
      </c>
      <c r="F426">
        <f t="shared" si="61"/>
        <v>3</v>
      </c>
      <c r="G426">
        <f t="shared" si="62"/>
        <v>2022</v>
      </c>
      <c r="H426" t="str">
        <f t="shared" si="66"/>
        <v>32022</v>
      </c>
      <c r="I426">
        <f t="shared" si="67"/>
        <v>31</v>
      </c>
      <c r="J426">
        <f t="shared" si="63"/>
        <v>615.61290322580646</v>
      </c>
      <c r="K426">
        <f t="shared" si="64"/>
        <v>831.09774193548378</v>
      </c>
      <c r="L426">
        <f t="shared" si="65"/>
        <v>0</v>
      </c>
      <c r="M426" t="str">
        <f t="shared" si="68"/>
        <v>92022</v>
      </c>
      <c r="N426" t="str">
        <f t="shared" si="69"/>
        <v>9-3-2022</v>
      </c>
    </row>
    <row r="427" spans="1:14" x14ac:dyDescent="0.2">
      <c r="A427" s="1">
        <v>44622</v>
      </c>
      <c r="B427">
        <f>IFERROR(INDEX('planning dogs-n-tiger'!B$1:B$30,MATCH($H427,'planning dogs-n-tiger'!$G$1:$G$42,0)),0)</f>
        <v>19084</v>
      </c>
      <c r="C427">
        <f>IFERROR(INDEX('planning dogs-n-tiger'!C$1:C$30,MATCH($H427,'planning dogs-n-tiger'!$G$1:$G$42,0)),0)</f>
        <v>25764.03</v>
      </c>
      <c r="D427">
        <f>IFERROR(INDEX('planning dogs-n-tiger'!D$1:D$30,MATCH($H427,'planning dogs-n-tiger'!$G$1:$G$42,0)),0)</f>
        <v>0</v>
      </c>
      <c r="E427">
        <f t="shared" si="60"/>
        <v>9</v>
      </c>
      <c r="F427">
        <f t="shared" si="61"/>
        <v>3</v>
      </c>
      <c r="G427">
        <f t="shared" si="62"/>
        <v>2022</v>
      </c>
      <c r="H427" t="str">
        <f t="shared" si="66"/>
        <v>32022</v>
      </c>
      <c r="I427">
        <f t="shared" si="67"/>
        <v>31</v>
      </c>
      <c r="J427">
        <f t="shared" si="63"/>
        <v>615.61290322580646</v>
      </c>
      <c r="K427">
        <f t="shared" si="64"/>
        <v>831.09774193548378</v>
      </c>
      <c r="L427">
        <f t="shared" si="65"/>
        <v>0</v>
      </c>
      <c r="M427" t="str">
        <f t="shared" si="68"/>
        <v>92022</v>
      </c>
      <c r="N427" t="str">
        <f t="shared" si="69"/>
        <v>9-3-2022</v>
      </c>
    </row>
    <row r="428" spans="1:14" x14ac:dyDescent="0.2">
      <c r="A428" s="1">
        <v>44623</v>
      </c>
      <c r="B428">
        <f>IFERROR(INDEX('planning dogs-n-tiger'!B$1:B$30,MATCH($H428,'planning dogs-n-tiger'!$G$1:$G$42,0)),0)</f>
        <v>19084</v>
      </c>
      <c r="C428">
        <f>IFERROR(INDEX('planning dogs-n-tiger'!C$1:C$30,MATCH($H428,'planning dogs-n-tiger'!$G$1:$G$42,0)),0)</f>
        <v>25764.03</v>
      </c>
      <c r="D428">
        <f>IFERROR(INDEX('planning dogs-n-tiger'!D$1:D$30,MATCH($H428,'planning dogs-n-tiger'!$G$1:$G$42,0)),0)</f>
        <v>0</v>
      </c>
      <c r="E428">
        <f t="shared" si="60"/>
        <v>9</v>
      </c>
      <c r="F428">
        <f t="shared" si="61"/>
        <v>3</v>
      </c>
      <c r="G428">
        <f t="shared" si="62"/>
        <v>2022</v>
      </c>
      <c r="H428" t="str">
        <f t="shared" si="66"/>
        <v>32022</v>
      </c>
      <c r="I428">
        <f t="shared" si="67"/>
        <v>31</v>
      </c>
      <c r="J428">
        <f t="shared" si="63"/>
        <v>615.61290322580646</v>
      </c>
      <c r="K428">
        <f t="shared" si="64"/>
        <v>831.09774193548378</v>
      </c>
      <c r="L428">
        <f t="shared" si="65"/>
        <v>0</v>
      </c>
      <c r="M428" t="str">
        <f t="shared" si="68"/>
        <v>92022</v>
      </c>
      <c r="N428" t="str">
        <f t="shared" si="69"/>
        <v>9-3-2022</v>
      </c>
    </row>
    <row r="429" spans="1:14" x14ac:dyDescent="0.2">
      <c r="A429" s="1">
        <v>44624</v>
      </c>
      <c r="B429">
        <f>IFERROR(INDEX('planning dogs-n-tiger'!B$1:B$30,MATCH($H429,'planning dogs-n-tiger'!$G$1:$G$42,0)),0)</f>
        <v>19084</v>
      </c>
      <c r="C429">
        <f>IFERROR(INDEX('planning dogs-n-tiger'!C$1:C$30,MATCH($H429,'planning dogs-n-tiger'!$G$1:$G$42,0)),0)</f>
        <v>25764.03</v>
      </c>
      <c r="D429">
        <f>IFERROR(INDEX('planning dogs-n-tiger'!D$1:D$30,MATCH($H429,'planning dogs-n-tiger'!$G$1:$G$42,0)),0)</f>
        <v>0</v>
      </c>
      <c r="E429">
        <f t="shared" si="60"/>
        <v>9</v>
      </c>
      <c r="F429">
        <f t="shared" si="61"/>
        <v>3</v>
      </c>
      <c r="G429">
        <f t="shared" si="62"/>
        <v>2022</v>
      </c>
      <c r="H429" t="str">
        <f t="shared" si="66"/>
        <v>32022</v>
      </c>
      <c r="I429">
        <f t="shared" si="67"/>
        <v>31</v>
      </c>
      <c r="J429">
        <f t="shared" si="63"/>
        <v>615.61290322580646</v>
      </c>
      <c r="K429">
        <f t="shared" si="64"/>
        <v>831.09774193548378</v>
      </c>
      <c r="L429">
        <f t="shared" si="65"/>
        <v>0</v>
      </c>
      <c r="M429" t="str">
        <f t="shared" si="68"/>
        <v>92022</v>
      </c>
      <c r="N429" t="str">
        <f t="shared" si="69"/>
        <v>9-3-2022</v>
      </c>
    </row>
    <row r="430" spans="1:14" x14ac:dyDescent="0.2">
      <c r="A430" s="1">
        <v>44625</v>
      </c>
      <c r="B430">
        <f>IFERROR(INDEX('planning dogs-n-tiger'!B$1:B$30,MATCH($H430,'planning dogs-n-tiger'!$G$1:$G$42,0)),0)</f>
        <v>19084</v>
      </c>
      <c r="C430">
        <f>IFERROR(INDEX('planning dogs-n-tiger'!C$1:C$30,MATCH($H430,'planning dogs-n-tiger'!$G$1:$G$42,0)),0)</f>
        <v>25764.03</v>
      </c>
      <c r="D430">
        <f>IFERROR(INDEX('planning dogs-n-tiger'!D$1:D$30,MATCH($H430,'planning dogs-n-tiger'!$G$1:$G$42,0)),0)</f>
        <v>0</v>
      </c>
      <c r="E430">
        <f t="shared" si="60"/>
        <v>9</v>
      </c>
      <c r="F430">
        <f t="shared" si="61"/>
        <v>3</v>
      </c>
      <c r="G430">
        <f t="shared" si="62"/>
        <v>2022</v>
      </c>
      <c r="H430" t="str">
        <f t="shared" si="66"/>
        <v>32022</v>
      </c>
      <c r="I430">
        <f t="shared" si="67"/>
        <v>31</v>
      </c>
      <c r="J430">
        <f t="shared" si="63"/>
        <v>615.61290322580646</v>
      </c>
      <c r="K430">
        <f t="shared" si="64"/>
        <v>831.09774193548378</v>
      </c>
      <c r="L430">
        <f t="shared" si="65"/>
        <v>0</v>
      </c>
      <c r="M430" t="str">
        <f t="shared" si="68"/>
        <v>92022</v>
      </c>
      <c r="N430" t="str">
        <f t="shared" si="69"/>
        <v>9-3-2022</v>
      </c>
    </row>
    <row r="431" spans="1:14" x14ac:dyDescent="0.2">
      <c r="A431" s="1">
        <v>44626</v>
      </c>
      <c r="B431">
        <f>IFERROR(INDEX('planning dogs-n-tiger'!B$1:B$30,MATCH($H431,'planning dogs-n-tiger'!$G$1:$G$42,0)),0)</f>
        <v>19084</v>
      </c>
      <c r="C431">
        <f>IFERROR(INDEX('planning dogs-n-tiger'!C$1:C$30,MATCH($H431,'planning dogs-n-tiger'!$G$1:$G$42,0)),0)</f>
        <v>25764.03</v>
      </c>
      <c r="D431">
        <f>IFERROR(INDEX('planning dogs-n-tiger'!D$1:D$30,MATCH($H431,'planning dogs-n-tiger'!$G$1:$G$42,0)),0)</f>
        <v>0</v>
      </c>
      <c r="E431">
        <f t="shared" si="60"/>
        <v>9</v>
      </c>
      <c r="F431">
        <f t="shared" si="61"/>
        <v>3</v>
      </c>
      <c r="G431">
        <f t="shared" si="62"/>
        <v>2022</v>
      </c>
      <c r="H431" t="str">
        <f t="shared" si="66"/>
        <v>32022</v>
      </c>
      <c r="I431">
        <f t="shared" si="67"/>
        <v>31</v>
      </c>
      <c r="J431">
        <f t="shared" si="63"/>
        <v>615.61290322580646</v>
      </c>
      <c r="K431">
        <f t="shared" si="64"/>
        <v>831.09774193548378</v>
      </c>
      <c r="L431">
        <f t="shared" si="65"/>
        <v>0</v>
      </c>
      <c r="M431" t="str">
        <f t="shared" si="68"/>
        <v>92022</v>
      </c>
      <c r="N431" t="str">
        <f t="shared" si="69"/>
        <v>9-3-2022</v>
      </c>
    </row>
    <row r="432" spans="1:14" x14ac:dyDescent="0.2">
      <c r="A432" s="1">
        <v>44627</v>
      </c>
      <c r="B432">
        <f>IFERROR(INDEX('planning dogs-n-tiger'!B$1:B$30,MATCH($H432,'planning dogs-n-tiger'!$G$1:$G$42,0)),0)</f>
        <v>19084</v>
      </c>
      <c r="C432">
        <f>IFERROR(INDEX('planning dogs-n-tiger'!C$1:C$30,MATCH($H432,'planning dogs-n-tiger'!$G$1:$G$42,0)),0)</f>
        <v>25764.03</v>
      </c>
      <c r="D432">
        <f>IFERROR(INDEX('planning dogs-n-tiger'!D$1:D$30,MATCH($H432,'planning dogs-n-tiger'!$G$1:$G$42,0)),0)</f>
        <v>0</v>
      </c>
      <c r="E432">
        <f t="shared" si="60"/>
        <v>10</v>
      </c>
      <c r="F432">
        <f t="shared" si="61"/>
        <v>3</v>
      </c>
      <c r="G432">
        <f t="shared" si="62"/>
        <v>2022</v>
      </c>
      <c r="H432" t="str">
        <f t="shared" si="66"/>
        <v>32022</v>
      </c>
      <c r="I432">
        <f t="shared" si="67"/>
        <v>31</v>
      </c>
      <c r="J432">
        <f t="shared" si="63"/>
        <v>615.61290322580646</v>
      </c>
      <c r="K432">
        <f t="shared" si="64"/>
        <v>831.09774193548378</v>
      </c>
      <c r="L432">
        <f t="shared" si="65"/>
        <v>0</v>
      </c>
      <c r="M432" t="str">
        <f t="shared" si="68"/>
        <v>102022</v>
      </c>
      <c r="N432" t="str">
        <f t="shared" si="69"/>
        <v>10-3-2022</v>
      </c>
    </row>
    <row r="433" spans="1:14" x14ac:dyDescent="0.2">
      <c r="A433" s="1">
        <v>44628</v>
      </c>
      <c r="B433">
        <f>IFERROR(INDEX('planning dogs-n-tiger'!B$1:B$30,MATCH($H433,'planning dogs-n-tiger'!$G$1:$G$42,0)),0)</f>
        <v>19084</v>
      </c>
      <c r="C433">
        <f>IFERROR(INDEX('planning dogs-n-tiger'!C$1:C$30,MATCH($H433,'planning dogs-n-tiger'!$G$1:$G$42,0)),0)</f>
        <v>25764.03</v>
      </c>
      <c r="D433">
        <f>IFERROR(INDEX('planning dogs-n-tiger'!D$1:D$30,MATCH($H433,'planning dogs-n-tiger'!$G$1:$G$42,0)),0)</f>
        <v>0</v>
      </c>
      <c r="E433">
        <f t="shared" si="60"/>
        <v>10</v>
      </c>
      <c r="F433">
        <f t="shared" si="61"/>
        <v>3</v>
      </c>
      <c r="G433">
        <f t="shared" si="62"/>
        <v>2022</v>
      </c>
      <c r="H433" t="str">
        <f t="shared" si="66"/>
        <v>32022</v>
      </c>
      <c r="I433">
        <f t="shared" si="67"/>
        <v>31</v>
      </c>
      <c r="J433">
        <f t="shared" si="63"/>
        <v>615.61290322580646</v>
      </c>
      <c r="K433">
        <f t="shared" si="64"/>
        <v>831.09774193548378</v>
      </c>
      <c r="L433">
        <f t="shared" si="65"/>
        <v>0</v>
      </c>
      <c r="M433" t="str">
        <f t="shared" si="68"/>
        <v>102022</v>
      </c>
      <c r="N433" t="str">
        <f t="shared" si="69"/>
        <v>10-3-2022</v>
      </c>
    </row>
    <row r="434" spans="1:14" x14ac:dyDescent="0.2">
      <c r="A434" s="1">
        <v>44629</v>
      </c>
      <c r="B434">
        <f>IFERROR(INDEX('planning dogs-n-tiger'!B$1:B$30,MATCH($H434,'planning dogs-n-tiger'!$G$1:$G$42,0)),0)</f>
        <v>19084</v>
      </c>
      <c r="C434">
        <f>IFERROR(INDEX('planning dogs-n-tiger'!C$1:C$30,MATCH($H434,'planning dogs-n-tiger'!$G$1:$G$42,0)),0)</f>
        <v>25764.03</v>
      </c>
      <c r="D434">
        <f>IFERROR(INDEX('planning dogs-n-tiger'!D$1:D$30,MATCH($H434,'planning dogs-n-tiger'!$G$1:$G$42,0)),0)</f>
        <v>0</v>
      </c>
      <c r="E434">
        <f t="shared" si="60"/>
        <v>10</v>
      </c>
      <c r="F434">
        <f t="shared" si="61"/>
        <v>3</v>
      </c>
      <c r="G434">
        <f t="shared" si="62"/>
        <v>2022</v>
      </c>
      <c r="H434" t="str">
        <f t="shared" si="66"/>
        <v>32022</v>
      </c>
      <c r="I434">
        <f t="shared" si="67"/>
        <v>31</v>
      </c>
      <c r="J434">
        <f t="shared" si="63"/>
        <v>615.61290322580646</v>
      </c>
      <c r="K434">
        <f t="shared" si="64"/>
        <v>831.09774193548378</v>
      </c>
      <c r="L434">
        <f t="shared" si="65"/>
        <v>0</v>
      </c>
      <c r="M434" t="str">
        <f t="shared" si="68"/>
        <v>102022</v>
      </c>
      <c r="N434" t="str">
        <f t="shared" si="69"/>
        <v>10-3-2022</v>
      </c>
    </row>
    <row r="435" spans="1:14" x14ac:dyDescent="0.2">
      <c r="A435" s="1">
        <v>44630</v>
      </c>
      <c r="B435">
        <f>IFERROR(INDEX('planning dogs-n-tiger'!B$1:B$30,MATCH($H435,'planning dogs-n-tiger'!$G$1:$G$42,0)),0)</f>
        <v>19084</v>
      </c>
      <c r="C435">
        <f>IFERROR(INDEX('planning dogs-n-tiger'!C$1:C$30,MATCH($H435,'planning dogs-n-tiger'!$G$1:$G$42,0)),0)</f>
        <v>25764.03</v>
      </c>
      <c r="D435">
        <f>IFERROR(INDEX('planning dogs-n-tiger'!D$1:D$30,MATCH($H435,'planning dogs-n-tiger'!$G$1:$G$42,0)),0)</f>
        <v>0</v>
      </c>
      <c r="E435">
        <f t="shared" si="60"/>
        <v>10</v>
      </c>
      <c r="F435">
        <f t="shared" si="61"/>
        <v>3</v>
      </c>
      <c r="G435">
        <f t="shared" si="62"/>
        <v>2022</v>
      </c>
      <c r="H435" t="str">
        <f t="shared" si="66"/>
        <v>32022</v>
      </c>
      <c r="I435">
        <f t="shared" si="67"/>
        <v>31</v>
      </c>
      <c r="J435">
        <f t="shared" si="63"/>
        <v>615.61290322580646</v>
      </c>
      <c r="K435">
        <f t="shared" si="64"/>
        <v>831.09774193548378</v>
      </c>
      <c r="L435">
        <f t="shared" si="65"/>
        <v>0</v>
      </c>
      <c r="M435" t="str">
        <f t="shared" si="68"/>
        <v>102022</v>
      </c>
      <c r="N435" t="str">
        <f t="shared" si="69"/>
        <v>10-3-2022</v>
      </c>
    </row>
    <row r="436" spans="1:14" x14ac:dyDescent="0.2">
      <c r="A436" s="1">
        <v>44631</v>
      </c>
      <c r="B436">
        <f>IFERROR(INDEX('planning dogs-n-tiger'!B$1:B$30,MATCH($H436,'planning dogs-n-tiger'!$G$1:$G$42,0)),0)</f>
        <v>19084</v>
      </c>
      <c r="C436">
        <f>IFERROR(INDEX('planning dogs-n-tiger'!C$1:C$30,MATCH($H436,'planning dogs-n-tiger'!$G$1:$G$42,0)),0)</f>
        <v>25764.03</v>
      </c>
      <c r="D436">
        <f>IFERROR(INDEX('planning dogs-n-tiger'!D$1:D$30,MATCH($H436,'planning dogs-n-tiger'!$G$1:$G$42,0)),0)</f>
        <v>0</v>
      </c>
      <c r="E436">
        <f t="shared" si="60"/>
        <v>10</v>
      </c>
      <c r="F436">
        <f t="shared" si="61"/>
        <v>3</v>
      </c>
      <c r="G436">
        <f t="shared" si="62"/>
        <v>2022</v>
      </c>
      <c r="H436" t="str">
        <f t="shared" si="66"/>
        <v>32022</v>
      </c>
      <c r="I436">
        <f t="shared" si="67"/>
        <v>31</v>
      </c>
      <c r="J436">
        <f t="shared" si="63"/>
        <v>615.61290322580646</v>
      </c>
      <c r="K436">
        <f t="shared" si="64"/>
        <v>831.09774193548378</v>
      </c>
      <c r="L436">
        <f t="shared" si="65"/>
        <v>0</v>
      </c>
      <c r="M436" t="str">
        <f t="shared" si="68"/>
        <v>102022</v>
      </c>
      <c r="N436" t="str">
        <f t="shared" si="69"/>
        <v>10-3-2022</v>
      </c>
    </row>
    <row r="437" spans="1:14" x14ac:dyDescent="0.2">
      <c r="A437" s="1">
        <v>44632</v>
      </c>
      <c r="B437">
        <f>IFERROR(INDEX('planning dogs-n-tiger'!B$1:B$30,MATCH($H437,'planning dogs-n-tiger'!$G$1:$G$42,0)),0)</f>
        <v>19084</v>
      </c>
      <c r="C437">
        <f>IFERROR(INDEX('planning dogs-n-tiger'!C$1:C$30,MATCH($H437,'planning dogs-n-tiger'!$G$1:$G$42,0)),0)</f>
        <v>25764.03</v>
      </c>
      <c r="D437">
        <f>IFERROR(INDEX('planning dogs-n-tiger'!D$1:D$30,MATCH($H437,'planning dogs-n-tiger'!$G$1:$G$42,0)),0)</f>
        <v>0</v>
      </c>
      <c r="E437">
        <f t="shared" si="60"/>
        <v>10</v>
      </c>
      <c r="F437">
        <f t="shared" si="61"/>
        <v>3</v>
      </c>
      <c r="G437">
        <f t="shared" si="62"/>
        <v>2022</v>
      </c>
      <c r="H437" t="str">
        <f t="shared" si="66"/>
        <v>32022</v>
      </c>
      <c r="I437">
        <f t="shared" si="67"/>
        <v>31</v>
      </c>
      <c r="J437">
        <f t="shared" si="63"/>
        <v>615.61290322580646</v>
      </c>
      <c r="K437">
        <f t="shared" si="64"/>
        <v>831.09774193548378</v>
      </c>
      <c r="L437">
        <f t="shared" si="65"/>
        <v>0</v>
      </c>
      <c r="M437" t="str">
        <f t="shared" si="68"/>
        <v>102022</v>
      </c>
      <c r="N437" t="str">
        <f t="shared" si="69"/>
        <v>10-3-2022</v>
      </c>
    </row>
    <row r="438" spans="1:14" x14ac:dyDescent="0.2">
      <c r="A438" s="1">
        <v>44633</v>
      </c>
      <c r="B438">
        <f>IFERROR(INDEX('planning dogs-n-tiger'!B$1:B$30,MATCH($H438,'planning dogs-n-tiger'!$G$1:$G$42,0)),0)</f>
        <v>19084</v>
      </c>
      <c r="C438">
        <f>IFERROR(INDEX('planning dogs-n-tiger'!C$1:C$30,MATCH($H438,'planning dogs-n-tiger'!$G$1:$G$42,0)),0)</f>
        <v>25764.03</v>
      </c>
      <c r="D438">
        <f>IFERROR(INDEX('planning dogs-n-tiger'!D$1:D$30,MATCH($H438,'planning dogs-n-tiger'!$G$1:$G$42,0)),0)</f>
        <v>0</v>
      </c>
      <c r="E438">
        <f t="shared" si="60"/>
        <v>10</v>
      </c>
      <c r="F438">
        <f t="shared" si="61"/>
        <v>3</v>
      </c>
      <c r="G438">
        <f t="shared" si="62"/>
        <v>2022</v>
      </c>
      <c r="H438" t="str">
        <f t="shared" si="66"/>
        <v>32022</v>
      </c>
      <c r="I438">
        <f t="shared" si="67"/>
        <v>31</v>
      </c>
      <c r="J438">
        <f t="shared" si="63"/>
        <v>615.61290322580646</v>
      </c>
      <c r="K438">
        <f t="shared" si="64"/>
        <v>831.09774193548378</v>
      </c>
      <c r="L438">
        <f t="shared" si="65"/>
        <v>0</v>
      </c>
      <c r="M438" t="str">
        <f t="shared" si="68"/>
        <v>102022</v>
      </c>
      <c r="N438" t="str">
        <f t="shared" si="69"/>
        <v>10-3-2022</v>
      </c>
    </row>
    <row r="439" spans="1:14" x14ac:dyDescent="0.2">
      <c r="A439" s="1">
        <v>44634</v>
      </c>
      <c r="B439">
        <f>IFERROR(INDEX('planning dogs-n-tiger'!B$1:B$30,MATCH($H439,'planning dogs-n-tiger'!$G$1:$G$42,0)),0)</f>
        <v>19084</v>
      </c>
      <c r="C439">
        <f>IFERROR(INDEX('planning dogs-n-tiger'!C$1:C$30,MATCH($H439,'planning dogs-n-tiger'!$G$1:$G$42,0)),0)</f>
        <v>25764.03</v>
      </c>
      <c r="D439">
        <f>IFERROR(INDEX('planning dogs-n-tiger'!D$1:D$30,MATCH($H439,'planning dogs-n-tiger'!$G$1:$G$42,0)),0)</f>
        <v>0</v>
      </c>
      <c r="E439">
        <f t="shared" si="60"/>
        <v>11</v>
      </c>
      <c r="F439">
        <f t="shared" si="61"/>
        <v>3</v>
      </c>
      <c r="G439">
        <f t="shared" si="62"/>
        <v>2022</v>
      </c>
      <c r="H439" t="str">
        <f t="shared" si="66"/>
        <v>32022</v>
      </c>
      <c r="I439">
        <f t="shared" si="67"/>
        <v>31</v>
      </c>
      <c r="J439">
        <f t="shared" si="63"/>
        <v>615.61290322580646</v>
      </c>
      <c r="K439">
        <f t="shared" si="64"/>
        <v>831.09774193548378</v>
      </c>
      <c r="L439">
        <f t="shared" si="65"/>
        <v>0</v>
      </c>
      <c r="M439" t="str">
        <f t="shared" si="68"/>
        <v>112022</v>
      </c>
      <c r="N439" t="str">
        <f t="shared" si="69"/>
        <v>11-3-2022</v>
      </c>
    </row>
    <row r="440" spans="1:14" x14ac:dyDescent="0.2">
      <c r="A440" s="1">
        <v>44635</v>
      </c>
      <c r="B440">
        <f>IFERROR(INDEX('planning dogs-n-tiger'!B$1:B$30,MATCH($H440,'planning dogs-n-tiger'!$G$1:$G$42,0)),0)</f>
        <v>19084</v>
      </c>
      <c r="C440">
        <f>IFERROR(INDEX('planning dogs-n-tiger'!C$1:C$30,MATCH($H440,'planning dogs-n-tiger'!$G$1:$G$42,0)),0)</f>
        <v>25764.03</v>
      </c>
      <c r="D440">
        <f>IFERROR(INDEX('planning dogs-n-tiger'!D$1:D$30,MATCH($H440,'planning dogs-n-tiger'!$G$1:$G$42,0)),0)</f>
        <v>0</v>
      </c>
      <c r="E440">
        <f t="shared" si="60"/>
        <v>11</v>
      </c>
      <c r="F440">
        <f t="shared" si="61"/>
        <v>3</v>
      </c>
      <c r="G440">
        <f t="shared" si="62"/>
        <v>2022</v>
      </c>
      <c r="H440" t="str">
        <f t="shared" si="66"/>
        <v>32022</v>
      </c>
      <c r="I440">
        <f t="shared" si="67"/>
        <v>31</v>
      </c>
      <c r="J440">
        <f t="shared" si="63"/>
        <v>615.61290322580646</v>
      </c>
      <c r="K440">
        <f t="shared" si="64"/>
        <v>831.09774193548378</v>
      </c>
      <c r="L440">
        <f t="shared" si="65"/>
        <v>0</v>
      </c>
      <c r="M440" t="str">
        <f t="shared" si="68"/>
        <v>112022</v>
      </c>
      <c r="N440" t="str">
        <f t="shared" si="69"/>
        <v>11-3-2022</v>
      </c>
    </row>
    <row r="441" spans="1:14" x14ac:dyDescent="0.2">
      <c r="A441" s="1">
        <v>44636</v>
      </c>
      <c r="B441">
        <f>IFERROR(INDEX('planning dogs-n-tiger'!B$1:B$30,MATCH($H441,'planning dogs-n-tiger'!$G$1:$G$42,0)),0)</f>
        <v>19084</v>
      </c>
      <c r="C441">
        <f>IFERROR(INDEX('planning dogs-n-tiger'!C$1:C$30,MATCH($H441,'planning dogs-n-tiger'!$G$1:$G$42,0)),0)</f>
        <v>25764.03</v>
      </c>
      <c r="D441">
        <f>IFERROR(INDEX('planning dogs-n-tiger'!D$1:D$30,MATCH($H441,'planning dogs-n-tiger'!$G$1:$G$42,0)),0)</f>
        <v>0</v>
      </c>
      <c r="E441">
        <f t="shared" si="60"/>
        <v>11</v>
      </c>
      <c r="F441">
        <f t="shared" si="61"/>
        <v>3</v>
      </c>
      <c r="G441">
        <f t="shared" si="62"/>
        <v>2022</v>
      </c>
      <c r="H441" t="str">
        <f t="shared" si="66"/>
        <v>32022</v>
      </c>
      <c r="I441">
        <f t="shared" si="67"/>
        <v>31</v>
      </c>
      <c r="J441">
        <f t="shared" si="63"/>
        <v>615.61290322580646</v>
      </c>
      <c r="K441">
        <f t="shared" si="64"/>
        <v>831.09774193548378</v>
      </c>
      <c r="L441">
        <f t="shared" si="65"/>
        <v>0</v>
      </c>
      <c r="M441" t="str">
        <f t="shared" si="68"/>
        <v>112022</v>
      </c>
      <c r="N441" t="str">
        <f t="shared" si="69"/>
        <v>11-3-2022</v>
      </c>
    </row>
    <row r="442" spans="1:14" x14ac:dyDescent="0.2">
      <c r="A442" s="1">
        <v>44637</v>
      </c>
      <c r="B442">
        <f>IFERROR(INDEX('planning dogs-n-tiger'!B$1:B$30,MATCH($H442,'planning dogs-n-tiger'!$G$1:$G$42,0)),0)</f>
        <v>19084</v>
      </c>
      <c r="C442">
        <f>IFERROR(INDEX('planning dogs-n-tiger'!C$1:C$30,MATCH($H442,'planning dogs-n-tiger'!$G$1:$G$42,0)),0)</f>
        <v>25764.03</v>
      </c>
      <c r="D442">
        <f>IFERROR(INDEX('planning dogs-n-tiger'!D$1:D$30,MATCH($H442,'planning dogs-n-tiger'!$G$1:$G$42,0)),0)</f>
        <v>0</v>
      </c>
      <c r="E442">
        <f t="shared" si="60"/>
        <v>11</v>
      </c>
      <c r="F442">
        <f t="shared" si="61"/>
        <v>3</v>
      </c>
      <c r="G442">
        <f t="shared" si="62"/>
        <v>2022</v>
      </c>
      <c r="H442" t="str">
        <f t="shared" si="66"/>
        <v>32022</v>
      </c>
      <c r="I442">
        <f t="shared" si="67"/>
        <v>31</v>
      </c>
      <c r="J442">
        <f t="shared" si="63"/>
        <v>615.61290322580646</v>
      </c>
      <c r="K442">
        <f t="shared" si="64"/>
        <v>831.09774193548378</v>
      </c>
      <c r="L442">
        <f t="shared" si="65"/>
        <v>0</v>
      </c>
      <c r="M442" t="str">
        <f t="shared" si="68"/>
        <v>112022</v>
      </c>
      <c r="N442" t="str">
        <f t="shared" si="69"/>
        <v>11-3-2022</v>
      </c>
    </row>
    <row r="443" spans="1:14" x14ac:dyDescent="0.2">
      <c r="A443" s="1">
        <v>44638</v>
      </c>
      <c r="B443">
        <f>IFERROR(INDEX('planning dogs-n-tiger'!B$1:B$30,MATCH($H443,'planning dogs-n-tiger'!$G$1:$G$42,0)),0)</f>
        <v>19084</v>
      </c>
      <c r="C443">
        <f>IFERROR(INDEX('planning dogs-n-tiger'!C$1:C$30,MATCH($H443,'planning dogs-n-tiger'!$G$1:$G$42,0)),0)</f>
        <v>25764.03</v>
      </c>
      <c r="D443">
        <f>IFERROR(INDEX('planning dogs-n-tiger'!D$1:D$30,MATCH($H443,'planning dogs-n-tiger'!$G$1:$G$42,0)),0)</f>
        <v>0</v>
      </c>
      <c r="E443">
        <f t="shared" si="60"/>
        <v>11</v>
      </c>
      <c r="F443">
        <f t="shared" si="61"/>
        <v>3</v>
      </c>
      <c r="G443">
        <f t="shared" si="62"/>
        <v>2022</v>
      </c>
      <c r="H443" t="str">
        <f t="shared" si="66"/>
        <v>32022</v>
      </c>
      <c r="I443">
        <f t="shared" si="67"/>
        <v>31</v>
      </c>
      <c r="J443">
        <f t="shared" si="63"/>
        <v>615.61290322580646</v>
      </c>
      <c r="K443">
        <f t="shared" si="64"/>
        <v>831.09774193548378</v>
      </c>
      <c r="L443">
        <f t="shared" si="65"/>
        <v>0</v>
      </c>
      <c r="M443" t="str">
        <f t="shared" si="68"/>
        <v>112022</v>
      </c>
      <c r="N443" t="str">
        <f t="shared" si="69"/>
        <v>11-3-2022</v>
      </c>
    </row>
    <row r="444" spans="1:14" x14ac:dyDescent="0.2">
      <c r="A444" s="1">
        <v>44639</v>
      </c>
      <c r="B444">
        <f>IFERROR(INDEX('planning dogs-n-tiger'!B$1:B$30,MATCH($H444,'planning dogs-n-tiger'!$G$1:$G$42,0)),0)</f>
        <v>19084</v>
      </c>
      <c r="C444">
        <f>IFERROR(INDEX('planning dogs-n-tiger'!C$1:C$30,MATCH($H444,'planning dogs-n-tiger'!$G$1:$G$42,0)),0)</f>
        <v>25764.03</v>
      </c>
      <c r="D444">
        <f>IFERROR(INDEX('planning dogs-n-tiger'!D$1:D$30,MATCH($H444,'planning dogs-n-tiger'!$G$1:$G$42,0)),0)</f>
        <v>0</v>
      </c>
      <c r="E444">
        <f t="shared" si="60"/>
        <v>11</v>
      </c>
      <c r="F444">
        <f t="shared" si="61"/>
        <v>3</v>
      </c>
      <c r="G444">
        <f t="shared" si="62"/>
        <v>2022</v>
      </c>
      <c r="H444" t="str">
        <f t="shared" si="66"/>
        <v>32022</v>
      </c>
      <c r="I444">
        <f t="shared" si="67"/>
        <v>31</v>
      </c>
      <c r="J444">
        <f t="shared" si="63"/>
        <v>615.61290322580646</v>
      </c>
      <c r="K444">
        <f t="shared" si="64"/>
        <v>831.09774193548378</v>
      </c>
      <c r="L444">
        <f t="shared" si="65"/>
        <v>0</v>
      </c>
      <c r="M444" t="str">
        <f t="shared" si="68"/>
        <v>112022</v>
      </c>
      <c r="N444" t="str">
        <f t="shared" si="69"/>
        <v>11-3-2022</v>
      </c>
    </row>
    <row r="445" spans="1:14" x14ac:dyDescent="0.2">
      <c r="A445" s="1">
        <v>44640</v>
      </c>
      <c r="B445">
        <f>IFERROR(INDEX('planning dogs-n-tiger'!B$1:B$30,MATCH($H445,'planning dogs-n-tiger'!$G$1:$G$42,0)),0)</f>
        <v>19084</v>
      </c>
      <c r="C445">
        <f>IFERROR(INDEX('planning dogs-n-tiger'!C$1:C$30,MATCH($H445,'planning dogs-n-tiger'!$G$1:$G$42,0)),0)</f>
        <v>25764.03</v>
      </c>
      <c r="D445">
        <f>IFERROR(INDEX('planning dogs-n-tiger'!D$1:D$30,MATCH($H445,'planning dogs-n-tiger'!$G$1:$G$42,0)),0)</f>
        <v>0</v>
      </c>
      <c r="E445">
        <f t="shared" si="60"/>
        <v>11</v>
      </c>
      <c r="F445">
        <f t="shared" si="61"/>
        <v>3</v>
      </c>
      <c r="G445">
        <f t="shared" si="62"/>
        <v>2022</v>
      </c>
      <c r="H445" t="str">
        <f t="shared" si="66"/>
        <v>32022</v>
      </c>
      <c r="I445">
        <f t="shared" si="67"/>
        <v>31</v>
      </c>
      <c r="J445">
        <f t="shared" si="63"/>
        <v>615.61290322580646</v>
      </c>
      <c r="K445">
        <f t="shared" si="64"/>
        <v>831.09774193548378</v>
      </c>
      <c r="L445">
        <f t="shared" si="65"/>
        <v>0</v>
      </c>
      <c r="M445" t="str">
        <f t="shared" si="68"/>
        <v>112022</v>
      </c>
      <c r="N445" t="str">
        <f t="shared" si="69"/>
        <v>11-3-2022</v>
      </c>
    </row>
    <row r="446" spans="1:14" x14ac:dyDescent="0.2">
      <c r="A446" s="1">
        <v>44641</v>
      </c>
      <c r="B446">
        <f>IFERROR(INDEX('planning dogs-n-tiger'!B$1:B$30,MATCH($H446,'planning dogs-n-tiger'!$G$1:$G$42,0)),0)</f>
        <v>19084</v>
      </c>
      <c r="C446">
        <f>IFERROR(INDEX('planning dogs-n-tiger'!C$1:C$30,MATCH($H446,'planning dogs-n-tiger'!$G$1:$G$42,0)),0)</f>
        <v>25764.03</v>
      </c>
      <c r="D446">
        <f>IFERROR(INDEX('planning dogs-n-tiger'!D$1:D$30,MATCH($H446,'planning dogs-n-tiger'!$G$1:$G$42,0)),0)</f>
        <v>0</v>
      </c>
      <c r="E446">
        <f t="shared" si="60"/>
        <v>12</v>
      </c>
      <c r="F446">
        <f t="shared" si="61"/>
        <v>3</v>
      </c>
      <c r="G446">
        <f t="shared" si="62"/>
        <v>2022</v>
      </c>
      <c r="H446" t="str">
        <f t="shared" si="66"/>
        <v>32022</v>
      </c>
      <c r="I446">
        <f t="shared" si="67"/>
        <v>31</v>
      </c>
      <c r="J446">
        <f t="shared" si="63"/>
        <v>615.61290322580646</v>
      </c>
      <c r="K446">
        <f t="shared" si="64"/>
        <v>831.09774193548378</v>
      </c>
      <c r="L446">
        <f t="shared" si="65"/>
        <v>0</v>
      </c>
      <c r="M446" t="str">
        <f t="shared" si="68"/>
        <v>122022</v>
      </c>
      <c r="N446" t="str">
        <f t="shared" si="69"/>
        <v>12-3-2022</v>
      </c>
    </row>
    <row r="447" spans="1:14" x14ac:dyDescent="0.2">
      <c r="A447" s="1">
        <v>44642</v>
      </c>
      <c r="B447">
        <f>IFERROR(INDEX('planning dogs-n-tiger'!B$1:B$30,MATCH($H447,'planning dogs-n-tiger'!$G$1:$G$42,0)),0)</f>
        <v>19084</v>
      </c>
      <c r="C447">
        <f>IFERROR(INDEX('planning dogs-n-tiger'!C$1:C$30,MATCH($H447,'planning dogs-n-tiger'!$G$1:$G$42,0)),0)</f>
        <v>25764.03</v>
      </c>
      <c r="D447">
        <f>IFERROR(INDEX('planning dogs-n-tiger'!D$1:D$30,MATCH($H447,'planning dogs-n-tiger'!$G$1:$G$42,0)),0)</f>
        <v>0</v>
      </c>
      <c r="E447">
        <f t="shared" si="60"/>
        <v>12</v>
      </c>
      <c r="F447">
        <f t="shared" si="61"/>
        <v>3</v>
      </c>
      <c r="G447">
        <f t="shared" si="62"/>
        <v>2022</v>
      </c>
      <c r="H447" t="str">
        <f t="shared" si="66"/>
        <v>32022</v>
      </c>
      <c r="I447">
        <f t="shared" si="67"/>
        <v>31</v>
      </c>
      <c r="J447">
        <f t="shared" si="63"/>
        <v>615.61290322580646</v>
      </c>
      <c r="K447">
        <f t="shared" si="64"/>
        <v>831.09774193548378</v>
      </c>
      <c r="L447">
        <f t="shared" si="65"/>
        <v>0</v>
      </c>
      <c r="M447" t="str">
        <f t="shared" si="68"/>
        <v>122022</v>
      </c>
      <c r="N447" t="str">
        <f t="shared" si="69"/>
        <v>12-3-2022</v>
      </c>
    </row>
    <row r="448" spans="1:14" x14ac:dyDescent="0.2">
      <c r="A448" s="1">
        <v>44643</v>
      </c>
      <c r="B448">
        <f>IFERROR(INDEX('planning dogs-n-tiger'!B$1:B$30,MATCH($H448,'planning dogs-n-tiger'!$G$1:$G$42,0)),0)</f>
        <v>19084</v>
      </c>
      <c r="C448">
        <f>IFERROR(INDEX('planning dogs-n-tiger'!C$1:C$30,MATCH($H448,'planning dogs-n-tiger'!$G$1:$G$42,0)),0)</f>
        <v>25764.03</v>
      </c>
      <c r="D448">
        <f>IFERROR(INDEX('planning dogs-n-tiger'!D$1:D$30,MATCH($H448,'planning dogs-n-tiger'!$G$1:$G$42,0)),0)</f>
        <v>0</v>
      </c>
      <c r="E448">
        <f t="shared" si="60"/>
        <v>12</v>
      </c>
      <c r="F448">
        <f t="shared" si="61"/>
        <v>3</v>
      </c>
      <c r="G448">
        <f t="shared" si="62"/>
        <v>2022</v>
      </c>
      <c r="H448" t="str">
        <f t="shared" si="66"/>
        <v>32022</v>
      </c>
      <c r="I448">
        <f t="shared" si="67"/>
        <v>31</v>
      </c>
      <c r="J448">
        <f t="shared" si="63"/>
        <v>615.61290322580646</v>
      </c>
      <c r="K448">
        <f t="shared" si="64"/>
        <v>831.09774193548378</v>
      </c>
      <c r="L448">
        <f t="shared" si="65"/>
        <v>0</v>
      </c>
      <c r="M448" t="str">
        <f t="shared" si="68"/>
        <v>122022</v>
      </c>
      <c r="N448" t="str">
        <f t="shared" si="69"/>
        <v>12-3-2022</v>
      </c>
    </row>
    <row r="449" spans="1:14" x14ac:dyDescent="0.2">
      <c r="A449" s="1">
        <v>44644</v>
      </c>
      <c r="B449">
        <f>IFERROR(INDEX('planning dogs-n-tiger'!B$1:B$30,MATCH($H449,'planning dogs-n-tiger'!$G$1:$G$42,0)),0)</f>
        <v>19084</v>
      </c>
      <c r="C449">
        <f>IFERROR(INDEX('planning dogs-n-tiger'!C$1:C$30,MATCH($H449,'planning dogs-n-tiger'!$G$1:$G$42,0)),0)</f>
        <v>25764.03</v>
      </c>
      <c r="D449">
        <f>IFERROR(INDEX('planning dogs-n-tiger'!D$1:D$30,MATCH($H449,'planning dogs-n-tiger'!$G$1:$G$42,0)),0)</f>
        <v>0</v>
      </c>
      <c r="E449">
        <f t="shared" si="60"/>
        <v>12</v>
      </c>
      <c r="F449">
        <f t="shared" si="61"/>
        <v>3</v>
      </c>
      <c r="G449">
        <f t="shared" si="62"/>
        <v>2022</v>
      </c>
      <c r="H449" t="str">
        <f t="shared" si="66"/>
        <v>32022</v>
      </c>
      <c r="I449">
        <f t="shared" si="67"/>
        <v>31</v>
      </c>
      <c r="J449">
        <f t="shared" si="63"/>
        <v>615.61290322580646</v>
      </c>
      <c r="K449">
        <f t="shared" si="64"/>
        <v>831.09774193548378</v>
      </c>
      <c r="L449">
        <f t="shared" si="65"/>
        <v>0</v>
      </c>
      <c r="M449" t="str">
        <f t="shared" si="68"/>
        <v>122022</v>
      </c>
      <c r="N449" t="str">
        <f t="shared" si="69"/>
        <v>12-3-2022</v>
      </c>
    </row>
    <row r="450" spans="1:14" x14ac:dyDescent="0.2">
      <c r="A450" s="1">
        <v>44645</v>
      </c>
      <c r="B450">
        <f>IFERROR(INDEX('planning dogs-n-tiger'!B$1:B$30,MATCH($H450,'planning dogs-n-tiger'!$G$1:$G$42,0)),0)</f>
        <v>19084</v>
      </c>
      <c r="C450">
        <f>IFERROR(INDEX('planning dogs-n-tiger'!C$1:C$30,MATCH($H450,'planning dogs-n-tiger'!$G$1:$G$42,0)),0)</f>
        <v>25764.03</v>
      </c>
      <c r="D450">
        <f>IFERROR(INDEX('planning dogs-n-tiger'!D$1:D$30,MATCH($H450,'planning dogs-n-tiger'!$G$1:$G$42,0)),0)</f>
        <v>0</v>
      </c>
      <c r="E450">
        <f t="shared" ref="E450:E513" si="70">_xlfn.ISOWEEKNUM(A450)</f>
        <v>12</v>
      </c>
      <c r="F450">
        <f t="shared" ref="F450:F513" si="71">MONTH(A450)</f>
        <v>3</v>
      </c>
      <c r="G450">
        <f t="shared" ref="G450:G513" si="72">YEAR(A450)</f>
        <v>2022</v>
      </c>
      <c r="H450" t="str">
        <f t="shared" si="66"/>
        <v>32022</v>
      </c>
      <c r="I450">
        <f t="shared" si="67"/>
        <v>31</v>
      </c>
      <c r="J450">
        <f t="shared" ref="J450:J513" si="73">B450/$I450</f>
        <v>615.61290322580646</v>
      </c>
      <c r="K450">
        <f t="shared" ref="K450:K513" si="74">C450/$I450</f>
        <v>831.09774193548378</v>
      </c>
      <c r="L450">
        <f t="shared" ref="L450:L513" si="75">D450/$I450</f>
        <v>0</v>
      </c>
      <c r="M450" t="str">
        <f t="shared" si="68"/>
        <v>122022</v>
      </c>
      <c r="N450" t="str">
        <f t="shared" si="69"/>
        <v>12-3-2022</v>
      </c>
    </row>
    <row r="451" spans="1:14" x14ac:dyDescent="0.2">
      <c r="A451" s="1">
        <v>44646</v>
      </c>
      <c r="B451">
        <f>IFERROR(INDEX('planning dogs-n-tiger'!B$1:B$30,MATCH($H451,'planning dogs-n-tiger'!$G$1:$G$42,0)),0)</f>
        <v>19084</v>
      </c>
      <c r="C451">
        <f>IFERROR(INDEX('planning dogs-n-tiger'!C$1:C$30,MATCH($H451,'planning dogs-n-tiger'!$G$1:$G$42,0)),0)</f>
        <v>25764.03</v>
      </c>
      <c r="D451">
        <f>IFERROR(INDEX('planning dogs-n-tiger'!D$1:D$30,MATCH($H451,'planning dogs-n-tiger'!$G$1:$G$42,0)),0)</f>
        <v>0</v>
      </c>
      <c r="E451">
        <f t="shared" si="70"/>
        <v>12</v>
      </c>
      <c r="F451">
        <f t="shared" si="71"/>
        <v>3</v>
      </c>
      <c r="G451">
        <f t="shared" si="72"/>
        <v>2022</v>
      </c>
      <c r="H451" t="str">
        <f t="shared" ref="H451:H514" si="76">F451&amp;G451</f>
        <v>32022</v>
      </c>
      <c r="I451">
        <f t="shared" ref="I451:I514" si="77">DAY(EOMONTH(DATE(G451,F451,0),1))</f>
        <v>31</v>
      </c>
      <c r="J451">
        <f t="shared" si="73"/>
        <v>615.61290322580646</v>
      </c>
      <c r="K451">
        <f t="shared" si="74"/>
        <v>831.09774193548378</v>
      </c>
      <c r="L451">
        <f t="shared" si="75"/>
        <v>0</v>
      </c>
      <c r="M451" t="str">
        <f t="shared" ref="M451:M514" si="78">E451&amp;G451</f>
        <v>122022</v>
      </c>
      <c r="N451" t="str">
        <f t="shared" ref="N451:N514" si="79">E451&amp;"-"&amp;F451&amp;"-"&amp;G451</f>
        <v>12-3-2022</v>
      </c>
    </row>
    <row r="452" spans="1:14" x14ac:dyDescent="0.2">
      <c r="A452" s="1">
        <v>44647</v>
      </c>
      <c r="B452">
        <f>IFERROR(INDEX('planning dogs-n-tiger'!B$1:B$30,MATCH($H452,'planning dogs-n-tiger'!$G$1:$G$42,0)),0)</f>
        <v>19084</v>
      </c>
      <c r="C452">
        <f>IFERROR(INDEX('planning dogs-n-tiger'!C$1:C$30,MATCH($H452,'planning dogs-n-tiger'!$G$1:$G$42,0)),0)</f>
        <v>25764.03</v>
      </c>
      <c r="D452">
        <f>IFERROR(INDEX('planning dogs-n-tiger'!D$1:D$30,MATCH($H452,'planning dogs-n-tiger'!$G$1:$G$42,0)),0)</f>
        <v>0</v>
      </c>
      <c r="E452">
        <f t="shared" si="70"/>
        <v>12</v>
      </c>
      <c r="F452">
        <f t="shared" si="71"/>
        <v>3</v>
      </c>
      <c r="G452">
        <f t="shared" si="72"/>
        <v>2022</v>
      </c>
      <c r="H452" t="str">
        <f t="shared" si="76"/>
        <v>32022</v>
      </c>
      <c r="I452">
        <f t="shared" si="77"/>
        <v>31</v>
      </c>
      <c r="J452">
        <f t="shared" si="73"/>
        <v>615.61290322580646</v>
      </c>
      <c r="K452">
        <f t="shared" si="74"/>
        <v>831.09774193548378</v>
      </c>
      <c r="L452">
        <f t="shared" si="75"/>
        <v>0</v>
      </c>
      <c r="M452" t="str">
        <f t="shared" si="78"/>
        <v>122022</v>
      </c>
      <c r="N452" t="str">
        <f t="shared" si="79"/>
        <v>12-3-2022</v>
      </c>
    </row>
    <row r="453" spans="1:14" x14ac:dyDescent="0.2">
      <c r="A453" s="1">
        <v>44648</v>
      </c>
      <c r="B453">
        <f>IFERROR(INDEX('planning dogs-n-tiger'!B$1:B$30,MATCH($H453,'planning dogs-n-tiger'!$G$1:$G$42,0)),0)</f>
        <v>19084</v>
      </c>
      <c r="C453">
        <f>IFERROR(INDEX('planning dogs-n-tiger'!C$1:C$30,MATCH($H453,'planning dogs-n-tiger'!$G$1:$G$42,0)),0)</f>
        <v>25764.03</v>
      </c>
      <c r="D453">
        <f>IFERROR(INDEX('planning dogs-n-tiger'!D$1:D$30,MATCH($H453,'planning dogs-n-tiger'!$G$1:$G$42,0)),0)</f>
        <v>0</v>
      </c>
      <c r="E453">
        <f t="shared" si="70"/>
        <v>13</v>
      </c>
      <c r="F453">
        <f t="shared" si="71"/>
        <v>3</v>
      </c>
      <c r="G453">
        <f t="shared" si="72"/>
        <v>2022</v>
      </c>
      <c r="H453" t="str">
        <f t="shared" si="76"/>
        <v>32022</v>
      </c>
      <c r="I453">
        <f t="shared" si="77"/>
        <v>31</v>
      </c>
      <c r="J453">
        <f t="shared" si="73"/>
        <v>615.61290322580646</v>
      </c>
      <c r="K453">
        <f t="shared" si="74"/>
        <v>831.09774193548378</v>
      </c>
      <c r="L453">
        <f t="shared" si="75"/>
        <v>0</v>
      </c>
      <c r="M453" t="str">
        <f t="shared" si="78"/>
        <v>132022</v>
      </c>
      <c r="N453" t="str">
        <f t="shared" si="79"/>
        <v>13-3-2022</v>
      </c>
    </row>
    <row r="454" spans="1:14" x14ac:dyDescent="0.2">
      <c r="A454" s="1">
        <v>44649</v>
      </c>
      <c r="B454">
        <f>IFERROR(INDEX('planning dogs-n-tiger'!B$1:B$30,MATCH($H454,'planning dogs-n-tiger'!$G$1:$G$42,0)),0)</f>
        <v>19084</v>
      </c>
      <c r="C454">
        <f>IFERROR(INDEX('planning dogs-n-tiger'!C$1:C$30,MATCH($H454,'planning dogs-n-tiger'!$G$1:$G$42,0)),0)</f>
        <v>25764.03</v>
      </c>
      <c r="D454">
        <f>IFERROR(INDEX('planning dogs-n-tiger'!D$1:D$30,MATCH($H454,'planning dogs-n-tiger'!$G$1:$G$42,0)),0)</f>
        <v>0</v>
      </c>
      <c r="E454">
        <f t="shared" si="70"/>
        <v>13</v>
      </c>
      <c r="F454">
        <f t="shared" si="71"/>
        <v>3</v>
      </c>
      <c r="G454">
        <f t="shared" si="72"/>
        <v>2022</v>
      </c>
      <c r="H454" t="str">
        <f t="shared" si="76"/>
        <v>32022</v>
      </c>
      <c r="I454">
        <f t="shared" si="77"/>
        <v>31</v>
      </c>
      <c r="J454">
        <f t="shared" si="73"/>
        <v>615.61290322580646</v>
      </c>
      <c r="K454">
        <f t="shared" si="74"/>
        <v>831.09774193548378</v>
      </c>
      <c r="L454">
        <f t="shared" si="75"/>
        <v>0</v>
      </c>
      <c r="M454" t="str">
        <f t="shared" si="78"/>
        <v>132022</v>
      </c>
      <c r="N454" t="str">
        <f t="shared" si="79"/>
        <v>13-3-2022</v>
      </c>
    </row>
    <row r="455" spans="1:14" x14ac:dyDescent="0.2">
      <c r="A455" s="1">
        <v>44650</v>
      </c>
      <c r="B455">
        <f>IFERROR(INDEX('planning dogs-n-tiger'!B$1:B$30,MATCH($H455,'planning dogs-n-tiger'!$G$1:$G$42,0)),0)</f>
        <v>19084</v>
      </c>
      <c r="C455">
        <f>IFERROR(INDEX('planning dogs-n-tiger'!C$1:C$30,MATCH($H455,'planning dogs-n-tiger'!$G$1:$G$42,0)),0)</f>
        <v>25764.03</v>
      </c>
      <c r="D455">
        <f>IFERROR(INDEX('planning dogs-n-tiger'!D$1:D$30,MATCH($H455,'planning dogs-n-tiger'!$G$1:$G$42,0)),0)</f>
        <v>0</v>
      </c>
      <c r="E455">
        <f t="shared" si="70"/>
        <v>13</v>
      </c>
      <c r="F455">
        <f t="shared" si="71"/>
        <v>3</v>
      </c>
      <c r="G455">
        <f t="shared" si="72"/>
        <v>2022</v>
      </c>
      <c r="H455" t="str">
        <f t="shared" si="76"/>
        <v>32022</v>
      </c>
      <c r="I455">
        <f t="shared" si="77"/>
        <v>31</v>
      </c>
      <c r="J455">
        <f t="shared" si="73"/>
        <v>615.61290322580646</v>
      </c>
      <c r="K455">
        <f t="shared" si="74"/>
        <v>831.09774193548378</v>
      </c>
      <c r="L455">
        <f t="shared" si="75"/>
        <v>0</v>
      </c>
      <c r="M455" t="str">
        <f t="shared" si="78"/>
        <v>132022</v>
      </c>
      <c r="N455" t="str">
        <f t="shared" si="79"/>
        <v>13-3-2022</v>
      </c>
    </row>
    <row r="456" spans="1:14" x14ac:dyDescent="0.2">
      <c r="A456" s="1">
        <v>44651</v>
      </c>
      <c r="B456">
        <f>IFERROR(INDEX('planning dogs-n-tiger'!B$1:B$30,MATCH($H456,'planning dogs-n-tiger'!$G$1:$G$42,0)),0)</f>
        <v>19084</v>
      </c>
      <c r="C456">
        <f>IFERROR(INDEX('planning dogs-n-tiger'!C$1:C$30,MATCH($H456,'planning dogs-n-tiger'!$G$1:$G$42,0)),0)</f>
        <v>25764.03</v>
      </c>
      <c r="D456">
        <f>IFERROR(INDEX('planning dogs-n-tiger'!D$1:D$30,MATCH($H456,'planning dogs-n-tiger'!$G$1:$G$42,0)),0)</f>
        <v>0</v>
      </c>
      <c r="E456">
        <f t="shared" si="70"/>
        <v>13</v>
      </c>
      <c r="F456">
        <f t="shared" si="71"/>
        <v>3</v>
      </c>
      <c r="G456">
        <f t="shared" si="72"/>
        <v>2022</v>
      </c>
      <c r="H456" t="str">
        <f t="shared" si="76"/>
        <v>32022</v>
      </c>
      <c r="I456">
        <f t="shared" si="77"/>
        <v>31</v>
      </c>
      <c r="J456">
        <f t="shared" si="73"/>
        <v>615.61290322580646</v>
      </c>
      <c r="K456">
        <f t="shared" si="74"/>
        <v>831.09774193548378</v>
      </c>
      <c r="L456">
        <f t="shared" si="75"/>
        <v>0</v>
      </c>
      <c r="M456" t="str">
        <f t="shared" si="78"/>
        <v>132022</v>
      </c>
      <c r="N456" t="str">
        <f t="shared" si="79"/>
        <v>13-3-2022</v>
      </c>
    </row>
    <row r="457" spans="1:14" x14ac:dyDescent="0.2">
      <c r="A457" s="1">
        <v>44652</v>
      </c>
      <c r="B457">
        <f>IFERROR(INDEX('planning dogs-n-tiger'!B$1:B$30,MATCH($H457,'planning dogs-n-tiger'!$G$1:$G$42,0)),0)</f>
        <v>25388</v>
      </c>
      <c r="C457">
        <f>IFERROR(INDEX('planning dogs-n-tiger'!C$1:C$30,MATCH($H457,'planning dogs-n-tiger'!$G$1:$G$42,0)),0)</f>
        <v>25521</v>
      </c>
      <c r="D457">
        <f>IFERROR(INDEX('planning dogs-n-tiger'!D$1:D$30,MATCH($H457,'planning dogs-n-tiger'!$G$1:$G$42,0)),0)</f>
        <v>4129</v>
      </c>
      <c r="E457">
        <f t="shared" si="70"/>
        <v>13</v>
      </c>
      <c r="F457">
        <f t="shared" si="71"/>
        <v>4</v>
      </c>
      <c r="G457">
        <f t="shared" si="72"/>
        <v>2022</v>
      </c>
      <c r="H457" t="str">
        <f t="shared" si="76"/>
        <v>42022</v>
      </c>
      <c r="I457">
        <f t="shared" si="77"/>
        <v>30</v>
      </c>
      <c r="J457">
        <f t="shared" si="73"/>
        <v>846.26666666666665</v>
      </c>
      <c r="K457">
        <f t="shared" si="74"/>
        <v>850.7</v>
      </c>
      <c r="L457">
        <f t="shared" si="75"/>
        <v>137.63333333333333</v>
      </c>
      <c r="M457" t="str">
        <f t="shared" si="78"/>
        <v>132022</v>
      </c>
      <c r="N457" t="str">
        <f t="shared" si="79"/>
        <v>13-4-2022</v>
      </c>
    </row>
    <row r="458" spans="1:14" x14ac:dyDescent="0.2">
      <c r="A458" s="1">
        <v>44653</v>
      </c>
      <c r="B458">
        <f>IFERROR(INDEX('planning dogs-n-tiger'!B$1:B$30,MATCH($H458,'planning dogs-n-tiger'!$G$1:$G$42,0)),0)</f>
        <v>25388</v>
      </c>
      <c r="C458">
        <f>IFERROR(INDEX('planning dogs-n-tiger'!C$1:C$30,MATCH($H458,'planning dogs-n-tiger'!$G$1:$G$42,0)),0)</f>
        <v>25521</v>
      </c>
      <c r="D458">
        <f>IFERROR(INDEX('planning dogs-n-tiger'!D$1:D$30,MATCH($H458,'planning dogs-n-tiger'!$G$1:$G$42,0)),0)</f>
        <v>4129</v>
      </c>
      <c r="E458">
        <f t="shared" si="70"/>
        <v>13</v>
      </c>
      <c r="F458">
        <f t="shared" si="71"/>
        <v>4</v>
      </c>
      <c r="G458">
        <f t="shared" si="72"/>
        <v>2022</v>
      </c>
      <c r="H458" t="str">
        <f t="shared" si="76"/>
        <v>42022</v>
      </c>
      <c r="I458">
        <f t="shared" si="77"/>
        <v>30</v>
      </c>
      <c r="J458">
        <f t="shared" si="73"/>
        <v>846.26666666666665</v>
      </c>
      <c r="K458">
        <f t="shared" si="74"/>
        <v>850.7</v>
      </c>
      <c r="L458">
        <f t="shared" si="75"/>
        <v>137.63333333333333</v>
      </c>
      <c r="M458" t="str">
        <f t="shared" si="78"/>
        <v>132022</v>
      </c>
      <c r="N458" t="str">
        <f t="shared" si="79"/>
        <v>13-4-2022</v>
      </c>
    </row>
    <row r="459" spans="1:14" x14ac:dyDescent="0.2">
      <c r="A459" s="1">
        <v>44654</v>
      </c>
      <c r="B459">
        <f>IFERROR(INDEX('planning dogs-n-tiger'!B$1:B$30,MATCH($H459,'planning dogs-n-tiger'!$G$1:$G$42,0)),0)</f>
        <v>25388</v>
      </c>
      <c r="C459">
        <f>IFERROR(INDEX('planning dogs-n-tiger'!C$1:C$30,MATCH($H459,'planning dogs-n-tiger'!$G$1:$G$42,0)),0)</f>
        <v>25521</v>
      </c>
      <c r="D459">
        <f>IFERROR(INDEX('planning dogs-n-tiger'!D$1:D$30,MATCH($H459,'planning dogs-n-tiger'!$G$1:$G$42,0)),0)</f>
        <v>4129</v>
      </c>
      <c r="E459">
        <f t="shared" si="70"/>
        <v>13</v>
      </c>
      <c r="F459">
        <f t="shared" si="71"/>
        <v>4</v>
      </c>
      <c r="G459">
        <f t="shared" si="72"/>
        <v>2022</v>
      </c>
      <c r="H459" t="str">
        <f t="shared" si="76"/>
        <v>42022</v>
      </c>
      <c r="I459">
        <f t="shared" si="77"/>
        <v>30</v>
      </c>
      <c r="J459">
        <f t="shared" si="73"/>
        <v>846.26666666666665</v>
      </c>
      <c r="K459">
        <f t="shared" si="74"/>
        <v>850.7</v>
      </c>
      <c r="L459">
        <f t="shared" si="75"/>
        <v>137.63333333333333</v>
      </c>
      <c r="M459" t="str">
        <f t="shared" si="78"/>
        <v>132022</v>
      </c>
      <c r="N459" t="str">
        <f t="shared" si="79"/>
        <v>13-4-2022</v>
      </c>
    </row>
    <row r="460" spans="1:14" x14ac:dyDescent="0.2">
      <c r="A460" s="1">
        <v>44655</v>
      </c>
      <c r="B460">
        <f>IFERROR(INDEX('planning dogs-n-tiger'!B$1:B$30,MATCH($H460,'planning dogs-n-tiger'!$G$1:$G$42,0)),0)</f>
        <v>25388</v>
      </c>
      <c r="C460">
        <f>IFERROR(INDEX('planning dogs-n-tiger'!C$1:C$30,MATCH($H460,'planning dogs-n-tiger'!$G$1:$G$42,0)),0)</f>
        <v>25521</v>
      </c>
      <c r="D460">
        <f>IFERROR(INDEX('planning dogs-n-tiger'!D$1:D$30,MATCH($H460,'planning dogs-n-tiger'!$G$1:$G$42,0)),0)</f>
        <v>4129</v>
      </c>
      <c r="E460">
        <f t="shared" si="70"/>
        <v>14</v>
      </c>
      <c r="F460">
        <f t="shared" si="71"/>
        <v>4</v>
      </c>
      <c r="G460">
        <f t="shared" si="72"/>
        <v>2022</v>
      </c>
      <c r="H460" t="str">
        <f t="shared" si="76"/>
        <v>42022</v>
      </c>
      <c r="I460">
        <f t="shared" si="77"/>
        <v>30</v>
      </c>
      <c r="J460">
        <f t="shared" si="73"/>
        <v>846.26666666666665</v>
      </c>
      <c r="K460">
        <f t="shared" si="74"/>
        <v>850.7</v>
      </c>
      <c r="L460">
        <f t="shared" si="75"/>
        <v>137.63333333333333</v>
      </c>
      <c r="M460" t="str">
        <f t="shared" si="78"/>
        <v>142022</v>
      </c>
      <c r="N460" t="str">
        <f t="shared" si="79"/>
        <v>14-4-2022</v>
      </c>
    </row>
    <row r="461" spans="1:14" x14ac:dyDescent="0.2">
      <c r="A461" s="1">
        <v>44656</v>
      </c>
      <c r="B461">
        <f>IFERROR(INDEX('planning dogs-n-tiger'!B$1:B$30,MATCH($H461,'planning dogs-n-tiger'!$G$1:$G$42,0)),0)</f>
        <v>25388</v>
      </c>
      <c r="C461">
        <f>IFERROR(INDEX('planning dogs-n-tiger'!C$1:C$30,MATCH($H461,'planning dogs-n-tiger'!$G$1:$G$42,0)),0)</f>
        <v>25521</v>
      </c>
      <c r="D461">
        <f>IFERROR(INDEX('planning dogs-n-tiger'!D$1:D$30,MATCH($H461,'planning dogs-n-tiger'!$G$1:$G$42,0)),0)</f>
        <v>4129</v>
      </c>
      <c r="E461">
        <f t="shared" si="70"/>
        <v>14</v>
      </c>
      <c r="F461">
        <f t="shared" si="71"/>
        <v>4</v>
      </c>
      <c r="G461">
        <f t="shared" si="72"/>
        <v>2022</v>
      </c>
      <c r="H461" t="str">
        <f t="shared" si="76"/>
        <v>42022</v>
      </c>
      <c r="I461">
        <f t="shared" si="77"/>
        <v>30</v>
      </c>
      <c r="J461">
        <f t="shared" si="73"/>
        <v>846.26666666666665</v>
      </c>
      <c r="K461">
        <f t="shared" si="74"/>
        <v>850.7</v>
      </c>
      <c r="L461">
        <f t="shared" si="75"/>
        <v>137.63333333333333</v>
      </c>
      <c r="M461" t="str">
        <f t="shared" si="78"/>
        <v>142022</v>
      </c>
      <c r="N461" t="str">
        <f t="shared" si="79"/>
        <v>14-4-2022</v>
      </c>
    </row>
    <row r="462" spans="1:14" x14ac:dyDescent="0.2">
      <c r="A462" s="1">
        <v>44657</v>
      </c>
      <c r="B462">
        <f>IFERROR(INDEX('planning dogs-n-tiger'!B$1:B$30,MATCH($H462,'planning dogs-n-tiger'!$G$1:$G$42,0)),0)</f>
        <v>25388</v>
      </c>
      <c r="C462">
        <f>IFERROR(INDEX('planning dogs-n-tiger'!C$1:C$30,MATCH($H462,'planning dogs-n-tiger'!$G$1:$G$42,0)),0)</f>
        <v>25521</v>
      </c>
      <c r="D462">
        <f>IFERROR(INDEX('planning dogs-n-tiger'!D$1:D$30,MATCH($H462,'planning dogs-n-tiger'!$G$1:$G$42,0)),0)</f>
        <v>4129</v>
      </c>
      <c r="E462">
        <f t="shared" si="70"/>
        <v>14</v>
      </c>
      <c r="F462">
        <f t="shared" si="71"/>
        <v>4</v>
      </c>
      <c r="G462">
        <f t="shared" si="72"/>
        <v>2022</v>
      </c>
      <c r="H462" t="str">
        <f t="shared" si="76"/>
        <v>42022</v>
      </c>
      <c r="I462">
        <f t="shared" si="77"/>
        <v>30</v>
      </c>
      <c r="J462">
        <f t="shared" si="73"/>
        <v>846.26666666666665</v>
      </c>
      <c r="K462">
        <f t="shared" si="74"/>
        <v>850.7</v>
      </c>
      <c r="L462">
        <f t="shared" si="75"/>
        <v>137.63333333333333</v>
      </c>
      <c r="M462" t="str">
        <f t="shared" si="78"/>
        <v>142022</v>
      </c>
      <c r="N462" t="str">
        <f t="shared" si="79"/>
        <v>14-4-2022</v>
      </c>
    </row>
    <row r="463" spans="1:14" x14ac:dyDescent="0.2">
      <c r="A463" s="1">
        <v>44658</v>
      </c>
      <c r="B463">
        <f>IFERROR(INDEX('planning dogs-n-tiger'!B$1:B$30,MATCH($H463,'planning dogs-n-tiger'!$G$1:$G$42,0)),0)</f>
        <v>25388</v>
      </c>
      <c r="C463">
        <f>IFERROR(INDEX('planning dogs-n-tiger'!C$1:C$30,MATCH($H463,'planning dogs-n-tiger'!$G$1:$G$42,0)),0)</f>
        <v>25521</v>
      </c>
      <c r="D463">
        <f>IFERROR(INDEX('planning dogs-n-tiger'!D$1:D$30,MATCH($H463,'planning dogs-n-tiger'!$G$1:$G$42,0)),0)</f>
        <v>4129</v>
      </c>
      <c r="E463">
        <f t="shared" si="70"/>
        <v>14</v>
      </c>
      <c r="F463">
        <f t="shared" si="71"/>
        <v>4</v>
      </c>
      <c r="G463">
        <f t="shared" si="72"/>
        <v>2022</v>
      </c>
      <c r="H463" t="str">
        <f t="shared" si="76"/>
        <v>42022</v>
      </c>
      <c r="I463">
        <f t="shared" si="77"/>
        <v>30</v>
      </c>
      <c r="J463">
        <f t="shared" si="73"/>
        <v>846.26666666666665</v>
      </c>
      <c r="K463">
        <f t="shared" si="74"/>
        <v>850.7</v>
      </c>
      <c r="L463">
        <f t="shared" si="75"/>
        <v>137.63333333333333</v>
      </c>
      <c r="M463" t="str">
        <f t="shared" si="78"/>
        <v>142022</v>
      </c>
      <c r="N463" t="str">
        <f t="shared" si="79"/>
        <v>14-4-2022</v>
      </c>
    </row>
    <row r="464" spans="1:14" x14ac:dyDescent="0.2">
      <c r="A464" s="1">
        <v>44659</v>
      </c>
      <c r="B464">
        <f>IFERROR(INDEX('planning dogs-n-tiger'!B$1:B$30,MATCH($H464,'planning dogs-n-tiger'!$G$1:$G$42,0)),0)</f>
        <v>25388</v>
      </c>
      <c r="C464">
        <f>IFERROR(INDEX('planning dogs-n-tiger'!C$1:C$30,MATCH($H464,'planning dogs-n-tiger'!$G$1:$G$42,0)),0)</f>
        <v>25521</v>
      </c>
      <c r="D464">
        <f>IFERROR(INDEX('planning dogs-n-tiger'!D$1:D$30,MATCH($H464,'planning dogs-n-tiger'!$G$1:$G$42,0)),0)</f>
        <v>4129</v>
      </c>
      <c r="E464">
        <f t="shared" si="70"/>
        <v>14</v>
      </c>
      <c r="F464">
        <f t="shared" si="71"/>
        <v>4</v>
      </c>
      <c r="G464">
        <f t="shared" si="72"/>
        <v>2022</v>
      </c>
      <c r="H464" t="str">
        <f t="shared" si="76"/>
        <v>42022</v>
      </c>
      <c r="I464">
        <f t="shared" si="77"/>
        <v>30</v>
      </c>
      <c r="J464">
        <f t="shared" si="73"/>
        <v>846.26666666666665</v>
      </c>
      <c r="K464">
        <f t="shared" si="74"/>
        <v>850.7</v>
      </c>
      <c r="L464">
        <f t="shared" si="75"/>
        <v>137.63333333333333</v>
      </c>
      <c r="M464" t="str">
        <f t="shared" si="78"/>
        <v>142022</v>
      </c>
      <c r="N464" t="str">
        <f t="shared" si="79"/>
        <v>14-4-2022</v>
      </c>
    </row>
    <row r="465" spans="1:14" x14ac:dyDescent="0.2">
      <c r="A465" s="1">
        <v>44660</v>
      </c>
      <c r="B465">
        <f>IFERROR(INDEX('planning dogs-n-tiger'!B$1:B$30,MATCH($H465,'planning dogs-n-tiger'!$G$1:$G$42,0)),0)</f>
        <v>25388</v>
      </c>
      <c r="C465">
        <f>IFERROR(INDEX('planning dogs-n-tiger'!C$1:C$30,MATCH($H465,'planning dogs-n-tiger'!$G$1:$G$42,0)),0)</f>
        <v>25521</v>
      </c>
      <c r="D465">
        <f>IFERROR(INDEX('planning dogs-n-tiger'!D$1:D$30,MATCH($H465,'planning dogs-n-tiger'!$G$1:$G$42,0)),0)</f>
        <v>4129</v>
      </c>
      <c r="E465">
        <f t="shared" si="70"/>
        <v>14</v>
      </c>
      <c r="F465">
        <f t="shared" si="71"/>
        <v>4</v>
      </c>
      <c r="G465">
        <f t="shared" si="72"/>
        <v>2022</v>
      </c>
      <c r="H465" t="str">
        <f t="shared" si="76"/>
        <v>42022</v>
      </c>
      <c r="I465">
        <f t="shared" si="77"/>
        <v>30</v>
      </c>
      <c r="J465">
        <f t="shared" si="73"/>
        <v>846.26666666666665</v>
      </c>
      <c r="K465">
        <f t="shared" si="74"/>
        <v>850.7</v>
      </c>
      <c r="L465">
        <f t="shared" si="75"/>
        <v>137.63333333333333</v>
      </c>
      <c r="M465" t="str">
        <f t="shared" si="78"/>
        <v>142022</v>
      </c>
      <c r="N465" t="str">
        <f t="shared" si="79"/>
        <v>14-4-2022</v>
      </c>
    </row>
    <row r="466" spans="1:14" x14ac:dyDescent="0.2">
      <c r="A466" s="1">
        <v>44661</v>
      </c>
      <c r="B466">
        <f>IFERROR(INDEX('planning dogs-n-tiger'!B$1:B$30,MATCH($H466,'planning dogs-n-tiger'!$G$1:$G$42,0)),0)</f>
        <v>25388</v>
      </c>
      <c r="C466">
        <f>IFERROR(INDEX('planning dogs-n-tiger'!C$1:C$30,MATCH($H466,'planning dogs-n-tiger'!$G$1:$G$42,0)),0)</f>
        <v>25521</v>
      </c>
      <c r="D466">
        <f>IFERROR(INDEX('planning dogs-n-tiger'!D$1:D$30,MATCH($H466,'planning dogs-n-tiger'!$G$1:$G$42,0)),0)</f>
        <v>4129</v>
      </c>
      <c r="E466">
        <f t="shared" si="70"/>
        <v>14</v>
      </c>
      <c r="F466">
        <f t="shared" si="71"/>
        <v>4</v>
      </c>
      <c r="G466">
        <f t="shared" si="72"/>
        <v>2022</v>
      </c>
      <c r="H466" t="str">
        <f t="shared" si="76"/>
        <v>42022</v>
      </c>
      <c r="I466">
        <f t="shared" si="77"/>
        <v>30</v>
      </c>
      <c r="J466">
        <f t="shared" si="73"/>
        <v>846.26666666666665</v>
      </c>
      <c r="K466">
        <f t="shared" si="74"/>
        <v>850.7</v>
      </c>
      <c r="L466">
        <f t="shared" si="75"/>
        <v>137.63333333333333</v>
      </c>
      <c r="M466" t="str">
        <f t="shared" si="78"/>
        <v>142022</v>
      </c>
      <c r="N466" t="str">
        <f t="shared" si="79"/>
        <v>14-4-2022</v>
      </c>
    </row>
    <row r="467" spans="1:14" x14ac:dyDescent="0.2">
      <c r="A467" s="1">
        <v>44662</v>
      </c>
      <c r="B467">
        <f>IFERROR(INDEX('planning dogs-n-tiger'!B$1:B$30,MATCH($H467,'planning dogs-n-tiger'!$G$1:$G$42,0)),0)</f>
        <v>25388</v>
      </c>
      <c r="C467">
        <f>IFERROR(INDEX('planning dogs-n-tiger'!C$1:C$30,MATCH($H467,'planning dogs-n-tiger'!$G$1:$G$42,0)),0)</f>
        <v>25521</v>
      </c>
      <c r="D467">
        <f>IFERROR(INDEX('planning dogs-n-tiger'!D$1:D$30,MATCH($H467,'planning dogs-n-tiger'!$G$1:$G$42,0)),0)</f>
        <v>4129</v>
      </c>
      <c r="E467">
        <f t="shared" si="70"/>
        <v>15</v>
      </c>
      <c r="F467">
        <f t="shared" si="71"/>
        <v>4</v>
      </c>
      <c r="G467">
        <f t="shared" si="72"/>
        <v>2022</v>
      </c>
      <c r="H467" t="str">
        <f t="shared" si="76"/>
        <v>42022</v>
      </c>
      <c r="I467">
        <f t="shared" si="77"/>
        <v>30</v>
      </c>
      <c r="J467">
        <f t="shared" si="73"/>
        <v>846.26666666666665</v>
      </c>
      <c r="K467">
        <f t="shared" si="74"/>
        <v>850.7</v>
      </c>
      <c r="L467">
        <f t="shared" si="75"/>
        <v>137.63333333333333</v>
      </c>
      <c r="M467" t="str">
        <f t="shared" si="78"/>
        <v>152022</v>
      </c>
      <c r="N467" t="str">
        <f t="shared" si="79"/>
        <v>15-4-2022</v>
      </c>
    </row>
    <row r="468" spans="1:14" x14ac:dyDescent="0.2">
      <c r="A468" s="1">
        <v>44663</v>
      </c>
      <c r="B468">
        <f>IFERROR(INDEX('planning dogs-n-tiger'!B$1:B$30,MATCH($H468,'planning dogs-n-tiger'!$G$1:$G$42,0)),0)</f>
        <v>25388</v>
      </c>
      <c r="C468">
        <f>IFERROR(INDEX('planning dogs-n-tiger'!C$1:C$30,MATCH($H468,'planning dogs-n-tiger'!$G$1:$G$42,0)),0)</f>
        <v>25521</v>
      </c>
      <c r="D468">
        <f>IFERROR(INDEX('planning dogs-n-tiger'!D$1:D$30,MATCH($H468,'planning dogs-n-tiger'!$G$1:$G$42,0)),0)</f>
        <v>4129</v>
      </c>
      <c r="E468">
        <f t="shared" si="70"/>
        <v>15</v>
      </c>
      <c r="F468">
        <f t="shared" si="71"/>
        <v>4</v>
      </c>
      <c r="G468">
        <f t="shared" si="72"/>
        <v>2022</v>
      </c>
      <c r="H468" t="str">
        <f t="shared" si="76"/>
        <v>42022</v>
      </c>
      <c r="I468">
        <f t="shared" si="77"/>
        <v>30</v>
      </c>
      <c r="J468">
        <f t="shared" si="73"/>
        <v>846.26666666666665</v>
      </c>
      <c r="K468">
        <f t="shared" si="74"/>
        <v>850.7</v>
      </c>
      <c r="L468">
        <f t="shared" si="75"/>
        <v>137.63333333333333</v>
      </c>
      <c r="M468" t="str">
        <f t="shared" si="78"/>
        <v>152022</v>
      </c>
      <c r="N468" t="str">
        <f t="shared" si="79"/>
        <v>15-4-2022</v>
      </c>
    </row>
    <row r="469" spans="1:14" x14ac:dyDescent="0.2">
      <c r="A469" s="1">
        <v>44664</v>
      </c>
      <c r="B469">
        <f>IFERROR(INDEX('planning dogs-n-tiger'!B$1:B$30,MATCH($H469,'planning dogs-n-tiger'!$G$1:$G$42,0)),0)</f>
        <v>25388</v>
      </c>
      <c r="C469">
        <f>IFERROR(INDEX('planning dogs-n-tiger'!C$1:C$30,MATCH($H469,'planning dogs-n-tiger'!$G$1:$G$42,0)),0)</f>
        <v>25521</v>
      </c>
      <c r="D469">
        <f>IFERROR(INDEX('planning dogs-n-tiger'!D$1:D$30,MATCH($H469,'planning dogs-n-tiger'!$G$1:$G$42,0)),0)</f>
        <v>4129</v>
      </c>
      <c r="E469">
        <f t="shared" si="70"/>
        <v>15</v>
      </c>
      <c r="F469">
        <f t="shared" si="71"/>
        <v>4</v>
      </c>
      <c r="G469">
        <f t="shared" si="72"/>
        <v>2022</v>
      </c>
      <c r="H469" t="str">
        <f t="shared" si="76"/>
        <v>42022</v>
      </c>
      <c r="I469">
        <f t="shared" si="77"/>
        <v>30</v>
      </c>
      <c r="J469">
        <f t="shared" si="73"/>
        <v>846.26666666666665</v>
      </c>
      <c r="K469">
        <f t="shared" si="74"/>
        <v>850.7</v>
      </c>
      <c r="L469">
        <f t="shared" si="75"/>
        <v>137.63333333333333</v>
      </c>
      <c r="M469" t="str">
        <f t="shared" si="78"/>
        <v>152022</v>
      </c>
      <c r="N469" t="str">
        <f t="shared" si="79"/>
        <v>15-4-2022</v>
      </c>
    </row>
    <row r="470" spans="1:14" x14ac:dyDescent="0.2">
      <c r="A470" s="1">
        <v>44665</v>
      </c>
      <c r="B470">
        <f>IFERROR(INDEX('planning dogs-n-tiger'!B$1:B$30,MATCH($H470,'planning dogs-n-tiger'!$G$1:$G$42,0)),0)</f>
        <v>25388</v>
      </c>
      <c r="C470">
        <f>IFERROR(INDEX('planning dogs-n-tiger'!C$1:C$30,MATCH($H470,'planning dogs-n-tiger'!$G$1:$G$42,0)),0)</f>
        <v>25521</v>
      </c>
      <c r="D470">
        <f>IFERROR(INDEX('planning dogs-n-tiger'!D$1:D$30,MATCH($H470,'planning dogs-n-tiger'!$G$1:$G$42,0)),0)</f>
        <v>4129</v>
      </c>
      <c r="E470">
        <f t="shared" si="70"/>
        <v>15</v>
      </c>
      <c r="F470">
        <f t="shared" si="71"/>
        <v>4</v>
      </c>
      <c r="G470">
        <f t="shared" si="72"/>
        <v>2022</v>
      </c>
      <c r="H470" t="str">
        <f t="shared" si="76"/>
        <v>42022</v>
      </c>
      <c r="I470">
        <f t="shared" si="77"/>
        <v>30</v>
      </c>
      <c r="J470">
        <f t="shared" si="73"/>
        <v>846.26666666666665</v>
      </c>
      <c r="K470">
        <f t="shared" si="74"/>
        <v>850.7</v>
      </c>
      <c r="L470">
        <f t="shared" si="75"/>
        <v>137.63333333333333</v>
      </c>
      <c r="M470" t="str">
        <f t="shared" si="78"/>
        <v>152022</v>
      </c>
      <c r="N470" t="str">
        <f t="shared" si="79"/>
        <v>15-4-2022</v>
      </c>
    </row>
    <row r="471" spans="1:14" x14ac:dyDescent="0.2">
      <c r="A471" s="1">
        <v>44666</v>
      </c>
      <c r="B471">
        <f>IFERROR(INDEX('planning dogs-n-tiger'!B$1:B$30,MATCH($H471,'planning dogs-n-tiger'!$G$1:$G$42,0)),0)</f>
        <v>25388</v>
      </c>
      <c r="C471">
        <f>IFERROR(INDEX('planning dogs-n-tiger'!C$1:C$30,MATCH($H471,'planning dogs-n-tiger'!$G$1:$G$42,0)),0)</f>
        <v>25521</v>
      </c>
      <c r="D471">
        <f>IFERROR(INDEX('planning dogs-n-tiger'!D$1:D$30,MATCH($H471,'planning dogs-n-tiger'!$G$1:$G$42,0)),0)</f>
        <v>4129</v>
      </c>
      <c r="E471">
        <f t="shared" si="70"/>
        <v>15</v>
      </c>
      <c r="F471">
        <f t="shared" si="71"/>
        <v>4</v>
      </c>
      <c r="G471">
        <f t="shared" si="72"/>
        <v>2022</v>
      </c>
      <c r="H471" t="str">
        <f t="shared" si="76"/>
        <v>42022</v>
      </c>
      <c r="I471">
        <f t="shared" si="77"/>
        <v>30</v>
      </c>
      <c r="J471">
        <f t="shared" si="73"/>
        <v>846.26666666666665</v>
      </c>
      <c r="K471">
        <f t="shared" si="74"/>
        <v>850.7</v>
      </c>
      <c r="L471">
        <f t="shared" si="75"/>
        <v>137.63333333333333</v>
      </c>
      <c r="M471" t="str">
        <f t="shared" si="78"/>
        <v>152022</v>
      </c>
      <c r="N471" t="str">
        <f t="shared" si="79"/>
        <v>15-4-2022</v>
      </c>
    </row>
    <row r="472" spans="1:14" x14ac:dyDescent="0.2">
      <c r="A472" s="1">
        <v>44667</v>
      </c>
      <c r="B472">
        <f>IFERROR(INDEX('planning dogs-n-tiger'!B$1:B$30,MATCH($H472,'planning dogs-n-tiger'!$G$1:$G$42,0)),0)</f>
        <v>25388</v>
      </c>
      <c r="C472">
        <f>IFERROR(INDEX('planning dogs-n-tiger'!C$1:C$30,MATCH($H472,'planning dogs-n-tiger'!$G$1:$G$42,0)),0)</f>
        <v>25521</v>
      </c>
      <c r="D472">
        <f>IFERROR(INDEX('planning dogs-n-tiger'!D$1:D$30,MATCH($H472,'planning dogs-n-tiger'!$G$1:$G$42,0)),0)</f>
        <v>4129</v>
      </c>
      <c r="E472">
        <f t="shared" si="70"/>
        <v>15</v>
      </c>
      <c r="F472">
        <f t="shared" si="71"/>
        <v>4</v>
      </c>
      <c r="G472">
        <f t="shared" si="72"/>
        <v>2022</v>
      </c>
      <c r="H472" t="str">
        <f t="shared" si="76"/>
        <v>42022</v>
      </c>
      <c r="I472">
        <f t="shared" si="77"/>
        <v>30</v>
      </c>
      <c r="J472">
        <f t="shared" si="73"/>
        <v>846.26666666666665</v>
      </c>
      <c r="K472">
        <f t="shared" si="74"/>
        <v>850.7</v>
      </c>
      <c r="L472">
        <f t="shared" si="75"/>
        <v>137.63333333333333</v>
      </c>
      <c r="M472" t="str">
        <f t="shared" si="78"/>
        <v>152022</v>
      </c>
      <c r="N472" t="str">
        <f t="shared" si="79"/>
        <v>15-4-2022</v>
      </c>
    </row>
    <row r="473" spans="1:14" x14ac:dyDescent="0.2">
      <c r="A473" s="1">
        <v>44668</v>
      </c>
      <c r="B473">
        <f>IFERROR(INDEX('planning dogs-n-tiger'!B$1:B$30,MATCH($H473,'planning dogs-n-tiger'!$G$1:$G$42,0)),0)</f>
        <v>25388</v>
      </c>
      <c r="C473">
        <f>IFERROR(INDEX('planning dogs-n-tiger'!C$1:C$30,MATCH($H473,'planning dogs-n-tiger'!$G$1:$G$42,0)),0)</f>
        <v>25521</v>
      </c>
      <c r="D473">
        <f>IFERROR(INDEX('planning dogs-n-tiger'!D$1:D$30,MATCH($H473,'planning dogs-n-tiger'!$G$1:$G$42,0)),0)</f>
        <v>4129</v>
      </c>
      <c r="E473">
        <f t="shared" si="70"/>
        <v>15</v>
      </c>
      <c r="F473">
        <f t="shared" si="71"/>
        <v>4</v>
      </c>
      <c r="G473">
        <f t="shared" si="72"/>
        <v>2022</v>
      </c>
      <c r="H473" t="str">
        <f t="shared" si="76"/>
        <v>42022</v>
      </c>
      <c r="I473">
        <f t="shared" si="77"/>
        <v>30</v>
      </c>
      <c r="J473">
        <f t="shared" si="73"/>
        <v>846.26666666666665</v>
      </c>
      <c r="K473">
        <f t="shared" si="74"/>
        <v>850.7</v>
      </c>
      <c r="L473">
        <f t="shared" si="75"/>
        <v>137.63333333333333</v>
      </c>
      <c r="M473" t="str">
        <f t="shared" si="78"/>
        <v>152022</v>
      </c>
      <c r="N473" t="str">
        <f t="shared" si="79"/>
        <v>15-4-2022</v>
      </c>
    </row>
    <row r="474" spans="1:14" x14ac:dyDescent="0.2">
      <c r="A474" s="1">
        <v>44669</v>
      </c>
      <c r="B474">
        <f>IFERROR(INDEX('planning dogs-n-tiger'!B$1:B$30,MATCH($H474,'planning dogs-n-tiger'!$G$1:$G$42,0)),0)</f>
        <v>25388</v>
      </c>
      <c r="C474">
        <f>IFERROR(INDEX('planning dogs-n-tiger'!C$1:C$30,MATCH($H474,'planning dogs-n-tiger'!$G$1:$G$42,0)),0)</f>
        <v>25521</v>
      </c>
      <c r="D474">
        <f>IFERROR(INDEX('planning dogs-n-tiger'!D$1:D$30,MATCH($H474,'planning dogs-n-tiger'!$G$1:$G$42,0)),0)</f>
        <v>4129</v>
      </c>
      <c r="E474">
        <f t="shared" si="70"/>
        <v>16</v>
      </c>
      <c r="F474">
        <f t="shared" si="71"/>
        <v>4</v>
      </c>
      <c r="G474">
        <f t="shared" si="72"/>
        <v>2022</v>
      </c>
      <c r="H474" t="str">
        <f t="shared" si="76"/>
        <v>42022</v>
      </c>
      <c r="I474">
        <f t="shared" si="77"/>
        <v>30</v>
      </c>
      <c r="J474">
        <f t="shared" si="73"/>
        <v>846.26666666666665</v>
      </c>
      <c r="K474">
        <f t="shared" si="74"/>
        <v>850.7</v>
      </c>
      <c r="L474">
        <f t="shared" si="75"/>
        <v>137.63333333333333</v>
      </c>
      <c r="M474" t="str">
        <f t="shared" si="78"/>
        <v>162022</v>
      </c>
      <c r="N474" t="str">
        <f t="shared" si="79"/>
        <v>16-4-2022</v>
      </c>
    </row>
    <row r="475" spans="1:14" x14ac:dyDescent="0.2">
      <c r="A475" s="1">
        <v>44670</v>
      </c>
      <c r="B475">
        <f>IFERROR(INDEX('planning dogs-n-tiger'!B$1:B$30,MATCH($H475,'planning dogs-n-tiger'!$G$1:$G$42,0)),0)</f>
        <v>25388</v>
      </c>
      <c r="C475">
        <f>IFERROR(INDEX('planning dogs-n-tiger'!C$1:C$30,MATCH($H475,'planning dogs-n-tiger'!$G$1:$G$42,0)),0)</f>
        <v>25521</v>
      </c>
      <c r="D475">
        <f>IFERROR(INDEX('planning dogs-n-tiger'!D$1:D$30,MATCH($H475,'planning dogs-n-tiger'!$G$1:$G$42,0)),0)</f>
        <v>4129</v>
      </c>
      <c r="E475">
        <f t="shared" si="70"/>
        <v>16</v>
      </c>
      <c r="F475">
        <f t="shared" si="71"/>
        <v>4</v>
      </c>
      <c r="G475">
        <f t="shared" si="72"/>
        <v>2022</v>
      </c>
      <c r="H475" t="str">
        <f t="shared" si="76"/>
        <v>42022</v>
      </c>
      <c r="I475">
        <f t="shared" si="77"/>
        <v>30</v>
      </c>
      <c r="J475">
        <f t="shared" si="73"/>
        <v>846.26666666666665</v>
      </c>
      <c r="K475">
        <f t="shared" si="74"/>
        <v>850.7</v>
      </c>
      <c r="L475">
        <f t="shared" si="75"/>
        <v>137.63333333333333</v>
      </c>
      <c r="M475" t="str">
        <f t="shared" si="78"/>
        <v>162022</v>
      </c>
      <c r="N475" t="str">
        <f t="shared" si="79"/>
        <v>16-4-2022</v>
      </c>
    </row>
    <row r="476" spans="1:14" x14ac:dyDescent="0.2">
      <c r="A476" s="1">
        <v>44671</v>
      </c>
      <c r="B476">
        <f>IFERROR(INDEX('planning dogs-n-tiger'!B$1:B$30,MATCH($H476,'planning dogs-n-tiger'!$G$1:$G$42,0)),0)</f>
        <v>25388</v>
      </c>
      <c r="C476">
        <f>IFERROR(INDEX('planning dogs-n-tiger'!C$1:C$30,MATCH($H476,'planning dogs-n-tiger'!$G$1:$G$42,0)),0)</f>
        <v>25521</v>
      </c>
      <c r="D476">
        <f>IFERROR(INDEX('planning dogs-n-tiger'!D$1:D$30,MATCH($H476,'planning dogs-n-tiger'!$G$1:$G$42,0)),0)</f>
        <v>4129</v>
      </c>
      <c r="E476">
        <f t="shared" si="70"/>
        <v>16</v>
      </c>
      <c r="F476">
        <f t="shared" si="71"/>
        <v>4</v>
      </c>
      <c r="G476">
        <f t="shared" si="72"/>
        <v>2022</v>
      </c>
      <c r="H476" t="str">
        <f t="shared" si="76"/>
        <v>42022</v>
      </c>
      <c r="I476">
        <f t="shared" si="77"/>
        <v>30</v>
      </c>
      <c r="J476">
        <f t="shared" si="73"/>
        <v>846.26666666666665</v>
      </c>
      <c r="K476">
        <f t="shared" si="74"/>
        <v>850.7</v>
      </c>
      <c r="L476">
        <f t="shared" si="75"/>
        <v>137.63333333333333</v>
      </c>
      <c r="M476" t="str">
        <f t="shared" si="78"/>
        <v>162022</v>
      </c>
      <c r="N476" t="str">
        <f t="shared" si="79"/>
        <v>16-4-2022</v>
      </c>
    </row>
    <row r="477" spans="1:14" x14ac:dyDescent="0.2">
      <c r="A477" s="1">
        <v>44672</v>
      </c>
      <c r="B477">
        <f>IFERROR(INDEX('planning dogs-n-tiger'!B$1:B$30,MATCH($H477,'planning dogs-n-tiger'!$G$1:$G$42,0)),0)</f>
        <v>25388</v>
      </c>
      <c r="C477">
        <f>IFERROR(INDEX('planning dogs-n-tiger'!C$1:C$30,MATCH($H477,'planning dogs-n-tiger'!$G$1:$G$42,0)),0)</f>
        <v>25521</v>
      </c>
      <c r="D477">
        <f>IFERROR(INDEX('planning dogs-n-tiger'!D$1:D$30,MATCH($H477,'planning dogs-n-tiger'!$G$1:$G$42,0)),0)</f>
        <v>4129</v>
      </c>
      <c r="E477">
        <f t="shared" si="70"/>
        <v>16</v>
      </c>
      <c r="F477">
        <f t="shared" si="71"/>
        <v>4</v>
      </c>
      <c r="G477">
        <f t="shared" si="72"/>
        <v>2022</v>
      </c>
      <c r="H477" t="str">
        <f t="shared" si="76"/>
        <v>42022</v>
      </c>
      <c r="I477">
        <f t="shared" si="77"/>
        <v>30</v>
      </c>
      <c r="J477">
        <f t="shared" si="73"/>
        <v>846.26666666666665</v>
      </c>
      <c r="K477">
        <f t="shared" si="74"/>
        <v>850.7</v>
      </c>
      <c r="L477">
        <f t="shared" si="75"/>
        <v>137.63333333333333</v>
      </c>
      <c r="M477" t="str">
        <f t="shared" si="78"/>
        <v>162022</v>
      </c>
      <c r="N477" t="str">
        <f t="shared" si="79"/>
        <v>16-4-2022</v>
      </c>
    </row>
    <row r="478" spans="1:14" x14ac:dyDescent="0.2">
      <c r="A478" s="1">
        <v>44673</v>
      </c>
      <c r="B478">
        <f>IFERROR(INDEX('planning dogs-n-tiger'!B$1:B$30,MATCH($H478,'planning dogs-n-tiger'!$G$1:$G$42,0)),0)</f>
        <v>25388</v>
      </c>
      <c r="C478">
        <f>IFERROR(INDEX('planning dogs-n-tiger'!C$1:C$30,MATCH($H478,'planning dogs-n-tiger'!$G$1:$G$42,0)),0)</f>
        <v>25521</v>
      </c>
      <c r="D478">
        <f>IFERROR(INDEX('planning dogs-n-tiger'!D$1:D$30,MATCH($H478,'planning dogs-n-tiger'!$G$1:$G$42,0)),0)</f>
        <v>4129</v>
      </c>
      <c r="E478">
        <f t="shared" si="70"/>
        <v>16</v>
      </c>
      <c r="F478">
        <f t="shared" si="71"/>
        <v>4</v>
      </c>
      <c r="G478">
        <f t="shared" si="72"/>
        <v>2022</v>
      </c>
      <c r="H478" t="str">
        <f t="shared" si="76"/>
        <v>42022</v>
      </c>
      <c r="I478">
        <f t="shared" si="77"/>
        <v>30</v>
      </c>
      <c r="J478">
        <f t="shared" si="73"/>
        <v>846.26666666666665</v>
      </c>
      <c r="K478">
        <f t="shared" si="74"/>
        <v>850.7</v>
      </c>
      <c r="L478">
        <f t="shared" si="75"/>
        <v>137.63333333333333</v>
      </c>
      <c r="M478" t="str">
        <f t="shared" si="78"/>
        <v>162022</v>
      </c>
      <c r="N478" t="str">
        <f t="shared" si="79"/>
        <v>16-4-2022</v>
      </c>
    </row>
    <row r="479" spans="1:14" x14ac:dyDescent="0.2">
      <c r="A479" s="1">
        <v>44674</v>
      </c>
      <c r="B479">
        <f>IFERROR(INDEX('planning dogs-n-tiger'!B$1:B$30,MATCH($H479,'planning dogs-n-tiger'!$G$1:$G$42,0)),0)</f>
        <v>25388</v>
      </c>
      <c r="C479">
        <f>IFERROR(INDEX('planning dogs-n-tiger'!C$1:C$30,MATCH($H479,'planning dogs-n-tiger'!$G$1:$G$42,0)),0)</f>
        <v>25521</v>
      </c>
      <c r="D479">
        <f>IFERROR(INDEX('planning dogs-n-tiger'!D$1:D$30,MATCH($H479,'planning dogs-n-tiger'!$G$1:$G$42,0)),0)</f>
        <v>4129</v>
      </c>
      <c r="E479">
        <f t="shared" si="70"/>
        <v>16</v>
      </c>
      <c r="F479">
        <f t="shared" si="71"/>
        <v>4</v>
      </c>
      <c r="G479">
        <f t="shared" si="72"/>
        <v>2022</v>
      </c>
      <c r="H479" t="str">
        <f t="shared" si="76"/>
        <v>42022</v>
      </c>
      <c r="I479">
        <f t="shared" si="77"/>
        <v>30</v>
      </c>
      <c r="J479">
        <f t="shared" si="73"/>
        <v>846.26666666666665</v>
      </c>
      <c r="K479">
        <f t="shared" si="74"/>
        <v>850.7</v>
      </c>
      <c r="L479">
        <f t="shared" si="75"/>
        <v>137.63333333333333</v>
      </c>
      <c r="M479" t="str">
        <f t="shared" si="78"/>
        <v>162022</v>
      </c>
      <c r="N479" t="str">
        <f t="shared" si="79"/>
        <v>16-4-2022</v>
      </c>
    </row>
    <row r="480" spans="1:14" x14ac:dyDescent="0.2">
      <c r="A480" s="1">
        <v>44675</v>
      </c>
      <c r="B480">
        <f>IFERROR(INDEX('planning dogs-n-tiger'!B$1:B$30,MATCH($H480,'planning dogs-n-tiger'!$G$1:$G$42,0)),0)</f>
        <v>25388</v>
      </c>
      <c r="C480">
        <f>IFERROR(INDEX('planning dogs-n-tiger'!C$1:C$30,MATCH($H480,'planning dogs-n-tiger'!$G$1:$G$42,0)),0)</f>
        <v>25521</v>
      </c>
      <c r="D480">
        <f>IFERROR(INDEX('planning dogs-n-tiger'!D$1:D$30,MATCH($H480,'planning dogs-n-tiger'!$G$1:$G$42,0)),0)</f>
        <v>4129</v>
      </c>
      <c r="E480">
        <f t="shared" si="70"/>
        <v>16</v>
      </c>
      <c r="F480">
        <f t="shared" si="71"/>
        <v>4</v>
      </c>
      <c r="G480">
        <f t="shared" si="72"/>
        <v>2022</v>
      </c>
      <c r="H480" t="str">
        <f t="shared" si="76"/>
        <v>42022</v>
      </c>
      <c r="I480">
        <f t="shared" si="77"/>
        <v>30</v>
      </c>
      <c r="J480">
        <f t="shared" si="73"/>
        <v>846.26666666666665</v>
      </c>
      <c r="K480">
        <f t="shared" si="74"/>
        <v>850.7</v>
      </c>
      <c r="L480">
        <f t="shared" si="75"/>
        <v>137.63333333333333</v>
      </c>
      <c r="M480" t="str">
        <f t="shared" si="78"/>
        <v>162022</v>
      </c>
      <c r="N480" t="str">
        <f t="shared" si="79"/>
        <v>16-4-2022</v>
      </c>
    </row>
    <row r="481" spans="1:14" x14ac:dyDescent="0.2">
      <c r="A481" s="1">
        <v>44676</v>
      </c>
      <c r="B481">
        <f>IFERROR(INDEX('planning dogs-n-tiger'!B$1:B$30,MATCH($H481,'planning dogs-n-tiger'!$G$1:$G$42,0)),0)</f>
        <v>25388</v>
      </c>
      <c r="C481">
        <f>IFERROR(INDEX('planning dogs-n-tiger'!C$1:C$30,MATCH($H481,'planning dogs-n-tiger'!$G$1:$G$42,0)),0)</f>
        <v>25521</v>
      </c>
      <c r="D481">
        <f>IFERROR(INDEX('planning dogs-n-tiger'!D$1:D$30,MATCH($H481,'planning dogs-n-tiger'!$G$1:$G$42,0)),0)</f>
        <v>4129</v>
      </c>
      <c r="E481">
        <f t="shared" si="70"/>
        <v>17</v>
      </c>
      <c r="F481">
        <f t="shared" si="71"/>
        <v>4</v>
      </c>
      <c r="G481">
        <f t="shared" si="72"/>
        <v>2022</v>
      </c>
      <c r="H481" t="str">
        <f t="shared" si="76"/>
        <v>42022</v>
      </c>
      <c r="I481">
        <f t="shared" si="77"/>
        <v>30</v>
      </c>
      <c r="J481">
        <f t="shared" si="73"/>
        <v>846.26666666666665</v>
      </c>
      <c r="K481">
        <f t="shared" si="74"/>
        <v>850.7</v>
      </c>
      <c r="L481">
        <f t="shared" si="75"/>
        <v>137.63333333333333</v>
      </c>
      <c r="M481" t="str">
        <f t="shared" si="78"/>
        <v>172022</v>
      </c>
      <c r="N481" t="str">
        <f t="shared" si="79"/>
        <v>17-4-2022</v>
      </c>
    </row>
    <row r="482" spans="1:14" x14ac:dyDescent="0.2">
      <c r="A482" s="1">
        <v>44677</v>
      </c>
      <c r="B482">
        <f>IFERROR(INDEX('planning dogs-n-tiger'!B$1:B$30,MATCH($H482,'planning dogs-n-tiger'!$G$1:$G$42,0)),0)</f>
        <v>25388</v>
      </c>
      <c r="C482">
        <f>IFERROR(INDEX('planning dogs-n-tiger'!C$1:C$30,MATCH($H482,'planning dogs-n-tiger'!$G$1:$G$42,0)),0)</f>
        <v>25521</v>
      </c>
      <c r="D482">
        <f>IFERROR(INDEX('planning dogs-n-tiger'!D$1:D$30,MATCH($H482,'planning dogs-n-tiger'!$G$1:$G$42,0)),0)</f>
        <v>4129</v>
      </c>
      <c r="E482">
        <f t="shared" si="70"/>
        <v>17</v>
      </c>
      <c r="F482">
        <f t="shared" si="71"/>
        <v>4</v>
      </c>
      <c r="G482">
        <f t="shared" si="72"/>
        <v>2022</v>
      </c>
      <c r="H482" t="str">
        <f t="shared" si="76"/>
        <v>42022</v>
      </c>
      <c r="I482">
        <f t="shared" si="77"/>
        <v>30</v>
      </c>
      <c r="J482">
        <f t="shared" si="73"/>
        <v>846.26666666666665</v>
      </c>
      <c r="K482">
        <f t="shared" si="74"/>
        <v>850.7</v>
      </c>
      <c r="L482">
        <f t="shared" si="75"/>
        <v>137.63333333333333</v>
      </c>
      <c r="M482" t="str">
        <f t="shared" si="78"/>
        <v>172022</v>
      </c>
      <c r="N482" t="str">
        <f t="shared" si="79"/>
        <v>17-4-2022</v>
      </c>
    </row>
    <row r="483" spans="1:14" x14ac:dyDescent="0.2">
      <c r="A483" s="1">
        <v>44678</v>
      </c>
      <c r="B483">
        <f>IFERROR(INDEX('planning dogs-n-tiger'!B$1:B$30,MATCH($H483,'planning dogs-n-tiger'!$G$1:$G$42,0)),0)</f>
        <v>25388</v>
      </c>
      <c r="C483">
        <f>IFERROR(INDEX('planning dogs-n-tiger'!C$1:C$30,MATCH($H483,'planning dogs-n-tiger'!$G$1:$G$42,0)),0)</f>
        <v>25521</v>
      </c>
      <c r="D483">
        <f>IFERROR(INDEX('planning dogs-n-tiger'!D$1:D$30,MATCH($H483,'planning dogs-n-tiger'!$G$1:$G$42,0)),0)</f>
        <v>4129</v>
      </c>
      <c r="E483">
        <f t="shared" si="70"/>
        <v>17</v>
      </c>
      <c r="F483">
        <f t="shared" si="71"/>
        <v>4</v>
      </c>
      <c r="G483">
        <f t="shared" si="72"/>
        <v>2022</v>
      </c>
      <c r="H483" t="str">
        <f t="shared" si="76"/>
        <v>42022</v>
      </c>
      <c r="I483">
        <f t="shared" si="77"/>
        <v>30</v>
      </c>
      <c r="J483">
        <f t="shared" si="73"/>
        <v>846.26666666666665</v>
      </c>
      <c r="K483">
        <f t="shared" si="74"/>
        <v>850.7</v>
      </c>
      <c r="L483">
        <f t="shared" si="75"/>
        <v>137.63333333333333</v>
      </c>
      <c r="M483" t="str">
        <f t="shared" si="78"/>
        <v>172022</v>
      </c>
      <c r="N483" t="str">
        <f t="shared" si="79"/>
        <v>17-4-2022</v>
      </c>
    </row>
    <row r="484" spans="1:14" x14ac:dyDescent="0.2">
      <c r="A484" s="1">
        <v>44679</v>
      </c>
      <c r="B484">
        <f>IFERROR(INDEX('planning dogs-n-tiger'!B$1:B$30,MATCH($H484,'planning dogs-n-tiger'!$G$1:$G$42,0)),0)</f>
        <v>25388</v>
      </c>
      <c r="C484">
        <f>IFERROR(INDEX('planning dogs-n-tiger'!C$1:C$30,MATCH($H484,'planning dogs-n-tiger'!$G$1:$G$42,0)),0)</f>
        <v>25521</v>
      </c>
      <c r="D484">
        <f>IFERROR(INDEX('planning dogs-n-tiger'!D$1:D$30,MATCH($H484,'planning dogs-n-tiger'!$G$1:$G$42,0)),0)</f>
        <v>4129</v>
      </c>
      <c r="E484">
        <f t="shared" si="70"/>
        <v>17</v>
      </c>
      <c r="F484">
        <f t="shared" si="71"/>
        <v>4</v>
      </c>
      <c r="G484">
        <f t="shared" si="72"/>
        <v>2022</v>
      </c>
      <c r="H484" t="str">
        <f t="shared" si="76"/>
        <v>42022</v>
      </c>
      <c r="I484">
        <f t="shared" si="77"/>
        <v>30</v>
      </c>
      <c r="J484">
        <f t="shared" si="73"/>
        <v>846.26666666666665</v>
      </c>
      <c r="K484">
        <f t="shared" si="74"/>
        <v>850.7</v>
      </c>
      <c r="L484">
        <f t="shared" si="75"/>
        <v>137.63333333333333</v>
      </c>
      <c r="M484" t="str">
        <f t="shared" si="78"/>
        <v>172022</v>
      </c>
      <c r="N484" t="str">
        <f t="shared" si="79"/>
        <v>17-4-2022</v>
      </c>
    </row>
    <row r="485" spans="1:14" x14ac:dyDescent="0.2">
      <c r="A485" s="1">
        <v>44680</v>
      </c>
      <c r="B485">
        <f>IFERROR(INDEX('planning dogs-n-tiger'!B$1:B$30,MATCH($H485,'planning dogs-n-tiger'!$G$1:$G$42,0)),0)</f>
        <v>25388</v>
      </c>
      <c r="C485">
        <f>IFERROR(INDEX('planning dogs-n-tiger'!C$1:C$30,MATCH($H485,'planning dogs-n-tiger'!$G$1:$G$42,0)),0)</f>
        <v>25521</v>
      </c>
      <c r="D485">
        <f>IFERROR(INDEX('planning dogs-n-tiger'!D$1:D$30,MATCH($H485,'planning dogs-n-tiger'!$G$1:$G$42,0)),0)</f>
        <v>4129</v>
      </c>
      <c r="E485">
        <f t="shared" si="70"/>
        <v>17</v>
      </c>
      <c r="F485">
        <f t="shared" si="71"/>
        <v>4</v>
      </c>
      <c r="G485">
        <f t="shared" si="72"/>
        <v>2022</v>
      </c>
      <c r="H485" t="str">
        <f t="shared" si="76"/>
        <v>42022</v>
      </c>
      <c r="I485">
        <f t="shared" si="77"/>
        <v>30</v>
      </c>
      <c r="J485">
        <f t="shared" si="73"/>
        <v>846.26666666666665</v>
      </c>
      <c r="K485">
        <f t="shared" si="74"/>
        <v>850.7</v>
      </c>
      <c r="L485">
        <f t="shared" si="75"/>
        <v>137.63333333333333</v>
      </c>
      <c r="M485" t="str">
        <f t="shared" si="78"/>
        <v>172022</v>
      </c>
      <c r="N485" t="str">
        <f t="shared" si="79"/>
        <v>17-4-2022</v>
      </c>
    </row>
    <row r="486" spans="1:14" x14ac:dyDescent="0.2">
      <c r="A486" s="1">
        <v>44681</v>
      </c>
      <c r="B486">
        <f>IFERROR(INDEX('planning dogs-n-tiger'!B$1:B$30,MATCH($H486,'planning dogs-n-tiger'!$G$1:$G$42,0)),0)</f>
        <v>25388</v>
      </c>
      <c r="C486">
        <f>IFERROR(INDEX('planning dogs-n-tiger'!C$1:C$30,MATCH($H486,'planning dogs-n-tiger'!$G$1:$G$42,0)),0)</f>
        <v>25521</v>
      </c>
      <c r="D486">
        <f>IFERROR(INDEX('planning dogs-n-tiger'!D$1:D$30,MATCH($H486,'planning dogs-n-tiger'!$G$1:$G$42,0)),0)</f>
        <v>4129</v>
      </c>
      <c r="E486">
        <f t="shared" si="70"/>
        <v>17</v>
      </c>
      <c r="F486">
        <f t="shared" si="71"/>
        <v>4</v>
      </c>
      <c r="G486">
        <f t="shared" si="72"/>
        <v>2022</v>
      </c>
      <c r="H486" t="str">
        <f t="shared" si="76"/>
        <v>42022</v>
      </c>
      <c r="I486">
        <f t="shared" si="77"/>
        <v>30</v>
      </c>
      <c r="J486">
        <f t="shared" si="73"/>
        <v>846.26666666666665</v>
      </c>
      <c r="K486">
        <f t="shared" si="74"/>
        <v>850.7</v>
      </c>
      <c r="L486">
        <f t="shared" si="75"/>
        <v>137.63333333333333</v>
      </c>
      <c r="M486" t="str">
        <f t="shared" si="78"/>
        <v>172022</v>
      </c>
      <c r="N486" t="str">
        <f t="shared" si="79"/>
        <v>17-4-2022</v>
      </c>
    </row>
    <row r="487" spans="1:14" x14ac:dyDescent="0.2">
      <c r="A487" s="1">
        <v>44682</v>
      </c>
      <c r="B487">
        <f>IFERROR(INDEX('planning dogs-n-tiger'!B$1:B$30,MATCH($H487,'planning dogs-n-tiger'!$G$1:$G$42,0)),0)</f>
        <v>36425</v>
      </c>
      <c r="C487">
        <f>IFERROR(INDEX('planning dogs-n-tiger'!C$1:C$30,MATCH($H487,'planning dogs-n-tiger'!$G$1:$G$42,0)),0)</f>
        <v>29226</v>
      </c>
      <c r="D487">
        <f>IFERROR(INDEX('planning dogs-n-tiger'!D$1:D$30,MATCH($H487,'planning dogs-n-tiger'!$G$1:$G$42,0)),0)</f>
        <v>19536</v>
      </c>
      <c r="E487">
        <f t="shared" si="70"/>
        <v>17</v>
      </c>
      <c r="F487">
        <f t="shared" si="71"/>
        <v>5</v>
      </c>
      <c r="G487">
        <f t="shared" si="72"/>
        <v>2022</v>
      </c>
      <c r="H487" t="str">
        <f t="shared" si="76"/>
        <v>52022</v>
      </c>
      <c r="I487">
        <f t="shared" si="77"/>
        <v>31</v>
      </c>
      <c r="J487">
        <f t="shared" si="73"/>
        <v>1175</v>
      </c>
      <c r="K487">
        <f t="shared" si="74"/>
        <v>942.77419354838707</v>
      </c>
      <c r="L487">
        <f t="shared" si="75"/>
        <v>630.19354838709683</v>
      </c>
      <c r="M487" t="str">
        <f t="shared" si="78"/>
        <v>172022</v>
      </c>
      <c r="N487" t="str">
        <f t="shared" si="79"/>
        <v>17-5-2022</v>
      </c>
    </row>
    <row r="488" spans="1:14" x14ac:dyDescent="0.2">
      <c r="A488" s="1">
        <v>44683</v>
      </c>
      <c r="B488">
        <f>IFERROR(INDEX('planning dogs-n-tiger'!B$1:B$30,MATCH($H488,'planning dogs-n-tiger'!$G$1:$G$42,0)),0)</f>
        <v>36425</v>
      </c>
      <c r="C488">
        <f>IFERROR(INDEX('planning dogs-n-tiger'!C$1:C$30,MATCH($H488,'planning dogs-n-tiger'!$G$1:$G$42,0)),0)</f>
        <v>29226</v>
      </c>
      <c r="D488">
        <f>IFERROR(INDEX('planning dogs-n-tiger'!D$1:D$30,MATCH($H488,'planning dogs-n-tiger'!$G$1:$G$42,0)),0)</f>
        <v>19536</v>
      </c>
      <c r="E488">
        <f t="shared" si="70"/>
        <v>18</v>
      </c>
      <c r="F488">
        <f t="shared" si="71"/>
        <v>5</v>
      </c>
      <c r="G488">
        <f t="shared" si="72"/>
        <v>2022</v>
      </c>
      <c r="H488" t="str">
        <f t="shared" si="76"/>
        <v>52022</v>
      </c>
      <c r="I488">
        <f t="shared" si="77"/>
        <v>31</v>
      </c>
      <c r="J488">
        <f t="shared" si="73"/>
        <v>1175</v>
      </c>
      <c r="K488">
        <f t="shared" si="74"/>
        <v>942.77419354838707</v>
      </c>
      <c r="L488">
        <f t="shared" si="75"/>
        <v>630.19354838709683</v>
      </c>
      <c r="M488" t="str">
        <f t="shared" si="78"/>
        <v>182022</v>
      </c>
      <c r="N488" t="str">
        <f t="shared" si="79"/>
        <v>18-5-2022</v>
      </c>
    </row>
    <row r="489" spans="1:14" x14ac:dyDescent="0.2">
      <c r="A489" s="1">
        <v>44684</v>
      </c>
      <c r="B489">
        <f>IFERROR(INDEX('planning dogs-n-tiger'!B$1:B$30,MATCH($H489,'planning dogs-n-tiger'!$G$1:$G$42,0)),0)</f>
        <v>36425</v>
      </c>
      <c r="C489">
        <f>IFERROR(INDEX('planning dogs-n-tiger'!C$1:C$30,MATCH($H489,'planning dogs-n-tiger'!$G$1:$G$42,0)),0)</f>
        <v>29226</v>
      </c>
      <c r="D489">
        <f>IFERROR(INDEX('planning dogs-n-tiger'!D$1:D$30,MATCH($H489,'planning dogs-n-tiger'!$G$1:$G$42,0)),0)</f>
        <v>19536</v>
      </c>
      <c r="E489">
        <f t="shared" si="70"/>
        <v>18</v>
      </c>
      <c r="F489">
        <f t="shared" si="71"/>
        <v>5</v>
      </c>
      <c r="G489">
        <f t="shared" si="72"/>
        <v>2022</v>
      </c>
      <c r="H489" t="str">
        <f t="shared" si="76"/>
        <v>52022</v>
      </c>
      <c r="I489">
        <f t="shared" si="77"/>
        <v>31</v>
      </c>
      <c r="J489">
        <f t="shared" si="73"/>
        <v>1175</v>
      </c>
      <c r="K489">
        <f t="shared" si="74"/>
        <v>942.77419354838707</v>
      </c>
      <c r="L489">
        <f t="shared" si="75"/>
        <v>630.19354838709683</v>
      </c>
      <c r="M489" t="str">
        <f t="shared" si="78"/>
        <v>182022</v>
      </c>
      <c r="N489" t="str">
        <f t="shared" si="79"/>
        <v>18-5-2022</v>
      </c>
    </row>
    <row r="490" spans="1:14" x14ac:dyDescent="0.2">
      <c r="A490" s="1">
        <v>44685</v>
      </c>
      <c r="B490">
        <f>IFERROR(INDEX('planning dogs-n-tiger'!B$1:B$30,MATCH($H490,'planning dogs-n-tiger'!$G$1:$G$42,0)),0)</f>
        <v>36425</v>
      </c>
      <c r="C490">
        <f>IFERROR(INDEX('planning dogs-n-tiger'!C$1:C$30,MATCH($H490,'planning dogs-n-tiger'!$G$1:$G$42,0)),0)</f>
        <v>29226</v>
      </c>
      <c r="D490">
        <f>IFERROR(INDEX('planning dogs-n-tiger'!D$1:D$30,MATCH($H490,'planning dogs-n-tiger'!$G$1:$G$42,0)),0)</f>
        <v>19536</v>
      </c>
      <c r="E490">
        <f t="shared" si="70"/>
        <v>18</v>
      </c>
      <c r="F490">
        <f t="shared" si="71"/>
        <v>5</v>
      </c>
      <c r="G490">
        <f t="shared" si="72"/>
        <v>2022</v>
      </c>
      <c r="H490" t="str">
        <f t="shared" si="76"/>
        <v>52022</v>
      </c>
      <c r="I490">
        <f t="shared" si="77"/>
        <v>31</v>
      </c>
      <c r="J490">
        <f t="shared" si="73"/>
        <v>1175</v>
      </c>
      <c r="K490">
        <f t="shared" si="74"/>
        <v>942.77419354838707</v>
      </c>
      <c r="L490">
        <f t="shared" si="75"/>
        <v>630.19354838709683</v>
      </c>
      <c r="M490" t="str">
        <f t="shared" si="78"/>
        <v>182022</v>
      </c>
      <c r="N490" t="str">
        <f t="shared" si="79"/>
        <v>18-5-2022</v>
      </c>
    </row>
    <row r="491" spans="1:14" x14ac:dyDescent="0.2">
      <c r="A491" s="1">
        <v>44686</v>
      </c>
      <c r="B491">
        <f>IFERROR(INDEX('planning dogs-n-tiger'!B$1:B$30,MATCH($H491,'planning dogs-n-tiger'!$G$1:$G$42,0)),0)</f>
        <v>36425</v>
      </c>
      <c r="C491">
        <f>IFERROR(INDEX('planning dogs-n-tiger'!C$1:C$30,MATCH($H491,'planning dogs-n-tiger'!$G$1:$G$42,0)),0)</f>
        <v>29226</v>
      </c>
      <c r="D491">
        <f>IFERROR(INDEX('planning dogs-n-tiger'!D$1:D$30,MATCH($H491,'planning dogs-n-tiger'!$G$1:$G$42,0)),0)</f>
        <v>19536</v>
      </c>
      <c r="E491">
        <f t="shared" si="70"/>
        <v>18</v>
      </c>
      <c r="F491">
        <f t="shared" si="71"/>
        <v>5</v>
      </c>
      <c r="G491">
        <f t="shared" si="72"/>
        <v>2022</v>
      </c>
      <c r="H491" t="str">
        <f t="shared" si="76"/>
        <v>52022</v>
      </c>
      <c r="I491">
        <f t="shared" si="77"/>
        <v>31</v>
      </c>
      <c r="J491">
        <f t="shared" si="73"/>
        <v>1175</v>
      </c>
      <c r="K491">
        <f t="shared" si="74"/>
        <v>942.77419354838707</v>
      </c>
      <c r="L491">
        <f t="shared" si="75"/>
        <v>630.19354838709683</v>
      </c>
      <c r="M491" t="str">
        <f t="shared" si="78"/>
        <v>182022</v>
      </c>
      <c r="N491" t="str">
        <f t="shared" si="79"/>
        <v>18-5-2022</v>
      </c>
    </row>
    <row r="492" spans="1:14" x14ac:dyDescent="0.2">
      <c r="A492" s="1">
        <v>44687</v>
      </c>
      <c r="B492">
        <f>IFERROR(INDEX('planning dogs-n-tiger'!B$1:B$30,MATCH($H492,'planning dogs-n-tiger'!$G$1:$G$42,0)),0)</f>
        <v>36425</v>
      </c>
      <c r="C492">
        <f>IFERROR(INDEX('planning dogs-n-tiger'!C$1:C$30,MATCH($H492,'planning dogs-n-tiger'!$G$1:$G$42,0)),0)</f>
        <v>29226</v>
      </c>
      <c r="D492">
        <f>IFERROR(INDEX('planning dogs-n-tiger'!D$1:D$30,MATCH($H492,'planning dogs-n-tiger'!$G$1:$G$42,0)),0)</f>
        <v>19536</v>
      </c>
      <c r="E492">
        <f t="shared" si="70"/>
        <v>18</v>
      </c>
      <c r="F492">
        <f t="shared" si="71"/>
        <v>5</v>
      </c>
      <c r="G492">
        <f t="shared" si="72"/>
        <v>2022</v>
      </c>
      <c r="H492" t="str">
        <f t="shared" si="76"/>
        <v>52022</v>
      </c>
      <c r="I492">
        <f t="shared" si="77"/>
        <v>31</v>
      </c>
      <c r="J492">
        <f t="shared" si="73"/>
        <v>1175</v>
      </c>
      <c r="K492">
        <f t="shared" si="74"/>
        <v>942.77419354838707</v>
      </c>
      <c r="L492">
        <f t="shared" si="75"/>
        <v>630.19354838709683</v>
      </c>
      <c r="M492" t="str">
        <f t="shared" si="78"/>
        <v>182022</v>
      </c>
      <c r="N492" t="str">
        <f t="shared" si="79"/>
        <v>18-5-2022</v>
      </c>
    </row>
    <row r="493" spans="1:14" x14ac:dyDescent="0.2">
      <c r="A493" s="1">
        <v>44688</v>
      </c>
      <c r="B493">
        <f>IFERROR(INDEX('planning dogs-n-tiger'!B$1:B$30,MATCH($H493,'planning dogs-n-tiger'!$G$1:$G$42,0)),0)</f>
        <v>36425</v>
      </c>
      <c r="C493">
        <f>IFERROR(INDEX('planning dogs-n-tiger'!C$1:C$30,MATCH($H493,'planning dogs-n-tiger'!$G$1:$G$42,0)),0)</f>
        <v>29226</v>
      </c>
      <c r="D493">
        <f>IFERROR(INDEX('planning dogs-n-tiger'!D$1:D$30,MATCH($H493,'planning dogs-n-tiger'!$G$1:$G$42,0)),0)</f>
        <v>19536</v>
      </c>
      <c r="E493">
        <f t="shared" si="70"/>
        <v>18</v>
      </c>
      <c r="F493">
        <f t="shared" si="71"/>
        <v>5</v>
      </c>
      <c r="G493">
        <f t="shared" si="72"/>
        <v>2022</v>
      </c>
      <c r="H493" t="str">
        <f t="shared" si="76"/>
        <v>52022</v>
      </c>
      <c r="I493">
        <f t="shared" si="77"/>
        <v>31</v>
      </c>
      <c r="J493">
        <f t="shared" si="73"/>
        <v>1175</v>
      </c>
      <c r="K493">
        <f t="shared" si="74"/>
        <v>942.77419354838707</v>
      </c>
      <c r="L493">
        <f t="shared" si="75"/>
        <v>630.19354838709683</v>
      </c>
      <c r="M493" t="str">
        <f t="shared" si="78"/>
        <v>182022</v>
      </c>
      <c r="N493" t="str">
        <f t="shared" si="79"/>
        <v>18-5-2022</v>
      </c>
    </row>
    <row r="494" spans="1:14" x14ac:dyDescent="0.2">
      <c r="A494" s="1">
        <v>44689</v>
      </c>
      <c r="B494">
        <f>IFERROR(INDEX('planning dogs-n-tiger'!B$1:B$30,MATCH($H494,'planning dogs-n-tiger'!$G$1:$G$42,0)),0)</f>
        <v>36425</v>
      </c>
      <c r="C494">
        <f>IFERROR(INDEX('planning dogs-n-tiger'!C$1:C$30,MATCH($H494,'planning dogs-n-tiger'!$G$1:$G$42,0)),0)</f>
        <v>29226</v>
      </c>
      <c r="D494">
        <f>IFERROR(INDEX('planning dogs-n-tiger'!D$1:D$30,MATCH($H494,'planning dogs-n-tiger'!$G$1:$G$42,0)),0)</f>
        <v>19536</v>
      </c>
      <c r="E494">
        <f t="shared" si="70"/>
        <v>18</v>
      </c>
      <c r="F494">
        <f t="shared" si="71"/>
        <v>5</v>
      </c>
      <c r="G494">
        <f t="shared" si="72"/>
        <v>2022</v>
      </c>
      <c r="H494" t="str">
        <f t="shared" si="76"/>
        <v>52022</v>
      </c>
      <c r="I494">
        <f t="shared" si="77"/>
        <v>31</v>
      </c>
      <c r="J494">
        <f t="shared" si="73"/>
        <v>1175</v>
      </c>
      <c r="K494">
        <f t="shared" si="74"/>
        <v>942.77419354838707</v>
      </c>
      <c r="L494">
        <f t="shared" si="75"/>
        <v>630.19354838709683</v>
      </c>
      <c r="M494" t="str">
        <f t="shared" si="78"/>
        <v>182022</v>
      </c>
      <c r="N494" t="str">
        <f t="shared" si="79"/>
        <v>18-5-2022</v>
      </c>
    </row>
    <row r="495" spans="1:14" x14ac:dyDescent="0.2">
      <c r="A495" s="1">
        <v>44690</v>
      </c>
      <c r="B495">
        <f>IFERROR(INDEX('planning dogs-n-tiger'!B$1:B$30,MATCH($H495,'planning dogs-n-tiger'!$G$1:$G$42,0)),0)</f>
        <v>36425</v>
      </c>
      <c r="C495">
        <f>IFERROR(INDEX('planning dogs-n-tiger'!C$1:C$30,MATCH($H495,'planning dogs-n-tiger'!$G$1:$G$42,0)),0)</f>
        <v>29226</v>
      </c>
      <c r="D495">
        <f>IFERROR(INDEX('planning dogs-n-tiger'!D$1:D$30,MATCH($H495,'planning dogs-n-tiger'!$G$1:$G$42,0)),0)</f>
        <v>19536</v>
      </c>
      <c r="E495">
        <f t="shared" si="70"/>
        <v>19</v>
      </c>
      <c r="F495">
        <f t="shared" si="71"/>
        <v>5</v>
      </c>
      <c r="G495">
        <f t="shared" si="72"/>
        <v>2022</v>
      </c>
      <c r="H495" t="str">
        <f t="shared" si="76"/>
        <v>52022</v>
      </c>
      <c r="I495">
        <f t="shared" si="77"/>
        <v>31</v>
      </c>
      <c r="J495">
        <f t="shared" si="73"/>
        <v>1175</v>
      </c>
      <c r="K495">
        <f t="shared" si="74"/>
        <v>942.77419354838707</v>
      </c>
      <c r="L495">
        <f t="shared" si="75"/>
        <v>630.19354838709683</v>
      </c>
      <c r="M495" t="str">
        <f t="shared" si="78"/>
        <v>192022</v>
      </c>
      <c r="N495" t="str">
        <f t="shared" si="79"/>
        <v>19-5-2022</v>
      </c>
    </row>
    <row r="496" spans="1:14" x14ac:dyDescent="0.2">
      <c r="A496" s="1">
        <v>44691</v>
      </c>
      <c r="B496">
        <f>IFERROR(INDEX('planning dogs-n-tiger'!B$1:B$30,MATCH($H496,'planning dogs-n-tiger'!$G$1:$G$42,0)),0)</f>
        <v>36425</v>
      </c>
      <c r="C496">
        <f>IFERROR(INDEX('planning dogs-n-tiger'!C$1:C$30,MATCH($H496,'planning dogs-n-tiger'!$G$1:$G$42,0)),0)</f>
        <v>29226</v>
      </c>
      <c r="D496">
        <f>IFERROR(INDEX('planning dogs-n-tiger'!D$1:D$30,MATCH($H496,'planning dogs-n-tiger'!$G$1:$G$42,0)),0)</f>
        <v>19536</v>
      </c>
      <c r="E496">
        <f t="shared" si="70"/>
        <v>19</v>
      </c>
      <c r="F496">
        <f t="shared" si="71"/>
        <v>5</v>
      </c>
      <c r="G496">
        <f t="shared" si="72"/>
        <v>2022</v>
      </c>
      <c r="H496" t="str">
        <f t="shared" si="76"/>
        <v>52022</v>
      </c>
      <c r="I496">
        <f t="shared" si="77"/>
        <v>31</v>
      </c>
      <c r="J496">
        <f t="shared" si="73"/>
        <v>1175</v>
      </c>
      <c r="K496">
        <f t="shared" si="74"/>
        <v>942.77419354838707</v>
      </c>
      <c r="L496">
        <f t="shared" si="75"/>
        <v>630.19354838709683</v>
      </c>
      <c r="M496" t="str">
        <f t="shared" si="78"/>
        <v>192022</v>
      </c>
      <c r="N496" t="str">
        <f t="shared" si="79"/>
        <v>19-5-2022</v>
      </c>
    </row>
    <row r="497" spans="1:14" x14ac:dyDescent="0.2">
      <c r="A497" s="1">
        <v>44692</v>
      </c>
      <c r="B497">
        <f>IFERROR(INDEX('planning dogs-n-tiger'!B$1:B$30,MATCH($H497,'planning dogs-n-tiger'!$G$1:$G$42,0)),0)</f>
        <v>36425</v>
      </c>
      <c r="C497">
        <f>IFERROR(INDEX('planning dogs-n-tiger'!C$1:C$30,MATCH($H497,'planning dogs-n-tiger'!$G$1:$G$42,0)),0)</f>
        <v>29226</v>
      </c>
      <c r="D497">
        <f>IFERROR(INDEX('planning dogs-n-tiger'!D$1:D$30,MATCH($H497,'planning dogs-n-tiger'!$G$1:$G$42,0)),0)</f>
        <v>19536</v>
      </c>
      <c r="E497">
        <f t="shared" si="70"/>
        <v>19</v>
      </c>
      <c r="F497">
        <f t="shared" si="71"/>
        <v>5</v>
      </c>
      <c r="G497">
        <f t="shared" si="72"/>
        <v>2022</v>
      </c>
      <c r="H497" t="str">
        <f t="shared" si="76"/>
        <v>52022</v>
      </c>
      <c r="I497">
        <f t="shared" si="77"/>
        <v>31</v>
      </c>
      <c r="J497">
        <f t="shared" si="73"/>
        <v>1175</v>
      </c>
      <c r="K497">
        <f t="shared" si="74"/>
        <v>942.77419354838707</v>
      </c>
      <c r="L497">
        <f t="shared" si="75"/>
        <v>630.19354838709683</v>
      </c>
      <c r="M497" t="str">
        <f t="shared" si="78"/>
        <v>192022</v>
      </c>
      <c r="N497" t="str">
        <f t="shared" si="79"/>
        <v>19-5-2022</v>
      </c>
    </row>
    <row r="498" spans="1:14" x14ac:dyDescent="0.2">
      <c r="A498" s="1">
        <v>44693</v>
      </c>
      <c r="B498">
        <f>IFERROR(INDEX('planning dogs-n-tiger'!B$1:B$30,MATCH($H498,'planning dogs-n-tiger'!$G$1:$G$42,0)),0)</f>
        <v>36425</v>
      </c>
      <c r="C498">
        <f>IFERROR(INDEX('planning dogs-n-tiger'!C$1:C$30,MATCH($H498,'planning dogs-n-tiger'!$G$1:$G$42,0)),0)</f>
        <v>29226</v>
      </c>
      <c r="D498">
        <f>IFERROR(INDEX('planning dogs-n-tiger'!D$1:D$30,MATCH($H498,'planning dogs-n-tiger'!$G$1:$G$42,0)),0)</f>
        <v>19536</v>
      </c>
      <c r="E498">
        <f t="shared" si="70"/>
        <v>19</v>
      </c>
      <c r="F498">
        <f t="shared" si="71"/>
        <v>5</v>
      </c>
      <c r="G498">
        <f t="shared" si="72"/>
        <v>2022</v>
      </c>
      <c r="H498" t="str">
        <f t="shared" si="76"/>
        <v>52022</v>
      </c>
      <c r="I498">
        <f t="shared" si="77"/>
        <v>31</v>
      </c>
      <c r="J498">
        <f t="shared" si="73"/>
        <v>1175</v>
      </c>
      <c r="K498">
        <f t="shared" si="74"/>
        <v>942.77419354838707</v>
      </c>
      <c r="L498">
        <f t="shared" si="75"/>
        <v>630.19354838709683</v>
      </c>
      <c r="M498" t="str">
        <f t="shared" si="78"/>
        <v>192022</v>
      </c>
      <c r="N498" t="str">
        <f t="shared" si="79"/>
        <v>19-5-2022</v>
      </c>
    </row>
    <row r="499" spans="1:14" x14ac:dyDescent="0.2">
      <c r="A499" s="1">
        <v>44694</v>
      </c>
      <c r="B499">
        <f>IFERROR(INDEX('planning dogs-n-tiger'!B$1:B$30,MATCH($H499,'planning dogs-n-tiger'!$G$1:$G$42,0)),0)</f>
        <v>36425</v>
      </c>
      <c r="C499">
        <f>IFERROR(INDEX('planning dogs-n-tiger'!C$1:C$30,MATCH($H499,'planning dogs-n-tiger'!$G$1:$G$42,0)),0)</f>
        <v>29226</v>
      </c>
      <c r="D499">
        <f>IFERROR(INDEX('planning dogs-n-tiger'!D$1:D$30,MATCH($H499,'planning dogs-n-tiger'!$G$1:$G$42,0)),0)</f>
        <v>19536</v>
      </c>
      <c r="E499">
        <f t="shared" si="70"/>
        <v>19</v>
      </c>
      <c r="F499">
        <f t="shared" si="71"/>
        <v>5</v>
      </c>
      <c r="G499">
        <f t="shared" si="72"/>
        <v>2022</v>
      </c>
      <c r="H499" t="str">
        <f t="shared" si="76"/>
        <v>52022</v>
      </c>
      <c r="I499">
        <f t="shared" si="77"/>
        <v>31</v>
      </c>
      <c r="J499">
        <f t="shared" si="73"/>
        <v>1175</v>
      </c>
      <c r="K499">
        <f t="shared" si="74"/>
        <v>942.77419354838707</v>
      </c>
      <c r="L499">
        <f t="shared" si="75"/>
        <v>630.19354838709683</v>
      </c>
      <c r="M499" t="str">
        <f t="shared" si="78"/>
        <v>192022</v>
      </c>
      <c r="N499" t="str">
        <f t="shared" si="79"/>
        <v>19-5-2022</v>
      </c>
    </row>
    <row r="500" spans="1:14" x14ac:dyDescent="0.2">
      <c r="A500" s="1">
        <v>44695</v>
      </c>
      <c r="B500">
        <f>IFERROR(INDEX('planning dogs-n-tiger'!B$1:B$30,MATCH($H500,'planning dogs-n-tiger'!$G$1:$G$42,0)),0)</f>
        <v>36425</v>
      </c>
      <c r="C500">
        <f>IFERROR(INDEX('planning dogs-n-tiger'!C$1:C$30,MATCH($H500,'planning dogs-n-tiger'!$G$1:$G$42,0)),0)</f>
        <v>29226</v>
      </c>
      <c r="D500">
        <f>IFERROR(INDEX('planning dogs-n-tiger'!D$1:D$30,MATCH($H500,'planning dogs-n-tiger'!$G$1:$G$42,0)),0)</f>
        <v>19536</v>
      </c>
      <c r="E500">
        <f t="shared" si="70"/>
        <v>19</v>
      </c>
      <c r="F500">
        <f t="shared" si="71"/>
        <v>5</v>
      </c>
      <c r="G500">
        <f t="shared" si="72"/>
        <v>2022</v>
      </c>
      <c r="H500" t="str">
        <f t="shared" si="76"/>
        <v>52022</v>
      </c>
      <c r="I500">
        <f t="shared" si="77"/>
        <v>31</v>
      </c>
      <c r="J500">
        <f t="shared" si="73"/>
        <v>1175</v>
      </c>
      <c r="K500">
        <f t="shared" si="74"/>
        <v>942.77419354838707</v>
      </c>
      <c r="L500">
        <f t="shared" si="75"/>
        <v>630.19354838709683</v>
      </c>
      <c r="M500" t="str">
        <f t="shared" si="78"/>
        <v>192022</v>
      </c>
      <c r="N500" t="str">
        <f t="shared" si="79"/>
        <v>19-5-2022</v>
      </c>
    </row>
    <row r="501" spans="1:14" x14ac:dyDescent="0.2">
      <c r="A501" s="1">
        <v>44696</v>
      </c>
      <c r="B501">
        <f>IFERROR(INDEX('planning dogs-n-tiger'!B$1:B$30,MATCH($H501,'planning dogs-n-tiger'!$G$1:$G$42,0)),0)</f>
        <v>36425</v>
      </c>
      <c r="C501">
        <f>IFERROR(INDEX('planning dogs-n-tiger'!C$1:C$30,MATCH($H501,'planning dogs-n-tiger'!$G$1:$G$42,0)),0)</f>
        <v>29226</v>
      </c>
      <c r="D501">
        <f>IFERROR(INDEX('planning dogs-n-tiger'!D$1:D$30,MATCH($H501,'planning dogs-n-tiger'!$G$1:$G$42,0)),0)</f>
        <v>19536</v>
      </c>
      <c r="E501">
        <f t="shared" si="70"/>
        <v>19</v>
      </c>
      <c r="F501">
        <f t="shared" si="71"/>
        <v>5</v>
      </c>
      <c r="G501">
        <f t="shared" si="72"/>
        <v>2022</v>
      </c>
      <c r="H501" t="str">
        <f t="shared" si="76"/>
        <v>52022</v>
      </c>
      <c r="I501">
        <f t="shared" si="77"/>
        <v>31</v>
      </c>
      <c r="J501">
        <f t="shared" si="73"/>
        <v>1175</v>
      </c>
      <c r="K501">
        <f t="shared" si="74"/>
        <v>942.77419354838707</v>
      </c>
      <c r="L501">
        <f t="shared" si="75"/>
        <v>630.19354838709683</v>
      </c>
      <c r="M501" t="str">
        <f t="shared" si="78"/>
        <v>192022</v>
      </c>
      <c r="N501" t="str">
        <f t="shared" si="79"/>
        <v>19-5-2022</v>
      </c>
    </row>
    <row r="502" spans="1:14" x14ac:dyDescent="0.2">
      <c r="A502" s="1">
        <v>44697</v>
      </c>
      <c r="B502">
        <f>IFERROR(INDEX('planning dogs-n-tiger'!B$1:B$30,MATCH($H502,'planning dogs-n-tiger'!$G$1:$G$42,0)),0)</f>
        <v>36425</v>
      </c>
      <c r="C502">
        <f>IFERROR(INDEX('planning dogs-n-tiger'!C$1:C$30,MATCH($H502,'planning dogs-n-tiger'!$G$1:$G$42,0)),0)</f>
        <v>29226</v>
      </c>
      <c r="D502">
        <f>IFERROR(INDEX('planning dogs-n-tiger'!D$1:D$30,MATCH($H502,'planning dogs-n-tiger'!$G$1:$G$42,0)),0)</f>
        <v>19536</v>
      </c>
      <c r="E502">
        <f t="shared" si="70"/>
        <v>20</v>
      </c>
      <c r="F502">
        <f t="shared" si="71"/>
        <v>5</v>
      </c>
      <c r="G502">
        <f t="shared" si="72"/>
        <v>2022</v>
      </c>
      <c r="H502" t="str">
        <f t="shared" si="76"/>
        <v>52022</v>
      </c>
      <c r="I502">
        <f t="shared" si="77"/>
        <v>31</v>
      </c>
      <c r="J502">
        <f t="shared" si="73"/>
        <v>1175</v>
      </c>
      <c r="K502">
        <f t="shared" si="74"/>
        <v>942.77419354838707</v>
      </c>
      <c r="L502">
        <f t="shared" si="75"/>
        <v>630.19354838709683</v>
      </c>
      <c r="M502" t="str">
        <f t="shared" si="78"/>
        <v>202022</v>
      </c>
      <c r="N502" t="str">
        <f t="shared" si="79"/>
        <v>20-5-2022</v>
      </c>
    </row>
    <row r="503" spans="1:14" x14ac:dyDescent="0.2">
      <c r="A503" s="1">
        <v>44698</v>
      </c>
      <c r="B503">
        <f>IFERROR(INDEX('planning dogs-n-tiger'!B$1:B$30,MATCH($H503,'planning dogs-n-tiger'!$G$1:$G$42,0)),0)</f>
        <v>36425</v>
      </c>
      <c r="C503">
        <f>IFERROR(INDEX('planning dogs-n-tiger'!C$1:C$30,MATCH($H503,'planning dogs-n-tiger'!$G$1:$G$42,0)),0)</f>
        <v>29226</v>
      </c>
      <c r="D503">
        <f>IFERROR(INDEX('planning dogs-n-tiger'!D$1:D$30,MATCH($H503,'planning dogs-n-tiger'!$G$1:$G$42,0)),0)</f>
        <v>19536</v>
      </c>
      <c r="E503">
        <f t="shared" si="70"/>
        <v>20</v>
      </c>
      <c r="F503">
        <f t="shared" si="71"/>
        <v>5</v>
      </c>
      <c r="G503">
        <f t="shared" si="72"/>
        <v>2022</v>
      </c>
      <c r="H503" t="str">
        <f t="shared" si="76"/>
        <v>52022</v>
      </c>
      <c r="I503">
        <f t="shared" si="77"/>
        <v>31</v>
      </c>
      <c r="J503">
        <f t="shared" si="73"/>
        <v>1175</v>
      </c>
      <c r="K503">
        <f t="shared" si="74"/>
        <v>942.77419354838707</v>
      </c>
      <c r="L503">
        <f t="shared" si="75"/>
        <v>630.19354838709683</v>
      </c>
      <c r="M503" t="str">
        <f t="shared" si="78"/>
        <v>202022</v>
      </c>
      <c r="N503" t="str">
        <f t="shared" si="79"/>
        <v>20-5-2022</v>
      </c>
    </row>
    <row r="504" spans="1:14" x14ac:dyDescent="0.2">
      <c r="A504" s="1">
        <v>44699</v>
      </c>
      <c r="B504">
        <f>IFERROR(INDEX('planning dogs-n-tiger'!B$1:B$30,MATCH($H504,'planning dogs-n-tiger'!$G$1:$G$42,0)),0)</f>
        <v>36425</v>
      </c>
      <c r="C504">
        <f>IFERROR(INDEX('planning dogs-n-tiger'!C$1:C$30,MATCH($H504,'planning dogs-n-tiger'!$G$1:$G$42,0)),0)</f>
        <v>29226</v>
      </c>
      <c r="D504">
        <f>IFERROR(INDEX('planning dogs-n-tiger'!D$1:D$30,MATCH($H504,'planning dogs-n-tiger'!$G$1:$G$42,0)),0)</f>
        <v>19536</v>
      </c>
      <c r="E504">
        <f t="shared" si="70"/>
        <v>20</v>
      </c>
      <c r="F504">
        <f t="shared" si="71"/>
        <v>5</v>
      </c>
      <c r="G504">
        <f t="shared" si="72"/>
        <v>2022</v>
      </c>
      <c r="H504" t="str">
        <f t="shared" si="76"/>
        <v>52022</v>
      </c>
      <c r="I504">
        <f t="shared" si="77"/>
        <v>31</v>
      </c>
      <c r="J504">
        <f t="shared" si="73"/>
        <v>1175</v>
      </c>
      <c r="K504">
        <f t="shared" si="74"/>
        <v>942.77419354838707</v>
      </c>
      <c r="L504">
        <f t="shared" si="75"/>
        <v>630.19354838709683</v>
      </c>
      <c r="M504" t="str">
        <f t="shared" si="78"/>
        <v>202022</v>
      </c>
      <c r="N504" t="str">
        <f t="shared" si="79"/>
        <v>20-5-2022</v>
      </c>
    </row>
    <row r="505" spans="1:14" x14ac:dyDescent="0.2">
      <c r="A505" s="1">
        <v>44700</v>
      </c>
      <c r="B505">
        <f>IFERROR(INDEX('planning dogs-n-tiger'!B$1:B$30,MATCH($H505,'planning dogs-n-tiger'!$G$1:$G$42,0)),0)</f>
        <v>36425</v>
      </c>
      <c r="C505">
        <f>IFERROR(INDEX('planning dogs-n-tiger'!C$1:C$30,MATCH($H505,'planning dogs-n-tiger'!$G$1:$G$42,0)),0)</f>
        <v>29226</v>
      </c>
      <c r="D505">
        <f>IFERROR(INDEX('planning dogs-n-tiger'!D$1:D$30,MATCH($H505,'planning dogs-n-tiger'!$G$1:$G$42,0)),0)</f>
        <v>19536</v>
      </c>
      <c r="E505">
        <f t="shared" si="70"/>
        <v>20</v>
      </c>
      <c r="F505">
        <f t="shared" si="71"/>
        <v>5</v>
      </c>
      <c r="G505">
        <f t="shared" si="72"/>
        <v>2022</v>
      </c>
      <c r="H505" t="str">
        <f t="shared" si="76"/>
        <v>52022</v>
      </c>
      <c r="I505">
        <f t="shared" si="77"/>
        <v>31</v>
      </c>
      <c r="J505">
        <f t="shared" si="73"/>
        <v>1175</v>
      </c>
      <c r="K505">
        <f t="shared" si="74"/>
        <v>942.77419354838707</v>
      </c>
      <c r="L505">
        <f t="shared" si="75"/>
        <v>630.19354838709683</v>
      </c>
      <c r="M505" t="str">
        <f t="shared" si="78"/>
        <v>202022</v>
      </c>
      <c r="N505" t="str">
        <f t="shared" si="79"/>
        <v>20-5-2022</v>
      </c>
    </row>
    <row r="506" spans="1:14" x14ac:dyDescent="0.2">
      <c r="A506" s="1">
        <v>44701</v>
      </c>
      <c r="B506">
        <f>IFERROR(INDEX('planning dogs-n-tiger'!B$1:B$30,MATCH($H506,'planning dogs-n-tiger'!$G$1:$G$42,0)),0)</f>
        <v>36425</v>
      </c>
      <c r="C506">
        <f>IFERROR(INDEX('planning dogs-n-tiger'!C$1:C$30,MATCH($H506,'planning dogs-n-tiger'!$G$1:$G$42,0)),0)</f>
        <v>29226</v>
      </c>
      <c r="D506">
        <f>IFERROR(INDEX('planning dogs-n-tiger'!D$1:D$30,MATCH($H506,'planning dogs-n-tiger'!$G$1:$G$42,0)),0)</f>
        <v>19536</v>
      </c>
      <c r="E506">
        <f t="shared" si="70"/>
        <v>20</v>
      </c>
      <c r="F506">
        <f t="shared" si="71"/>
        <v>5</v>
      </c>
      <c r="G506">
        <f t="shared" si="72"/>
        <v>2022</v>
      </c>
      <c r="H506" t="str">
        <f t="shared" si="76"/>
        <v>52022</v>
      </c>
      <c r="I506">
        <f t="shared" si="77"/>
        <v>31</v>
      </c>
      <c r="J506">
        <f t="shared" si="73"/>
        <v>1175</v>
      </c>
      <c r="K506">
        <f t="shared" si="74"/>
        <v>942.77419354838707</v>
      </c>
      <c r="L506">
        <f t="shared" si="75"/>
        <v>630.19354838709683</v>
      </c>
      <c r="M506" t="str">
        <f t="shared" si="78"/>
        <v>202022</v>
      </c>
      <c r="N506" t="str">
        <f t="shared" si="79"/>
        <v>20-5-2022</v>
      </c>
    </row>
    <row r="507" spans="1:14" x14ac:dyDescent="0.2">
      <c r="A507" s="1">
        <v>44702</v>
      </c>
      <c r="B507">
        <f>IFERROR(INDEX('planning dogs-n-tiger'!B$1:B$30,MATCH($H507,'planning dogs-n-tiger'!$G$1:$G$42,0)),0)</f>
        <v>36425</v>
      </c>
      <c r="C507">
        <f>IFERROR(INDEX('planning dogs-n-tiger'!C$1:C$30,MATCH($H507,'planning dogs-n-tiger'!$G$1:$G$42,0)),0)</f>
        <v>29226</v>
      </c>
      <c r="D507">
        <f>IFERROR(INDEX('planning dogs-n-tiger'!D$1:D$30,MATCH($H507,'planning dogs-n-tiger'!$G$1:$G$42,0)),0)</f>
        <v>19536</v>
      </c>
      <c r="E507">
        <f t="shared" si="70"/>
        <v>20</v>
      </c>
      <c r="F507">
        <f t="shared" si="71"/>
        <v>5</v>
      </c>
      <c r="G507">
        <f t="shared" si="72"/>
        <v>2022</v>
      </c>
      <c r="H507" t="str">
        <f t="shared" si="76"/>
        <v>52022</v>
      </c>
      <c r="I507">
        <f t="shared" si="77"/>
        <v>31</v>
      </c>
      <c r="J507">
        <f t="shared" si="73"/>
        <v>1175</v>
      </c>
      <c r="K507">
        <f t="shared" si="74"/>
        <v>942.77419354838707</v>
      </c>
      <c r="L507">
        <f t="shared" si="75"/>
        <v>630.19354838709683</v>
      </c>
      <c r="M507" t="str">
        <f t="shared" si="78"/>
        <v>202022</v>
      </c>
      <c r="N507" t="str">
        <f t="shared" si="79"/>
        <v>20-5-2022</v>
      </c>
    </row>
    <row r="508" spans="1:14" x14ac:dyDescent="0.2">
      <c r="A508" s="1">
        <v>44703</v>
      </c>
      <c r="B508">
        <f>IFERROR(INDEX('planning dogs-n-tiger'!B$1:B$30,MATCH($H508,'planning dogs-n-tiger'!$G$1:$G$42,0)),0)</f>
        <v>36425</v>
      </c>
      <c r="C508">
        <f>IFERROR(INDEX('planning dogs-n-tiger'!C$1:C$30,MATCH($H508,'planning dogs-n-tiger'!$G$1:$G$42,0)),0)</f>
        <v>29226</v>
      </c>
      <c r="D508">
        <f>IFERROR(INDEX('planning dogs-n-tiger'!D$1:D$30,MATCH($H508,'planning dogs-n-tiger'!$G$1:$G$42,0)),0)</f>
        <v>19536</v>
      </c>
      <c r="E508">
        <f t="shared" si="70"/>
        <v>20</v>
      </c>
      <c r="F508">
        <f t="shared" si="71"/>
        <v>5</v>
      </c>
      <c r="G508">
        <f t="shared" si="72"/>
        <v>2022</v>
      </c>
      <c r="H508" t="str">
        <f t="shared" si="76"/>
        <v>52022</v>
      </c>
      <c r="I508">
        <f t="shared" si="77"/>
        <v>31</v>
      </c>
      <c r="J508">
        <f t="shared" si="73"/>
        <v>1175</v>
      </c>
      <c r="K508">
        <f t="shared" si="74"/>
        <v>942.77419354838707</v>
      </c>
      <c r="L508">
        <f t="shared" si="75"/>
        <v>630.19354838709683</v>
      </c>
      <c r="M508" t="str">
        <f t="shared" si="78"/>
        <v>202022</v>
      </c>
      <c r="N508" t="str">
        <f t="shared" si="79"/>
        <v>20-5-2022</v>
      </c>
    </row>
    <row r="509" spans="1:14" x14ac:dyDescent="0.2">
      <c r="A509" s="1">
        <v>44704</v>
      </c>
      <c r="B509">
        <f>IFERROR(INDEX('planning dogs-n-tiger'!B$1:B$30,MATCH($H509,'planning dogs-n-tiger'!$G$1:$G$42,0)),0)</f>
        <v>36425</v>
      </c>
      <c r="C509">
        <f>IFERROR(INDEX('planning dogs-n-tiger'!C$1:C$30,MATCH($H509,'planning dogs-n-tiger'!$G$1:$G$42,0)),0)</f>
        <v>29226</v>
      </c>
      <c r="D509">
        <f>IFERROR(INDEX('planning dogs-n-tiger'!D$1:D$30,MATCH($H509,'planning dogs-n-tiger'!$G$1:$G$42,0)),0)</f>
        <v>19536</v>
      </c>
      <c r="E509">
        <f t="shared" si="70"/>
        <v>21</v>
      </c>
      <c r="F509">
        <f t="shared" si="71"/>
        <v>5</v>
      </c>
      <c r="G509">
        <f t="shared" si="72"/>
        <v>2022</v>
      </c>
      <c r="H509" t="str">
        <f t="shared" si="76"/>
        <v>52022</v>
      </c>
      <c r="I509">
        <f t="shared" si="77"/>
        <v>31</v>
      </c>
      <c r="J509">
        <f t="shared" si="73"/>
        <v>1175</v>
      </c>
      <c r="K509">
        <f t="shared" si="74"/>
        <v>942.77419354838707</v>
      </c>
      <c r="L509">
        <f t="shared" si="75"/>
        <v>630.19354838709683</v>
      </c>
      <c r="M509" t="str">
        <f t="shared" si="78"/>
        <v>212022</v>
      </c>
      <c r="N509" t="str">
        <f t="shared" si="79"/>
        <v>21-5-2022</v>
      </c>
    </row>
    <row r="510" spans="1:14" x14ac:dyDescent="0.2">
      <c r="A510" s="1">
        <v>44705</v>
      </c>
      <c r="B510">
        <f>IFERROR(INDEX('planning dogs-n-tiger'!B$1:B$30,MATCH($H510,'planning dogs-n-tiger'!$G$1:$G$42,0)),0)</f>
        <v>36425</v>
      </c>
      <c r="C510">
        <f>IFERROR(INDEX('planning dogs-n-tiger'!C$1:C$30,MATCH($H510,'planning dogs-n-tiger'!$G$1:$G$42,0)),0)</f>
        <v>29226</v>
      </c>
      <c r="D510">
        <f>IFERROR(INDEX('planning dogs-n-tiger'!D$1:D$30,MATCH($H510,'planning dogs-n-tiger'!$G$1:$G$42,0)),0)</f>
        <v>19536</v>
      </c>
      <c r="E510">
        <f t="shared" si="70"/>
        <v>21</v>
      </c>
      <c r="F510">
        <f t="shared" si="71"/>
        <v>5</v>
      </c>
      <c r="G510">
        <f t="shared" si="72"/>
        <v>2022</v>
      </c>
      <c r="H510" t="str">
        <f t="shared" si="76"/>
        <v>52022</v>
      </c>
      <c r="I510">
        <f t="shared" si="77"/>
        <v>31</v>
      </c>
      <c r="J510">
        <f t="shared" si="73"/>
        <v>1175</v>
      </c>
      <c r="K510">
        <f t="shared" si="74"/>
        <v>942.77419354838707</v>
      </c>
      <c r="L510">
        <f t="shared" si="75"/>
        <v>630.19354838709683</v>
      </c>
      <c r="M510" t="str">
        <f t="shared" si="78"/>
        <v>212022</v>
      </c>
      <c r="N510" t="str">
        <f t="shared" si="79"/>
        <v>21-5-2022</v>
      </c>
    </row>
    <row r="511" spans="1:14" x14ac:dyDescent="0.2">
      <c r="A511" s="1">
        <v>44706</v>
      </c>
      <c r="B511">
        <f>IFERROR(INDEX('planning dogs-n-tiger'!B$1:B$30,MATCH($H511,'planning dogs-n-tiger'!$G$1:$G$42,0)),0)</f>
        <v>36425</v>
      </c>
      <c r="C511">
        <f>IFERROR(INDEX('planning dogs-n-tiger'!C$1:C$30,MATCH($H511,'planning dogs-n-tiger'!$G$1:$G$42,0)),0)</f>
        <v>29226</v>
      </c>
      <c r="D511">
        <f>IFERROR(INDEX('planning dogs-n-tiger'!D$1:D$30,MATCH($H511,'planning dogs-n-tiger'!$G$1:$G$42,0)),0)</f>
        <v>19536</v>
      </c>
      <c r="E511">
        <f t="shared" si="70"/>
        <v>21</v>
      </c>
      <c r="F511">
        <f t="shared" si="71"/>
        <v>5</v>
      </c>
      <c r="G511">
        <f t="shared" si="72"/>
        <v>2022</v>
      </c>
      <c r="H511" t="str">
        <f t="shared" si="76"/>
        <v>52022</v>
      </c>
      <c r="I511">
        <f t="shared" si="77"/>
        <v>31</v>
      </c>
      <c r="J511">
        <f t="shared" si="73"/>
        <v>1175</v>
      </c>
      <c r="K511">
        <f t="shared" si="74"/>
        <v>942.77419354838707</v>
      </c>
      <c r="L511">
        <f t="shared" si="75"/>
        <v>630.19354838709683</v>
      </c>
      <c r="M511" t="str">
        <f t="shared" si="78"/>
        <v>212022</v>
      </c>
      <c r="N511" t="str">
        <f t="shared" si="79"/>
        <v>21-5-2022</v>
      </c>
    </row>
    <row r="512" spans="1:14" x14ac:dyDescent="0.2">
      <c r="A512" s="1">
        <v>44707</v>
      </c>
      <c r="B512">
        <f>IFERROR(INDEX('planning dogs-n-tiger'!B$1:B$30,MATCH($H512,'planning dogs-n-tiger'!$G$1:$G$42,0)),0)</f>
        <v>36425</v>
      </c>
      <c r="C512">
        <f>IFERROR(INDEX('planning dogs-n-tiger'!C$1:C$30,MATCH($H512,'planning dogs-n-tiger'!$G$1:$G$42,0)),0)</f>
        <v>29226</v>
      </c>
      <c r="D512">
        <f>IFERROR(INDEX('planning dogs-n-tiger'!D$1:D$30,MATCH($H512,'planning dogs-n-tiger'!$G$1:$G$42,0)),0)</f>
        <v>19536</v>
      </c>
      <c r="E512">
        <f t="shared" si="70"/>
        <v>21</v>
      </c>
      <c r="F512">
        <f t="shared" si="71"/>
        <v>5</v>
      </c>
      <c r="G512">
        <f t="shared" si="72"/>
        <v>2022</v>
      </c>
      <c r="H512" t="str">
        <f t="shared" si="76"/>
        <v>52022</v>
      </c>
      <c r="I512">
        <f t="shared" si="77"/>
        <v>31</v>
      </c>
      <c r="J512">
        <f t="shared" si="73"/>
        <v>1175</v>
      </c>
      <c r="K512">
        <f t="shared" si="74"/>
        <v>942.77419354838707</v>
      </c>
      <c r="L512">
        <f t="shared" si="75"/>
        <v>630.19354838709683</v>
      </c>
      <c r="M512" t="str">
        <f t="shared" si="78"/>
        <v>212022</v>
      </c>
      <c r="N512" t="str">
        <f t="shared" si="79"/>
        <v>21-5-2022</v>
      </c>
    </row>
    <row r="513" spans="1:14" x14ac:dyDescent="0.2">
      <c r="A513" s="1">
        <v>44708</v>
      </c>
      <c r="B513">
        <f>IFERROR(INDEX('planning dogs-n-tiger'!B$1:B$30,MATCH($H513,'planning dogs-n-tiger'!$G$1:$G$42,0)),0)</f>
        <v>36425</v>
      </c>
      <c r="C513">
        <f>IFERROR(INDEX('planning dogs-n-tiger'!C$1:C$30,MATCH($H513,'planning dogs-n-tiger'!$G$1:$G$42,0)),0)</f>
        <v>29226</v>
      </c>
      <c r="D513">
        <f>IFERROR(INDEX('planning dogs-n-tiger'!D$1:D$30,MATCH($H513,'planning dogs-n-tiger'!$G$1:$G$42,0)),0)</f>
        <v>19536</v>
      </c>
      <c r="E513">
        <f t="shared" si="70"/>
        <v>21</v>
      </c>
      <c r="F513">
        <f t="shared" si="71"/>
        <v>5</v>
      </c>
      <c r="G513">
        <f t="shared" si="72"/>
        <v>2022</v>
      </c>
      <c r="H513" t="str">
        <f t="shared" si="76"/>
        <v>52022</v>
      </c>
      <c r="I513">
        <f t="shared" si="77"/>
        <v>31</v>
      </c>
      <c r="J513">
        <f t="shared" si="73"/>
        <v>1175</v>
      </c>
      <c r="K513">
        <f t="shared" si="74"/>
        <v>942.77419354838707</v>
      </c>
      <c r="L513">
        <f t="shared" si="75"/>
        <v>630.19354838709683</v>
      </c>
      <c r="M513" t="str">
        <f t="shared" si="78"/>
        <v>212022</v>
      </c>
      <c r="N513" t="str">
        <f t="shared" si="79"/>
        <v>21-5-2022</v>
      </c>
    </row>
    <row r="514" spans="1:14" x14ac:dyDescent="0.2">
      <c r="A514" s="1">
        <v>44709</v>
      </c>
      <c r="B514">
        <f>IFERROR(INDEX('planning dogs-n-tiger'!B$1:B$30,MATCH($H514,'planning dogs-n-tiger'!$G$1:$G$42,0)),0)</f>
        <v>36425</v>
      </c>
      <c r="C514">
        <f>IFERROR(INDEX('planning dogs-n-tiger'!C$1:C$30,MATCH($H514,'planning dogs-n-tiger'!$G$1:$G$42,0)),0)</f>
        <v>29226</v>
      </c>
      <c r="D514">
        <f>IFERROR(INDEX('planning dogs-n-tiger'!D$1:D$30,MATCH($H514,'planning dogs-n-tiger'!$G$1:$G$42,0)),0)</f>
        <v>19536</v>
      </c>
      <c r="E514">
        <f t="shared" ref="E514:E577" si="80">_xlfn.ISOWEEKNUM(A514)</f>
        <v>21</v>
      </c>
      <c r="F514">
        <f t="shared" ref="F514:F577" si="81">MONTH(A514)</f>
        <v>5</v>
      </c>
      <c r="G514">
        <f t="shared" ref="G514:G577" si="82">YEAR(A514)</f>
        <v>2022</v>
      </c>
      <c r="H514" t="str">
        <f t="shared" si="76"/>
        <v>52022</v>
      </c>
      <c r="I514">
        <f t="shared" si="77"/>
        <v>31</v>
      </c>
      <c r="J514">
        <f t="shared" ref="J514:J577" si="83">B514/$I514</f>
        <v>1175</v>
      </c>
      <c r="K514">
        <f t="shared" ref="K514:K577" si="84">C514/$I514</f>
        <v>942.77419354838707</v>
      </c>
      <c r="L514">
        <f t="shared" ref="L514:L577" si="85">D514/$I514</f>
        <v>630.19354838709683</v>
      </c>
      <c r="M514" t="str">
        <f t="shared" si="78"/>
        <v>212022</v>
      </c>
      <c r="N514" t="str">
        <f t="shared" si="79"/>
        <v>21-5-2022</v>
      </c>
    </row>
    <row r="515" spans="1:14" x14ac:dyDescent="0.2">
      <c r="A515" s="1">
        <v>44710</v>
      </c>
      <c r="B515">
        <f>IFERROR(INDEX('planning dogs-n-tiger'!B$1:B$30,MATCH($H515,'planning dogs-n-tiger'!$G$1:$G$42,0)),0)</f>
        <v>36425</v>
      </c>
      <c r="C515">
        <f>IFERROR(INDEX('planning dogs-n-tiger'!C$1:C$30,MATCH($H515,'planning dogs-n-tiger'!$G$1:$G$42,0)),0)</f>
        <v>29226</v>
      </c>
      <c r="D515">
        <f>IFERROR(INDEX('planning dogs-n-tiger'!D$1:D$30,MATCH($H515,'planning dogs-n-tiger'!$G$1:$G$42,0)),0)</f>
        <v>19536</v>
      </c>
      <c r="E515">
        <f t="shared" si="80"/>
        <v>21</v>
      </c>
      <c r="F515">
        <f t="shared" si="81"/>
        <v>5</v>
      </c>
      <c r="G515">
        <f t="shared" si="82"/>
        <v>2022</v>
      </c>
      <c r="H515" t="str">
        <f t="shared" ref="H515:H578" si="86">F515&amp;G515</f>
        <v>52022</v>
      </c>
      <c r="I515">
        <f t="shared" ref="I515:I578" si="87">DAY(EOMONTH(DATE(G515,F515,0),1))</f>
        <v>31</v>
      </c>
      <c r="J515">
        <f t="shared" si="83"/>
        <v>1175</v>
      </c>
      <c r="K515">
        <f t="shared" si="84"/>
        <v>942.77419354838707</v>
      </c>
      <c r="L515">
        <f t="shared" si="85"/>
        <v>630.19354838709683</v>
      </c>
      <c r="M515" t="str">
        <f t="shared" ref="M515:M578" si="88">E515&amp;G515</f>
        <v>212022</v>
      </c>
      <c r="N515" t="str">
        <f t="shared" ref="N515:N578" si="89">E515&amp;"-"&amp;F515&amp;"-"&amp;G515</f>
        <v>21-5-2022</v>
      </c>
    </row>
    <row r="516" spans="1:14" x14ac:dyDescent="0.2">
      <c r="A516" s="1">
        <v>44711</v>
      </c>
      <c r="B516">
        <f>IFERROR(INDEX('planning dogs-n-tiger'!B$1:B$30,MATCH($H516,'planning dogs-n-tiger'!$G$1:$G$42,0)),0)</f>
        <v>36425</v>
      </c>
      <c r="C516">
        <f>IFERROR(INDEX('planning dogs-n-tiger'!C$1:C$30,MATCH($H516,'planning dogs-n-tiger'!$G$1:$G$42,0)),0)</f>
        <v>29226</v>
      </c>
      <c r="D516">
        <f>IFERROR(INDEX('planning dogs-n-tiger'!D$1:D$30,MATCH($H516,'planning dogs-n-tiger'!$G$1:$G$42,0)),0)</f>
        <v>19536</v>
      </c>
      <c r="E516">
        <f t="shared" si="80"/>
        <v>22</v>
      </c>
      <c r="F516">
        <f t="shared" si="81"/>
        <v>5</v>
      </c>
      <c r="G516">
        <f t="shared" si="82"/>
        <v>2022</v>
      </c>
      <c r="H516" t="str">
        <f t="shared" si="86"/>
        <v>52022</v>
      </c>
      <c r="I516">
        <f t="shared" si="87"/>
        <v>31</v>
      </c>
      <c r="J516">
        <f t="shared" si="83"/>
        <v>1175</v>
      </c>
      <c r="K516">
        <f t="shared" si="84"/>
        <v>942.77419354838707</v>
      </c>
      <c r="L516">
        <f t="shared" si="85"/>
        <v>630.19354838709683</v>
      </c>
      <c r="M516" t="str">
        <f t="shared" si="88"/>
        <v>222022</v>
      </c>
      <c r="N516" t="str">
        <f t="shared" si="89"/>
        <v>22-5-2022</v>
      </c>
    </row>
    <row r="517" spans="1:14" x14ac:dyDescent="0.2">
      <c r="A517" s="1">
        <v>44712</v>
      </c>
      <c r="B517">
        <f>IFERROR(INDEX('planning dogs-n-tiger'!B$1:B$30,MATCH($H517,'planning dogs-n-tiger'!$G$1:$G$42,0)),0)</f>
        <v>36425</v>
      </c>
      <c r="C517">
        <f>IFERROR(INDEX('planning dogs-n-tiger'!C$1:C$30,MATCH($H517,'planning dogs-n-tiger'!$G$1:$G$42,0)),0)</f>
        <v>29226</v>
      </c>
      <c r="D517">
        <f>IFERROR(INDEX('planning dogs-n-tiger'!D$1:D$30,MATCH($H517,'planning dogs-n-tiger'!$G$1:$G$42,0)),0)</f>
        <v>19536</v>
      </c>
      <c r="E517">
        <f t="shared" si="80"/>
        <v>22</v>
      </c>
      <c r="F517">
        <f t="shared" si="81"/>
        <v>5</v>
      </c>
      <c r="G517">
        <f t="shared" si="82"/>
        <v>2022</v>
      </c>
      <c r="H517" t="str">
        <f t="shared" si="86"/>
        <v>52022</v>
      </c>
      <c r="I517">
        <f t="shared" si="87"/>
        <v>31</v>
      </c>
      <c r="J517">
        <f t="shared" si="83"/>
        <v>1175</v>
      </c>
      <c r="K517">
        <f t="shared" si="84"/>
        <v>942.77419354838707</v>
      </c>
      <c r="L517">
        <f t="shared" si="85"/>
        <v>630.19354838709683</v>
      </c>
      <c r="M517" t="str">
        <f t="shared" si="88"/>
        <v>222022</v>
      </c>
      <c r="N517" t="str">
        <f t="shared" si="89"/>
        <v>22-5-2022</v>
      </c>
    </row>
    <row r="518" spans="1:14" x14ac:dyDescent="0.2">
      <c r="A518" s="1">
        <v>44713</v>
      </c>
      <c r="B518">
        <f>IFERROR(INDEX('planning dogs-n-tiger'!B$1:B$30,MATCH($H518,'planning dogs-n-tiger'!$G$1:$G$42,0)),0)</f>
        <v>40310</v>
      </c>
      <c r="C518">
        <f>IFERROR(INDEX('planning dogs-n-tiger'!C$1:C$30,MATCH($H518,'planning dogs-n-tiger'!$G$1:$G$42,0)),0)</f>
        <v>20652.349999999999</v>
      </c>
      <c r="D518">
        <f>IFERROR(INDEX('planning dogs-n-tiger'!D$1:D$30,MATCH($H518,'planning dogs-n-tiger'!$G$1:$G$42,0)),0)</f>
        <v>22461.919999999998</v>
      </c>
      <c r="E518">
        <f t="shared" si="80"/>
        <v>22</v>
      </c>
      <c r="F518">
        <f t="shared" si="81"/>
        <v>6</v>
      </c>
      <c r="G518">
        <f t="shared" si="82"/>
        <v>2022</v>
      </c>
      <c r="H518" t="str">
        <f t="shared" si="86"/>
        <v>62022</v>
      </c>
      <c r="I518">
        <f t="shared" si="87"/>
        <v>30</v>
      </c>
      <c r="J518">
        <f t="shared" si="83"/>
        <v>1343.6666666666667</v>
      </c>
      <c r="K518">
        <f t="shared" si="84"/>
        <v>688.41166666666663</v>
      </c>
      <c r="L518">
        <f t="shared" si="85"/>
        <v>748.73066666666659</v>
      </c>
      <c r="M518" t="str">
        <f t="shared" si="88"/>
        <v>222022</v>
      </c>
      <c r="N518" t="str">
        <f t="shared" si="89"/>
        <v>22-6-2022</v>
      </c>
    </row>
    <row r="519" spans="1:14" x14ac:dyDescent="0.2">
      <c r="A519" s="1">
        <v>44714</v>
      </c>
      <c r="B519">
        <f>IFERROR(INDEX('planning dogs-n-tiger'!B$1:B$30,MATCH($H519,'planning dogs-n-tiger'!$G$1:$G$42,0)),0)</f>
        <v>40310</v>
      </c>
      <c r="C519">
        <f>IFERROR(INDEX('planning dogs-n-tiger'!C$1:C$30,MATCH($H519,'planning dogs-n-tiger'!$G$1:$G$42,0)),0)</f>
        <v>20652.349999999999</v>
      </c>
      <c r="D519">
        <f>IFERROR(INDEX('planning dogs-n-tiger'!D$1:D$30,MATCH($H519,'planning dogs-n-tiger'!$G$1:$G$42,0)),0)</f>
        <v>22461.919999999998</v>
      </c>
      <c r="E519">
        <f t="shared" si="80"/>
        <v>22</v>
      </c>
      <c r="F519">
        <f t="shared" si="81"/>
        <v>6</v>
      </c>
      <c r="G519">
        <f t="shared" si="82"/>
        <v>2022</v>
      </c>
      <c r="H519" t="str">
        <f t="shared" si="86"/>
        <v>62022</v>
      </c>
      <c r="I519">
        <f t="shared" si="87"/>
        <v>30</v>
      </c>
      <c r="J519">
        <f t="shared" si="83"/>
        <v>1343.6666666666667</v>
      </c>
      <c r="K519">
        <f t="shared" si="84"/>
        <v>688.41166666666663</v>
      </c>
      <c r="L519">
        <f t="shared" si="85"/>
        <v>748.73066666666659</v>
      </c>
      <c r="M519" t="str">
        <f t="shared" si="88"/>
        <v>222022</v>
      </c>
      <c r="N519" t="str">
        <f t="shared" si="89"/>
        <v>22-6-2022</v>
      </c>
    </row>
    <row r="520" spans="1:14" x14ac:dyDescent="0.2">
      <c r="A520" s="1">
        <v>44715</v>
      </c>
      <c r="B520">
        <f>IFERROR(INDEX('planning dogs-n-tiger'!B$1:B$30,MATCH($H520,'planning dogs-n-tiger'!$G$1:$G$42,0)),0)</f>
        <v>40310</v>
      </c>
      <c r="C520">
        <f>IFERROR(INDEX('planning dogs-n-tiger'!C$1:C$30,MATCH($H520,'planning dogs-n-tiger'!$G$1:$G$42,0)),0)</f>
        <v>20652.349999999999</v>
      </c>
      <c r="D520">
        <f>IFERROR(INDEX('planning dogs-n-tiger'!D$1:D$30,MATCH($H520,'planning dogs-n-tiger'!$G$1:$G$42,0)),0)</f>
        <v>22461.919999999998</v>
      </c>
      <c r="E520">
        <f t="shared" si="80"/>
        <v>22</v>
      </c>
      <c r="F520">
        <f t="shared" si="81"/>
        <v>6</v>
      </c>
      <c r="G520">
        <f t="shared" si="82"/>
        <v>2022</v>
      </c>
      <c r="H520" t="str">
        <f t="shared" si="86"/>
        <v>62022</v>
      </c>
      <c r="I520">
        <f t="shared" si="87"/>
        <v>30</v>
      </c>
      <c r="J520">
        <f t="shared" si="83"/>
        <v>1343.6666666666667</v>
      </c>
      <c r="K520">
        <f t="shared" si="84"/>
        <v>688.41166666666663</v>
      </c>
      <c r="L520">
        <f t="shared" si="85"/>
        <v>748.73066666666659</v>
      </c>
      <c r="M520" t="str">
        <f t="shared" si="88"/>
        <v>222022</v>
      </c>
      <c r="N520" t="str">
        <f t="shared" si="89"/>
        <v>22-6-2022</v>
      </c>
    </row>
    <row r="521" spans="1:14" x14ac:dyDescent="0.2">
      <c r="A521" s="1">
        <v>44716</v>
      </c>
      <c r="B521">
        <f>IFERROR(INDEX('planning dogs-n-tiger'!B$1:B$30,MATCH($H521,'planning dogs-n-tiger'!$G$1:$G$42,0)),0)</f>
        <v>40310</v>
      </c>
      <c r="C521">
        <f>IFERROR(INDEX('planning dogs-n-tiger'!C$1:C$30,MATCH($H521,'planning dogs-n-tiger'!$G$1:$G$42,0)),0)</f>
        <v>20652.349999999999</v>
      </c>
      <c r="D521">
        <f>IFERROR(INDEX('planning dogs-n-tiger'!D$1:D$30,MATCH($H521,'planning dogs-n-tiger'!$G$1:$G$42,0)),0)</f>
        <v>22461.919999999998</v>
      </c>
      <c r="E521">
        <f t="shared" si="80"/>
        <v>22</v>
      </c>
      <c r="F521">
        <f t="shared" si="81"/>
        <v>6</v>
      </c>
      <c r="G521">
        <f t="shared" si="82"/>
        <v>2022</v>
      </c>
      <c r="H521" t="str">
        <f t="shared" si="86"/>
        <v>62022</v>
      </c>
      <c r="I521">
        <f t="shared" si="87"/>
        <v>30</v>
      </c>
      <c r="J521">
        <f t="shared" si="83"/>
        <v>1343.6666666666667</v>
      </c>
      <c r="K521">
        <f t="shared" si="84"/>
        <v>688.41166666666663</v>
      </c>
      <c r="L521">
        <f t="shared" si="85"/>
        <v>748.73066666666659</v>
      </c>
      <c r="M521" t="str">
        <f t="shared" si="88"/>
        <v>222022</v>
      </c>
      <c r="N521" t="str">
        <f t="shared" si="89"/>
        <v>22-6-2022</v>
      </c>
    </row>
    <row r="522" spans="1:14" x14ac:dyDescent="0.2">
      <c r="A522" s="1">
        <v>44717</v>
      </c>
      <c r="B522">
        <f>IFERROR(INDEX('planning dogs-n-tiger'!B$1:B$30,MATCH($H522,'planning dogs-n-tiger'!$G$1:$G$42,0)),0)</f>
        <v>40310</v>
      </c>
      <c r="C522">
        <f>IFERROR(INDEX('planning dogs-n-tiger'!C$1:C$30,MATCH($H522,'planning dogs-n-tiger'!$G$1:$G$42,0)),0)</f>
        <v>20652.349999999999</v>
      </c>
      <c r="D522">
        <f>IFERROR(INDEX('planning dogs-n-tiger'!D$1:D$30,MATCH($H522,'planning dogs-n-tiger'!$G$1:$G$42,0)),0)</f>
        <v>22461.919999999998</v>
      </c>
      <c r="E522">
        <f t="shared" si="80"/>
        <v>22</v>
      </c>
      <c r="F522">
        <f t="shared" si="81"/>
        <v>6</v>
      </c>
      <c r="G522">
        <f t="shared" si="82"/>
        <v>2022</v>
      </c>
      <c r="H522" t="str">
        <f t="shared" si="86"/>
        <v>62022</v>
      </c>
      <c r="I522">
        <f t="shared" si="87"/>
        <v>30</v>
      </c>
      <c r="J522">
        <f t="shared" si="83"/>
        <v>1343.6666666666667</v>
      </c>
      <c r="K522">
        <f t="shared" si="84"/>
        <v>688.41166666666663</v>
      </c>
      <c r="L522">
        <f t="shared" si="85"/>
        <v>748.73066666666659</v>
      </c>
      <c r="M522" t="str">
        <f t="shared" si="88"/>
        <v>222022</v>
      </c>
      <c r="N522" t="str">
        <f t="shared" si="89"/>
        <v>22-6-2022</v>
      </c>
    </row>
    <row r="523" spans="1:14" x14ac:dyDescent="0.2">
      <c r="A523" s="1">
        <v>44718</v>
      </c>
      <c r="B523">
        <f>IFERROR(INDEX('planning dogs-n-tiger'!B$1:B$30,MATCH($H523,'planning dogs-n-tiger'!$G$1:$G$42,0)),0)</f>
        <v>40310</v>
      </c>
      <c r="C523">
        <f>IFERROR(INDEX('planning dogs-n-tiger'!C$1:C$30,MATCH($H523,'planning dogs-n-tiger'!$G$1:$G$42,0)),0)</f>
        <v>20652.349999999999</v>
      </c>
      <c r="D523">
        <f>IFERROR(INDEX('planning dogs-n-tiger'!D$1:D$30,MATCH($H523,'planning dogs-n-tiger'!$G$1:$G$42,0)),0)</f>
        <v>22461.919999999998</v>
      </c>
      <c r="E523">
        <f t="shared" si="80"/>
        <v>23</v>
      </c>
      <c r="F523">
        <f t="shared" si="81"/>
        <v>6</v>
      </c>
      <c r="G523">
        <f t="shared" si="82"/>
        <v>2022</v>
      </c>
      <c r="H523" t="str">
        <f t="shared" si="86"/>
        <v>62022</v>
      </c>
      <c r="I523">
        <f t="shared" si="87"/>
        <v>30</v>
      </c>
      <c r="J523">
        <f t="shared" si="83"/>
        <v>1343.6666666666667</v>
      </c>
      <c r="K523">
        <f t="shared" si="84"/>
        <v>688.41166666666663</v>
      </c>
      <c r="L523">
        <f t="shared" si="85"/>
        <v>748.73066666666659</v>
      </c>
      <c r="M523" t="str">
        <f t="shared" si="88"/>
        <v>232022</v>
      </c>
      <c r="N523" t="str">
        <f t="shared" si="89"/>
        <v>23-6-2022</v>
      </c>
    </row>
    <row r="524" spans="1:14" x14ac:dyDescent="0.2">
      <c r="A524" s="1">
        <v>44719</v>
      </c>
      <c r="B524">
        <f>IFERROR(INDEX('planning dogs-n-tiger'!B$1:B$30,MATCH($H524,'planning dogs-n-tiger'!$G$1:$G$42,0)),0)</f>
        <v>40310</v>
      </c>
      <c r="C524">
        <f>IFERROR(INDEX('planning dogs-n-tiger'!C$1:C$30,MATCH($H524,'planning dogs-n-tiger'!$G$1:$G$42,0)),0)</f>
        <v>20652.349999999999</v>
      </c>
      <c r="D524">
        <f>IFERROR(INDEX('planning dogs-n-tiger'!D$1:D$30,MATCH($H524,'planning dogs-n-tiger'!$G$1:$G$42,0)),0)</f>
        <v>22461.919999999998</v>
      </c>
      <c r="E524">
        <f t="shared" si="80"/>
        <v>23</v>
      </c>
      <c r="F524">
        <f t="shared" si="81"/>
        <v>6</v>
      </c>
      <c r="G524">
        <f t="shared" si="82"/>
        <v>2022</v>
      </c>
      <c r="H524" t="str">
        <f t="shared" si="86"/>
        <v>62022</v>
      </c>
      <c r="I524">
        <f t="shared" si="87"/>
        <v>30</v>
      </c>
      <c r="J524">
        <f t="shared" si="83"/>
        <v>1343.6666666666667</v>
      </c>
      <c r="K524">
        <f t="shared" si="84"/>
        <v>688.41166666666663</v>
      </c>
      <c r="L524">
        <f t="shared" si="85"/>
        <v>748.73066666666659</v>
      </c>
      <c r="M524" t="str">
        <f t="shared" si="88"/>
        <v>232022</v>
      </c>
      <c r="N524" t="str">
        <f t="shared" si="89"/>
        <v>23-6-2022</v>
      </c>
    </row>
    <row r="525" spans="1:14" x14ac:dyDescent="0.2">
      <c r="A525" s="1">
        <v>44720</v>
      </c>
      <c r="B525">
        <f>IFERROR(INDEX('planning dogs-n-tiger'!B$1:B$30,MATCH($H525,'planning dogs-n-tiger'!$G$1:$G$42,0)),0)</f>
        <v>40310</v>
      </c>
      <c r="C525">
        <f>IFERROR(INDEX('planning dogs-n-tiger'!C$1:C$30,MATCH($H525,'planning dogs-n-tiger'!$G$1:$G$42,0)),0)</f>
        <v>20652.349999999999</v>
      </c>
      <c r="D525">
        <f>IFERROR(INDEX('planning dogs-n-tiger'!D$1:D$30,MATCH($H525,'planning dogs-n-tiger'!$G$1:$G$42,0)),0)</f>
        <v>22461.919999999998</v>
      </c>
      <c r="E525">
        <f t="shared" si="80"/>
        <v>23</v>
      </c>
      <c r="F525">
        <f t="shared" si="81"/>
        <v>6</v>
      </c>
      <c r="G525">
        <f t="shared" si="82"/>
        <v>2022</v>
      </c>
      <c r="H525" t="str">
        <f t="shared" si="86"/>
        <v>62022</v>
      </c>
      <c r="I525">
        <f t="shared" si="87"/>
        <v>30</v>
      </c>
      <c r="J525">
        <f t="shared" si="83"/>
        <v>1343.6666666666667</v>
      </c>
      <c r="K525">
        <f t="shared" si="84"/>
        <v>688.41166666666663</v>
      </c>
      <c r="L525">
        <f t="shared" si="85"/>
        <v>748.73066666666659</v>
      </c>
      <c r="M525" t="str">
        <f t="shared" si="88"/>
        <v>232022</v>
      </c>
      <c r="N525" t="str">
        <f t="shared" si="89"/>
        <v>23-6-2022</v>
      </c>
    </row>
    <row r="526" spans="1:14" x14ac:dyDescent="0.2">
      <c r="A526" s="1">
        <v>44721</v>
      </c>
      <c r="B526">
        <f>IFERROR(INDEX('planning dogs-n-tiger'!B$1:B$30,MATCH($H526,'planning dogs-n-tiger'!$G$1:$G$42,0)),0)</f>
        <v>40310</v>
      </c>
      <c r="C526">
        <f>IFERROR(INDEX('planning dogs-n-tiger'!C$1:C$30,MATCH($H526,'planning dogs-n-tiger'!$G$1:$G$42,0)),0)</f>
        <v>20652.349999999999</v>
      </c>
      <c r="D526">
        <f>IFERROR(INDEX('planning dogs-n-tiger'!D$1:D$30,MATCH($H526,'planning dogs-n-tiger'!$G$1:$G$42,0)),0)</f>
        <v>22461.919999999998</v>
      </c>
      <c r="E526">
        <f t="shared" si="80"/>
        <v>23</v>
      </c>
      <c r="F526">
        <f t="shared" si="81"/>
        <v>6</v>
      </c>
      <c r="G526">
        <f t="shared" si="82"/>
        <v>2022</v>
      </c>
      <c r="H526" t="str">
        <f t="shared" si="86"/>
        <v>62022</v>
      </c>
      <c r="I526">
        <f t="shared" si="87"/>
        <v>30</v>
      </c>
      <c r="J526">
        <f t="shared" si="83"/>
        <v>1343.6666666666667</v>
      </c>
      <c r="K526">
        <f t="shared" si="84"/>
        <v>688.41166666666663</v>
      </c>
      <c r="L526">
        <f t="shared" si="85"/>
        <v>748.73066666666659</v>
      </c>
      <c r="M526" t="str">
        <f t="shared" si="88"/>
        <v>232022</v>
      </c>
      <c r="N526" t="str">
        <f t="shared" si="89"/>
        <v>23-6-2022</v>
      </c>
    </row>
    <row r="527" spans="1:14" x14ac:dyDescent="0.2">
      <c r="A527" s="1">
        <v>44722</v>
      </c>
      <c r="B527">
        <f>IFERROR(INDEX('planning dogs-n-tiger'!B$1:B$30,MATCH($H527,'planning dogs-n-tiger'!$G$1:$G$42,0)),0)</f>
        <v>40310</v>
      </c>
      <c r="C527">
        <f>IFERROR(INDEX('planning dogs-n-tiger'!C$1:C$30,MATCH($H527,'planning dogs-n-tiger'!$G$1:$G$42,0)),0)</f>
        <v>20652.349999999999</v>
      </c>
      <c r="D527">
        <f>IFERROR(INDEX('planning dogs-n-tiger'!D$1:D$30,MATCH($H527,'planning dogs-n-tiger'!$G$1:$G$42,0)),0)</f>
        <v>22461.919999999998</v>
      </c>
      <c r="E527">
        <f t="shared" si="80"/>
        <v>23</v>
      </c>
      <c r="F527">
        <f t="shared" si="81"/>
        <v>6</v>
      </c>
      <c r="G527">
        <f t="shared" si="82"/>
        <v>2022</v>
      </c>
      <c r="H527" t="str">
        <f t="shared" si="86"/>
        <v>62022</v>
      </c>
      <c r="I527">
        <f t="shared" si="87"/>
        <v>30</v>
      </c>
      <c r="J527">
        <f t="shared" si="83"/>
        <v>1343.6666666666667</v>
      </c>
      <c r="K527">
        <f t="shared" si="84"/>
        <v>688.41166666666663</v>
      </c>
      <c r="L527">
        <f t="shared" si="85"/>
        <v>748.73066666666659</v>
      </c>
      <c r="M527" t="str">
        <f t="shared" si="88"/>
        <v>232022</v>
      </c>
      <c r="N527" t="str">
        <f t="shared" si="89"/>
        <v>23-6-2022</v>
      </c>
    </row>
    <row r="528" spans="1:14" x14ac:dyDescent="0.2">
      <c r="A528" s="1">
        <v>44723</v>
      </c>
      <c r="B528">
        <f>IFERROR(INDEX('planning dogs-n-tiger'!B$1:B$30,MATCH($H528,'planning dogs-n-tiger'!$G$1:$G$42,0)),0)</f>
        <v>40310</v>
      </c>
      <c r="C528">
        <f>IFERROR(INDEX('planning dogs-n-tiger'!C$1:C$30,MATCH($H528,'planning dogs-n-tiger'!$G$1:$G$42,0)),0)</f>
        <v>20652.349999999999</v>
      </c>
      <c r="D528">
        <f>IFERROR(INDEX('planning dogs-n-tiger'!D$1:D$30,MATCH($H528,'planning dogs-n-tiger'!$G$1:$G$42,0)),0)</f>
        <v>22461.919999999998</v>
      </c>
      <c r="E528">
        <f t="shared" si="80"/>
        <v>23</v>
      </c>
      <c r="F528">
        <f t="shared" si="81"/>
        <v>6</v>
      </c>
      <c r="G528">
        <f t="shared" si="82"/>
        <v>2022</v>
      </c>
      <c r="H528" t="str">
        <f t="shared" si="86"/>
        <v>62022</v>
      </c>
      <c r="I528">
        <f t="shared" si="87"/>
        <v>30</v>
      </c>
      <c r="J528">
        <f t="shared" si="83"/>
        <v>1343.6666666666667</v>
      </c>
      <c r="K528">
        <f t="shared" si="84"/>
        <v>688.41166666666663</v>
      </c>
      <c r="L528">
        <f t="shared" si="85"/>
        <v>748.73066666666659</v>
      </c>
      <c r="M528" t="str">
        <f t="shared" si="88"/>
        <v>232022</v>
      </c>
      <c r="N528" t="str">
        <f t="shared" si="89"/>
        <v>23-6-2022</v>
      </c>
    </row>
    <row r="529" spans="1:14" x14ac:dyDescent="0.2">
      <c r="A529" s="1">
        <v>44724</v>
      </c>
      <c r="B529">
        <f>IFERROR(INDEX('planning dogs-n-tiger'!B$1:B$30,MATCH($H529,'planning dogs-n-tiger'!$G$1:$G$42,0)),0)</f>
        <v>40310</v>
      </c>
      <c r="C529">
        <f>IFERROR(INDEX('planning dogs-n-tiger'!C$1:C$30,MATCH($H529,'planning dogs-n-tiger'!$G$1:$G$42,0)),0)</f>
        <v>20652.349999999999</v>
      </c>
      <c r="D529">
        <f>IFERROR(INDEX('planning dogs-n-tiger'!D$1:D$30,MATCH($H529,'planning dogs-n-tiger'!$G$1:$G$42,0)),0)</f>
        <v>22461.919999999998</v>
      </c>
      <c r="E529">
        <f t="shared" si="80"/>
        <v>23</v>
      </c>
      <c r="F529">
        <f t="shared" si="81"/>
        <v>6</v>
      </c>
      <c r="G529">
        <f t="shared" si="82"/>
        <v>2022</v>
      </c>
      <c r="H529" t="str">
        <f t="shared" si="86"/>
        <v>62022</v>
      </c>
      <c r="I529">
        <f t="shared" si="87"/>
        <v>30</v>
      </c>
      <c r="J529">
        <f t="shared" si="83"/>
        <v>1343.6666666666667</v>
      </c>
      <c r="K529">
        <f t="shared" si="84"/>
        <v>688.41166666666663</v>
      </c>
      <c r="L529">
        <f t="shared" si="85"/>
        <v>748.73066666666659</v>
      </c>
      <c r="M529" t="str">
        <f t="shared" si="88"/>
        <v>232022</v>
      </c>
      <c r="N529" t="str">
        <f t="shared" si="89"/>
        <v>23-6-2022</v>
      </c>
    </row>
    <row r="530" spans="1:14" x14ac:dyDescent="0.2">
      <c r="A530" s="1">
        <v>44725</v>
      </c>
      <c r="B530">
        <f>IFERROR(INDEX('planning dogs-n-tiger'!B$1:B$30,MATCH($H530,'planning dogs-n-tiger'!$G$1:$G$42,0)),0)</f>
        <v>40310</v>
      </c>
      <c r="C530">
        <f>IFERROR(INDEX('planning dogs-n-tiger'!C$1:C$30,MATCH($H530,'planning dogs-n-tiger'!$G$1:$G$42,0)),0)</f>
        <v>20652.349999999999</v>
      </c>
      <c r="D530">
        <f>IFERROR(INDEX('planning dogs-n-tiger'!D$1:D$30,MATCH($H530,'planning dogs-n-tiger'!$G$1:$G$42,0)),0)</f>
        <v>22461.919999999998</v>
      </c>
      <c r="E530">
        <f t="shared" si="80"/>
        <v>24</v>
      </c>
      <c r="F530">
        <f t="shared" si="81"/>
        <v>6</v>
      </c>
      <c r="G530">
        <f t="shared" si="82"/>
        <v>2022</v>
      </c>
      <c r="H530" t="str">
        <f t="shared" si="86"/>
        <v>62022</v>
      </c>
      <c r="I530">
        <f t="shared" si="87"/>
        <v>30</v>
      </c>
      <c r="J530">
        <f t="shared" si="83"/>
        <v>1343.6666666666667</v>
      </c>
      <c r="K530">
        <f t="shared" si="84"/>
        <v>688.41166666666663</v>
      </c>
      <c r="L530">
        <f t="shared" si="85"/>
        <v>748.73066666666659</v>
      </c>
      <c r="M530" t="str">
        <f t="shared" si="88"/>
        <v>242022</v>
      </c>
      <c r="N530" t="str">
        <f t="shared" si="89"/>
        <v>24-6-2022</v>
      </c>
    </row>
    <row r="531" spans="1:14" x14ac:dyDescent="0.2">
      <c r="A531" s="1">
        <v>44726</v>
      </c>
      <c r="B531">
        <f>IFERROR(INDEX('planning dogs-n-tiger'!B$1:B$30,MATCH($H531,'planning dogs-n-tiger'!$G$1:$G$42,0)),0)</f>
        <v>40310</v>
      </c>
      <c r="C531">
        <f>IFERROR(INDEX('planning dogs-n-tiger'!C$1:C$30,MATCH($H531,'planning dogs-n-tiger'!$G$1:$G$42,0)),0)</f>
        <v>20652.349999999999</v>
      </c>
      <c r="D531">
        <f>IFERROR(INDEX('planning dogs-n-tiger'!D$1:D$30,MATCH($H531,'planning dogs-n-tiger'!$G$1:$G$42,0)),0)</f>
        <v>22461.919999999998</v>
      </c>
      <c r="E531">
        <f t="shared" si="80"/>
        <v>24</v>
      </c>
      <c r="F531">
        <f t="shared" si="81"/>
        <v>6</v>
      </c>
      <c r="G531">
        <f t="shared" si="82"/>
        <v>2022</v>
      </c>
      <c r="H531" t="str">
        <f t="shared" si="86"/>
        <v>62022</v>
      </c>
      <c r="I531">
        <f t="shared" si="87"/>
        <v>30</v>
      </c>
      <c r="J531">
        <f t="shared" si="83"/>
        <v>1343.6666666666667</v>
      </c>
      <c r="K531">
        <f t="shared" si="84"/>
        <v>688.41166666666663</v>
      </c>
      <c r="L531">
        <f t="shared" si="85"/>
        <v>748.73066666666659</v>
      </c>
      <c r="M531" t="str">
        <f t="shared" si="88"/>
        <v>242022</v>
      </c>
      <c r="N531" t="str">
        <f t="shared" si="89"/>
        <v>24-6-2022</v>
      </c>
    </row>
    <row r="532" spans="1:14" x14ac:dyDescent="0.2">
      <c r="A532" s="1">
        <v>44727</v>
      </c>
      <c r="B532">
        <f>IFERROR(INDEX('planning dogs-n-tiger'!B$1:B$30,MATCH($H532,'planning dogs-n-tiger'!$G$1:$G$42,0)),0)</f>
        <v>40310</v>
      </c>
      <c r="C532">
        <f>IFERROR(INDEX('planning dogs-n-tiger'!C$1:C$30,MATCH($H532,'planning dogs-n-tiger'!$G$1:$G$42,0)),0)</f>
        <v>20652.349999999999</v>
      </c>
      <c r="D532">
        <f>IFERROR(INDEX('planning dogs-n-tiger'!D$1:D$30,MATCH($H532,'planning dogs-n-tiger'!$G$1:$G$42,0)),0)</f>
        <v>22461.919999999998</v>
      </c>
      <c r="E532">
        <f t="shared" si="80"/>
        <v>24</v>
      </c>
      <c r="F532">
        <f t="shared" si="81"/>
        <v>6</v>
      </c>
      <c r="G532">
        <f t="shared" si="82"/>
        <v>2022</v>
      </c>
      <c r="H532" t="str">
        <f t="shared" si="86"/>
        <v>62022</v>
      </c>
      <c r="I532">
        <f t="shared" si="87"/>
        <v>30</v>
      </c>
      <c r="J532">
        <f t="shared" si="83"/>
        <v>1343.6666666666667</v>
      </c>
      <c r="K532">
        <f t="shared" si="84"/>
        <v>688.41166666666663</v>
      </c>
      <c r="L532">
        <f t="shared" si="85"/>
        <v>748.73066666666659</v>
      </c>
      <c r="M532" t="str">
        <f t="shared" si="88"/>
        <v>242022</v>
      </c>
      <c r="N532" t="str">
        <f t="shared" si="89"/>
        <v>24-6-2022</v>
      </c>
    </row>
    <row r="533" spans="1:14" x14ac:dyDescent="0.2">
      <c r="A533" s="1">
        <v>44728</v>
      </c>
      <c r="B533">
        <f>IFERROR(INDEX('planning dogs-n-tiger'!B$1:B$30,MATCH($H533,'planning dogs-n-tiger'!$G$1:$G$42,0)),0)</f>
        <v>40310</v>
      </c>
      <c r="C533">
        <f>IFERROR(INDEX('planning dogs-n-tiger'!C$1:C$30,MATCH($H533,'planning dogs-n-tiger'!$G$1:$G$42,0)),0)</f>
        <v>20652.349999999999</v>
      </c>
      <c r="D533">
        <f>IFERROR(INDEX('planning dogs-n-tiger'!D$1:D$30,MATCH($H533,'planning dogs-n-tiger'!$G$1:$G$42,0)),0)</f>
        <v>22461.919999999998</v>
      </c>
      <c r="E533">
        <f t="shared" si="80"/>
        <v>24</v>
      </c>
      <c r="F533">
        <f t="shared" si="81"/>
        <v>6</v>
      </c>
      <c r="G533">
        <f t="shared" si="82"/>
        <v>2022</v>
      </c>
      <c r="H533" t="str">
        <f t="shared" si="86"/>
        <v>62022</v>
      </c>
      <c r="I533">
        <f t="shared" si="87"/>
        <v>30</v>
      </c>
      <c r="J533">
        <f t="shared" si="83"/>
        <v>1343.6666666666667</v>
      </c>
      <c r="K533">
        <f t="shared" si="84"/>
        <v>688.41166666666663</v>
      </c>
      <c r="L533">
        <f t="shared" si="85"/>
        <v>748.73066666666659</v>
      </c>
      <c r="M533" t="str">
        <f t="shared" si="88"/>
        <v>242022</v>
      </c>
      <c r="N533" t="str">
        <f t="shared" si="89"/>
        <v>24-6-2022</v>
      </c>
    </row>
    <row r="534" spans="1:14" x14ac:dyDescent="0.2">
      <c r="A534" s="1">
        <v>44729</v>
      </c>
      <c r="B534">
        <f>IFERROR(INDEX('planning dogs-n-tiger'!B$1:B$30,MATCH($H534,'planning dogs-n-tiger'!$G$1:$G$42,0)),0)</f>
        <v>40310</v>
      </c>
      <c r="C534">
        <f>IFERROR(INDEX('planning dogs-n-tiger'!C$1:C$30,MATCH($H534,'planning dogs-n-tiger'!$G$1:$G$42,0)),0)</f>
        <v>20652.349999999999</v>
      </c>
      <c r="D534">
        <f>IFERROR(INDEX('planning dogs-n-tiger'!D$1:D$30,MATCH($H534,'planning dogs-n-tiger'!$G$1:$G$42,0)),0)</f>
        <v>22461.919999999998</v>
      </c>
      <c r="E534">
        <f t="shared" si="80"/>
        <v>24</v>
      </c>
      <c r="F534">
        <f t="shared" si="81"/>
        <v>6</v>
      </c>
      <c r="G534">
        <f t="shared" si="82"/>
        <v>2022</v>
      </c>
      <c r="H534" t="str">
        <f t="shared" si="86"/>
        <v>62022</v>
      </c>
      <c r="I534">
        <f t="shared" si="87"/>
        <v>30</v>
      </c>
      <c r="J534">
        <f t="shared" si="83"/>
        <v>1343.6666666666667</v>
      </c>
      <c r="K534">
        <f t="shared" si="84"/>
        <v>688.41166666666663</v>
      </c>
      <c r="L534">
        <f t="shared" si="85"/>
        <v>748.73066666666659</v>
      </c>
      <c r="M534" t="str">
        <f t="shared" si="88"/>
        <v>242022</v>
      </c>
      <c r="N534" t="str">
        <f t="shared" si="89"/>
        <v>24-6-2022</v>
      </c>
    </row>
    <row r="535" spans="1:14" x14ac:dyDescent="0.2">
      <c r="A535" s="1">
        <v>44730</v>
      </c>
      <c r="B535">
        <f>IFERROR(INDEX('planning dogs-n-tiger'!B$1:B$30,MATCH($H535,'planning dogs-n-tiger'!$G$1:$G$42,0)),0)</f>
        <v>40310</v>
      </c>
      <c r="C535">
        <f>IFERROR(INDEX('planning dogs-n-tiger'!C$1:C$30,MATCH($H535,'planning dogs-n-tiger'!$G$1:$G$42,0)),0)</f>
        <v>20652.349999999999</v>
      </c>
      <c r="D535">
        <f>IFERROR(INDEX('planning dogs-n-tiger'!D$1:D$30,MATCH($H535,'planning dogs-n-tiger'!$G$1:$G$42,0)),0)</f>
        <v>22461.919999999998</v>
      </c>
      <c r="E535">
        <f t="shared" si="80"/>
        <v>24</v>
      </c>
      <c r="F535">
        <f t="shared" si="81"/>
        <v>6</v>
      </c>
      <c r="G535">
        <f t="shared" si="82"/>
        <v>2022</v>
      </c>
      <c r="H535" t="str">
        <f t="shared" si="86"/>
        <v>62022</v>
      </c>
      <c r="I535">
        <f t="shared" si="87"/>
        <v>30</v>
      </c>
      <c r="J535">
        <f t="shared" si="83"/>
        <v>1343.6666666666667</v>
      </c>
      <c r="K535">
        <f t="shared" si="84"/>
        <v>688.41166666666663</v>
      </c>
      <c r="L535">
        <f t="shared" si="85"/>
        <v>748.73066666666659</v>
      </c>
      <c r="M535" t="str">
        <f t="shared" si="88"/>
        <v>242022</v>
      </c>
      <c r="N535" t="str">
        <f t="shared" si="89"/>
        <v>24-6-2022</v>
      </c>
    </row>
    <row r="536" spans="1:14" x14ac:dyDescent="0.2">
      <c r="A536" s="1">
        <v>44731</v>
      </c>
      <c r="B536">
        <f>IFERROR(INDEX('planning dogs-n-tiger'!B$1:B$30,MATCH($H536,'planning dogs-n-tiger'!$G$1:$G$42,0)),0)</f>
        <v>40310</v>
      </c>
      <c r="C536">
        <f>IFERROR(INDEX('planning dogs-n-tiger'!C$1:C$30,MATCH($H536,'planning dogs-n-tiger'!$G$1:$G$42,0)),0)</f>
        <v>20652.349999999999</v>
      </c>
      <c r="D536">
        <f>IFERROR(INDEX('planning dogs-n-tiger'!D$1:D$30,MATCH($H536,'planning dogs-n-tiger'!$G$1:$G$42,0)),0)</f>
        <v>22461.919999999998</v>
      </c>
      <c r="E536">
        <f t="shared" si="80"/>
        <v>24</v>
      </c>
      <c r="F536">
        <f t="shared" si="81"/>
        <v>6</v>
      </c>
      <c r="G536">
        <f t="shared" si="82"/>
        <v>2022</v>
      </c>
      <c r="H536" t="str">
        <f t="shared" si="86"/>
        <v>62022</v>
      </c>
      <c r="I536">
        <f t="shared" si="87"/>
        <v>30</v>
      </c>
      <c r="J536">
        <f t="shared" si="83"/>
        <v>1343.6666666666667</v>
      </c>
      <c r="K536">
        <f t="shared" si="84"/>
        <v>688.41166666666663</v>
      </c>
      <c r="L536">
        <f t="shared" si="85"/>
        <v>748.73066666666659</v>
      </c>
      <c r="M536" t="str">
        <f t="shared" si="88"/>
        <v>242022</v>
      </c>
      <c r="N536" t="str">
        <f t="shared" si="89"/>
        <v>24-6-2022</v>
      </c>
    </row>
    <row r="537" spans="1:14" x14ac:dyDescent="0.2">
      <c r="A537" s="1">
        <v>44732</v>
      </c>
      <c r="B537">
        <f>IFERROR(INDEX('planning dogs-n-tiger'!B$1:B$30,MATCH($H537,'planning dogs-n-tiger'!$G$1:$G$42,0)),0)</f>
        <v>40310</v>
      </c>
      <c r="C537">
        <f>IFERROR(INDEX('planning dogs-n-tiger'!C$1:C$30,MATCH($H537,'planning dogs-n-tiger'!$G$1:$G$42,0)),0)</f>
        <v>20652.349999999999</v>
      </c>
      <c r="D537">
        <f>IFERROR(INDEX('planning dogs-n-tiger'!D$1:D$30,MATCH($H537,'planning dogs-n-tiger'!$G$1:$G$42,0)),0)</f>
        <v>22461.919999999998</v>
      </c>
      <c r="E537">
        <f t="shared" si="80"/>
        <v>25</v>
      </c>
      <c r="F537">
        <f t="shared" si="81"/>
        <v>6</v>
      </c>
      <c r="G537">
        <f t="shared" si="82"/>
        <v>2022</v>
      </c>
      <c r="H537" t="str">
        <f t="shared" si="86"/>
        <v>62022</v>
      </c>
      <c r="I537">
        <f t="shared" si="87"/>
        <v>30</v>
      </c>
      <c r="J537">
        <f t="shared" si="83"/>
        <v>1343.6666666666667</v>
      </c>
      <c r="K537">
        <f t="shared" si="84"/>
        <v>688.41166666666663</v>
      </c>
      <c r="L537">
        <f t="shared" si="85"/>
        <v>748.73066666666659</v>
      </c>
      <c r="M537" t="str">
        <f t="shared" si="88"/>
        <v>252022</v>
      </c>
      <c r="N537" t="str">
        <f t="shared" si="89"/>
        <v>25-6-2022</v>
      </c>
    </row>
    <row r="538" spans="1:14" x14ac:dyDescent="0.2">
      <c r="A538" s="1">
        <v>44733</v>
      </c>
      <c r="B538">
        <f>IFERROR(INDEX('planning dogs-n-tiger'!B$1:B$30,MATCH($H538,'planning dogs-n-tiger'!$G$1:$G$42,0)),0)</f>
        <v>40310</v>
      </c>
      <c r="C538">
        <f>IFERROR(INDEX('planning dogs-n-tiger'!C$1:C$30,MATCH($H538,'planning dogs-n-tiger'!$G$1:$G$42,0)),0)</f>
        <v>20652.349999999999</v>
      </c>
      <c r="D538">
        <f>IFERROR(INDEX('planning dogs-n-tiger'!D$1:D$30,MATCH($H538,'planning dogs-n-tiger'!$G$1:$G$42,0)),0)</f>
        <v>22461.919999999998</v>
      </c>
      <c r="E538">
        <f t="shared" si="80"/>
        <v>25</v>
      </c>
      <c r="F538">
        <f t="shared" si="81"/>
        <v>6</v>
      </c>
      <c r="G538">
        <f t="shared" si="82"/>
        <v>2022</v>
      </c>
      <c r="H538" t="str">
        <f t="shared" si="86"/>
        <v>62022</v>
      </c>
      <c r="I538">
        <f t="shared" si="87"/>
        <v>30</v>
      </c>
      <c r="J538">
        <f t="shared" si="83"/>
        <v>1343.6666666666667</v>
      </c>
      <c r="K538">
        <f t="shared" si="84"/>
        <v>688.41166666666663</v>
      </c>
      <c r="L538">
        <f t="shared" si="85"/>
        <v>748.73066666666659</v>
      </c>
      <c r="M538" t="str">
        <f t="shared" si="88"/>
        <v>252022</v>
      </c>
      <c r="N538" t="str">
        <f t="shared" si="89"/>
        <v>25-6-2022</v>
      </c>
    </row>
    <row r="539" spans="1:14" x14ac:dyDescent="0.2">
      <c r="A539" s="1">
        <v>44734</v>
      </c>
      <c r="B539">
        <f>IFERROR(INDEX('planning dogs-n-tiger'!B$1:B$30,MATCH($H539,'planning dogs-n-tiger'!$G$1:$G$42,0)),0)</f>
        <v>40310</v>
      </c>
      <c r="C539">
        <f>IFERROR(INDEX('planning dogs-n-tiger'!C$1:C$30,MATCH($H539,'planning dogs-n-tiger'!$G$1:$G$42,0)),0)</f>
        <v>20652.349999999999</v>
      </c>
      <c r="D539">
        <f>IFERROR(INDEX('planning dogs-n-tiger'!D$1:D$30,MATCH($H539,'planning dogs-n-tiger'!$G$1:$G$42,0)),0)</f>
        <v>22461.919999999998</v>
      </c>
      <c r="E539">
        <f t="shared" si="80"/>
        <v>25</v>
      </c>
      <c r="F539">
        <f t="shared" si="81"/>
        <v>6</v>
      </c>
      <c r="G539">
        <f t="shared" si="82"/>
        <v>2022</v>
      </c>
      <c r="H539" t="str">
        <f t="shared" si="86"/>
        <v>62022</v>
      </c>
      <c r="I539">
        <f t="shared" si="87"/>
        <v>30</v>
      </c>
      <c r="J539">
        <f t="shared" si="83"/>
        <v>1343.6666666666667</v>
      </c>
      <c r="K539">
        <f t="shared" si="84"/>
        <v>688.41166666666663</v>
      </c>
      <c r="L539">
        <f t="shared" si="85"/>
        <v>748.73066666666659</v>
      </c>
      <c r="M539" t="str">
        <f t="shared" si="88"/>
        <v>252022</v>
      </c>
      <c r="N539" t="str">
        <f t="shared" si="89"/>
        <v>25-6-2022</v>
      </c>
    </row>
    <row r="540" spans="1:14" x14ac:dyDescent="0.2">
      <c r="A540" s="1">
        <v>44735</v>
      </c>
      <c r="B540">
        <f>IFERROR(INDEX('planning dogs-n-tiger'!B$1:B$30,MATCH($H540,'planning dogs-n-tiger'!$G$1:$G$42,0)),0)</f>
        <v>40310</v>
      </c>
      <c r="C540">
        <f>IFERROR(INDEX('planning dogs-n-tiger'!C$1:C$30,MATCH($H540,'planning dogs-n-tiger'!$G$1:$G$42,0)),0)</f>
        <v>20652.349999999999</v>
      </c>
      <c r="D540">
        <f>IFERROR(INDEX('planning dogs-n-tiger'!D$1:D$30,MATCH($H540,'planning dogs-n-tiger'!$G$1:$G$42,0)),0)</f>
        <v>22461.919999999998</v>
      </c>
      <c r="E540">
        <f t="shared" si="80"/>
        <v>25</v>
      </c>
      <c r="F540">
        <f t="shared" si="81"/>
        <v>6</v>
      </c>
      <c r="G540">
        <f t="shared" si="82"/>
        <v>2022</v>
      </c>
      <c r="H540" t="str">
        <f t="shared" si="86"/>
        <v>62022</v>
      </c>
      <c r="I540">
        <f t="shared" si="87"/>
        <v>30</v>
      </c>
      <c r="J540">
        <f t="shared" si="83"/>
        <v>1343.6666666666667</v>
      </c>
      <c r="K540">
        <f t="shared" si="84"/>
        <v>688.41166666666663</v>
      </c>
      <c r="L540">
        <f t="shared" si="85"/>
        <v>748.73066666666659</v>
      </c>
      <c r="M540" t="str">
        <f t="shared" si="88"/>
        <v>252022</v>
      </c>
      <c r="N540" t="str">
        <f t="shared" si="89"/>
        <v>25-6-2022</v>
      </c>
    </row>
    <row r="541" spans="1:14" x14ac:dyDescent="0.2">
      <c r="A541" s="1">
        <v>44736</v>
      </c>
      <c r="B541">
        <f>IFERROR(INDEX('planning dogs-n-tiger'!B$1:B$30,MATCH($H541,'planning dogs-n-tiger'!$G$1:$G$42,0)),0)</f>
        <v>40310</v>
      </c>
      <c r="C541">
        <f>IFERROR(INDEX('planning dogs-n-tiger'!C$1:C$30,MATCH($H541,'planning dogs-n-tiger'!$G$1:$G$42,0)),0)</f>
        <v>20652.349999999999</v>
      </c>
      <c r="D541">
        <f>IFERROR(INDEX('planning dogs-n-tiger'!D$1:D$30,MATCH($H541,'planning dogs-n-tiger'!$G$1:$G$42,0)),0)</f>
        <v>22461.919999999998</v>
      </c>
      <c r="E541">
        <f t="shared" si="80"/>
        <v>25</v>
      </c>
      <c r="F541">
        <f t="shared" si="81"/>
        <v>6</v>
      </c>
      <c r="G541">
        <f t="shared" si="82"/>
        <v>2022</v>
      </c>
      <c r="H541" t="str">
        <f t="shared" si="86"/>
        <v>62022</v>
      </c>
      <c r="I541">
        <f t="shared" si="87"/>
        <v>30</v>
      </c>
      <c r="J541">
        <f t="shared" si="83"/>
        <v>1343.6666666666667</v>
      </c>
      <c r="K541">
        <f t="shared" si="84"/>
        <v>688.41166666666663</v>
      </c>
      <c r="L541">
        <f t="shared" si="85"/>
        <v>748.73066666666659</v>
      </c>
      <c r="M541" t="str">
        <f t="shared" si="88"/>
        <v>252022</v>
      </c>
      <c r="N541" t="str">
        <f t="shared" si="89"/>
        <v>25-6-2022</v>
      </c>
    </row>
    <row r="542" spans="1:14" x14ac:dyDescent="0.2">
      <c r="A542" s="1">
        <v>44737</v>
      </c>
      <c r="B542">
        <f>IFERROR(INDEX('planning dogs-n-tiger'!B$1:B$30,MATCH($H542,'planning dogs-n-tiger'!$G$1:$G$42,0)),0)</f>
        <v>40310</v>
      </c>
      <c r="C542">
        <f>IFERROR(INDEX('planning dogs-n-tiger'!C$1:C$30,MATCH($H542,'planning dogs-n-tiger'!$G$1:$G$42,0)),0)</f>
        <v>20652.349999999999</v>
      </c>
      <c r="D542">
        <f>IFERROR(INDEX('planning dogs-n-tiger'!D$1:D$30,MATCH($H542,'planning dogs-n-tiger'!$G$1:$G$42,0)),0)</f>
        <v>22461.919999999998</v>
      </c>
      <c r="E542">
        <f t="shared" si="80"/>
        <v>25</v>
      </c>
      <c r="F542">
        <f t="shared" si="81"/>
        <v>6</v>
      </c>
      <c r="G542">
        <f t="shared" si="82"/>
        <v>2022</v>
      </c>
      <c r="H542" t="str">
        <f t="shared" si="86"/>
        <v>62022</v>
      </c>
      <c r="I542">
        <f t="shared" si="87"/>
        <v>30</v>
      </c>
      <c r="J542">
        <f t="shared" si="83"/>
        <v>1343.6666666666667</v>
      </c>
      <c r="K542">
        <f t="shared" si="84"/>
        <v>688.41166666666663</v>
      </c>
      <c r="L542">
        <f t="shared" si="85"/>
        <v>748.73066666666659</v>
      </c>
      <c r="M542" t="str">
        <f t="shared" si="88"/>
        <v>252022</v>
      </c>
      <c r="N542" t="str">
        <f t="shared" si="89"/>
        <v>25-6-2022</v>
      </c>
    </row>
    <row r="543" spans="1:14" x14ac:dyDescent="0.2">
      <c r="A543" s="1">
        <v>44738</v>
      </c>
      <c r="B543">
        <f>IFERROR(INDEX('planning dogs-n-tiger'!B$1:B$30,MATCH($H543,'planning dogs-n-tiger'!$G$1:$G$42,0)),0)</f>
        <v>40310</v>
      </c>
      <c r="C543">
        <f>IFERROR(INDEX('planning dogs-n-tiger'!C$1:C$30,MATCH($H543,'planning dogs-n-tiger'!$G$1:$G$42,0)),0)</f>
        <v>20652.349999999999</v>
      </c>
      <c r="D543">
        <f>IFERROR(INDEX('planning dogs-n-tiger'!D$1:D$30,MATCH($H543,'planning dogs-n-tiger'!$G$1:$G$42,0)),0)</f>
        <v>22461.919999999998</v>
      </c>
      <c r="E543">
        <f t="shared" si="80"/>
        <v>25</v>
      </c>
      <c r="F543">
        <f t="shared" si="81"/>
        <v>6</v>
      </c>
      <c r="G543">
        <f t="shared" si="82"/>
        <v>2022</v>
      </c>
      <c r="H543" t="str">
        <f t="shared" si="86"/>
        <v>62022</v>
      </c>
      <c r="I543">
        <f t="shared" si="87"/>
        <v>30</v>
      </c>
      <c r="J543">
        <f t="shared" si="83"/>
        <v>1343.6666666666667</v>
      </c>
      <c r="K543">
        <f t="shared" si="84"/>
        <v>688.41166666666663</v>
      </c>
      <c r="L543">
        <f t="shared" si="85"/>
        <v>748.73066666666659</v>
      </c>
      <c r="M543" t="str">
        <f t="shared" si="88"/>
        <v>252022</v>
      </c>
      <c r="N543" t="str">
        <f t="shared" si="89"/>
        <v>25-6-2022</v>
      </c>
    </row>
    <row r="544" spans="1:14" x14ac:dyDescent="0.2">
      <c r="A544" s="1">
        <v>44739</v>
      </c>
      <c r="B544">
        <f>IFERROR(INDEX('planning dogs-n-tiger'!B$1:B$30,MATCH($H544,'planning dogs-n-tiger'!$G$1:$G$42,0)),0)</f>
        <v>40310</v>
      </c>
      <c r="C544">
        <f>IFERROR(INDEX('planning dogs-n-tiger'!C$1:C$30,MATCH($H544,'planning dogs-n-tiger'!$G$1:$G$42,0)),0)</f>
        <v>20652.349999999999</v>
      </c>
      <c r="D544">
        <f>IFERROR(INDEX('planning dogs-n-tiger'!D$1:D$30,MATCH($H544,'planning dogs-n-tiger'!$G$1:$G$42,0)),0)</f>
        <v>22461.919999999998</v>
      </c>
      <c r="E544">
        <f t="shared" si="80"/>
        <v>26</v>
      </c>
      <c r="F544">
        <f t="shared" si="81"/>
        <v>6</v>
      </c>
      <c r="G544">
        <f t="shared" si="82"/>
        <v>2022</v>
      </c>
      <c r="H544" t="str">
        <f t="shared" si="86"/>
        <v>62022</v>
      </c>
      <c r="I544">
        <f t="shared" si="87"/>
        <v>30</v>
      </c>
      <c r="J544">
        <f t="shared" si="83"/>
        <v>1343.6666666666667</v>
      </c>
      <c r="K544">
        <f t="shared" si="84"/>
        <v>688.41166666666663</v>
      </c>
      <c r="L544">
        <f t="shared" si="85"/>
        <v>748.73066666666659</v>
      </c>
      <c r="M544" t="str">
        <f t="shared" si="88"/>
        <v>262022</v>
      </c>
      <c r="N544" t="str">
        <f t="shared" si="89"/>
        <v>26-6-2022</v>
      </c>
    </row>
    <row r="545" spans="1:14" x14ac:dyDescent="0.2">
      <c r="A545" s="1">
        <v>44740</v>
      </c>
      <c r="B545">
        <f>IFERROR(INDEX('planning dogs-n-tiger'!B$1:B$30,MATCH($H545,'planning dogs-n-tiger'!$G$1:$G$42,0)),0)</f>
        <v>40310</v>
      </c>
      <c r="C545">
        <f>IFERROR(INDEX('planning dogs-n-tiger'!C$1:C$30,MATCH($H545,'planning dogs-n-tiger'!$G$1:$G$42,0)),0)</f>
        <v>20652.349999999999</v>
      </c>
      <c r="D545">
        <f>IFERROR(INDEX('planning dogs-n-tiger'!D$1:D$30,MATCH($H545,'planning dogs-n-tiger'!$G$1:$G$42,0)),0)</f>
        <v>22461.919999999998</v>
      </c>
      <c r="E545">
        <f t="shared" si="80"/>
        <v>26</v>
      </c>
      <c r="F545">
        <f t="shared" si="81"/>
        <v>6</v>
      </c>
      <c r="G545">
        <f t="shared" si="82"/>
        <v>2022</v>
      </c>
      <c r="H545" t="str">
        <f t="shared" si="86"/>
        <v>62022</v>
      </c>
      <c r="I545">
        <f t="shared" si="87"/>
        <v>30</v>
      </c>
      <c r="J545">
        <f t="shared" si="83"/>
        <v>1343.6666666666667</v>
      </c>
      <c r="K545">
        <f t="shared" si="84"/>
        <v>688.41166666666663</v>
      </c>
      <c r="L545">
        <f t="shared" si="85"/>
        <v>748.73066666666659</v>
      </c>
      <c r="M545" t="str">
        <f t="shared" si="88"/>
        <v>262022</v>
      </c>
      <c r="N545" t="str">
        <f t="shared" si="89"/>
        <v>26-6-2022</v>
      </c>
    </row>
    <row r="546" spans="1:14" x14ac:dyDescent="0.2">
      <c r="A546" s="1">
        <v>44741</v>
      </c>
      <c r="B546">
        <f>IFERROR(INDEX('planning dogs-n-tiger'!B$1:B$30,MATCH($H546,'planning dogs-n-tiger'!$G$1:$G$42,0)),0)</f>
        <v>40310</v>
      </c>
      <c r="C546">
        <f>IFERROR(INDEX('planning dogs-n-tiger'!C$1:C$30,MATCH($H546,'planning dogs-n-tiger'!$G$1:$G$42,0)),0)</f>
        <v>20652.349999999999</v>
      </c>
      <c r="D546">
        <f>IFERROR(INDEX('planning dogs-n-tiger'!D$1:D$30,MATCH($H546,'planning dogs-n-tiger'!$G$1:$G$42,0)),0)</f>
        <v>22461.919999999998</v>
      </c>
      <c r="E546">
        <f t="shared" si="80"/>
        <v>26</v>
      </c>
      <c r="F546">
        <f t="shared" si="81"/>
        <v>6</v>
      </c>
      <c r="G546">
        <f t="shared" si="82"/>
        <v>2022</v>
      </c>
      <c r="H546" t="str">
        <f t="shared" si="86"/>
        <v>62022</v>
      </c>
      <c r="I546">
        <f t="shared" si="87"/>
        <v>30</v>
      </c>
      <c r="J546">
        <f t="shared" si="83"/>
        <v>1343.6666666666667</v>
      </c>
      <c r="K546">
        <f t="shared" si="84"/>
        <v>688.41166666666663</v>
      </c>
      <c r="L546">
        <f t="shared" si="85"/>
        <v>748.73066666666659</v>
      </c>
      <c r="M546" t="str">
        <f t="shared" si="88"/>
        <v>262022</v>
      </c>
      <c r="N546" t="str">
        <f t="shared" si="89"/>
        <v>26-6-2022</v>
      </c>
    </row>
    <row r="547" spans="1:14" x14ac:dyDescent="0.2">
      <c r="A547" s="1">
        <v>44742</v>
      </c>
      <c r="B547">
        <f>IFERROR(INDEX('planning dogs-n-tiger'!B$1:B$30,MATCH($H547,'planning dogs-n-tiger'!$G$1:$G$42,0)),0)</f>
        <v>40310</v>
      </c>
      <c r="C547">
        <f>IFERROR(INDEX('planning dogs-n-tiger'!C$1:C$30,MATCH($H547,'planning dogs-n-tiger'!$G$1:$G$42,0)),0)</f>
        <v>20652.349999999999</v>
      </c>
      <c r="D547">
        <f>IFERROR(INDEX('planning dogs-n-tiger'!D$1:D$30,MATCH($H547,'planning dogs-n-tiger'!$G$1:$G$42,0)),0)</f>
        <v>22461.919999999998</v>
      </c>
      <c r="E547">
        <f t="shared" si="80"/>
        <v>26</v>
      </c>
      <c r="F547">
        <f t="shared" si="81"/>
        <v>6</v>
      </c>
      <c r="G547">
        <f t="shared" si="82"/>
        <v>2022</v>
      </c>
      <c r="H547" t="str">
        <f t="shared" si="86"/>
        <v>62022</v>
      </c>
      <c r="I547">
        <f t="shared" si="87"/>
        <v>30</v>
      </c>
      <c r="J547">
        <f t="shared" si="83"/>
        <v>1343.6666666666667</v>
      </c>
      <c r="K547">
        <f t="shared" si="84"/>
        <v>688.41166666666663</v>
      </c>
      <c r="L547">
        <f t="shared" si="85"/>
        <v>748.73066666666659</v>
      </c>
      <c r="M547" t="str">
        <f t="shared" si="88"/>
        <v>262022</v>
      </c>
      <c r="N547" t="str">
        <f t="shared" si="89"/>
        <v>26-6-2022</v>
      </c>
    </row>
    <row r="548" spans="1:14" x14ac:dyDescent="0.2">
      <c r="A548" s="1">
        <v>44743</v>
      </c>
      <c r="B548">
        <f>IFERROR(INDEX('planning dogs-n-tiger'!B$1:B$30,MATCH($H548,'planning dogs-n-tiger'!$G$1:$G$42,0)),0)</f>
        <v>46895</v>
      </c>
      <c r="C548">
        <f>IFERROR(INDEX('planning dogs-n-tiger'!C$1:C$30,MATCH($H548,'planning dogs-n-tiger'!$G$1:$G$42,0)),0)</f>
        <v>24102.240000000002</v>
      </c>
      <c r="D548">
        <f>IFERROR(INDEX('planning dogs-n-tiger'!D$1:D$30,MATCH($H548,'planning dogs-n-tiger'!$G$1:$G$42,0)),0)</f>
        <v>17717.89</v>
      </c>
      <c r="E548">
        <f t="shared" si="80"/>
        <v>26</v>
      </c>
      <c r="F548">
        <f t="shared" si="81"/>
        <v>7</v>
      </c>
      <c r="G548">
        <f t="shared" si="82"/>
        <v>2022</v>
      </c>
      <c r="H548" t="str">
        <f t="shared" si="86"/>
        <v>72022</v>
      </c>
      <c r="I548">
        <f t="shared" si="87"/>
        <v>31</v>
      </c>
      <c r="J548">
        <f t="shared" si="83"/>
        <v>1512.741935483871</v>
      </c>
      <c r="K548">
        <f t="shared" si="84"/>
        <v>777.49161290322581</v>
      </c>
      <c r="L548">
        <f t="shared" si="85"/>
        <v>571.54483870967738</v>
      </c>
      <c r="M548" t="str">
        <f t="shared" si="88"/>
        <v>262022</v>
      </c>
      <c r="N548" t="str">
        <f t="shared" si="89"/>
        <v>26-7-2022</v>
      </c>
    </row>
    <row r="549" spans="1:14" x14ac:dyDescent="0.2">
      <c r="A549" s="1">
        <v>44744</v>
      </c>
      <c r="B549">
        <f>IFERROR(INDEX('planning dogs-n-tiger'!B$1:B$30,MATCH($H549,'planning dogs-n-tiger'!$G$1:$G$42,0)),0)</f>
        <v>46895</v>
      </c>
      <c r="C549">
        <f>IFERROR(INDEX('planning dogs-n-tiger'!C$1:C$30,MATCH($H549,'planning dogs-n-tiger'!$G$1:$G$42,0)),0)</f>
        <v>24102.240000000002</v>
      </c>
      <c r="D549">
        <f>IFERROR(INDEX('planning dogs-n-tiger'!D$1:D$30,MATCH($H549,'planning dogs-n-tiger'!$G$1:$G$42,0)),0)</f>
        <v>17717.89</v>
      </c>
      <c r="E549">
        <f t="shared" si="80"/>
        <v>26</v>
      </c>
      <c r="F549">
        <f t="shared" si="81"/>
        <v>7</v>
      </c>
      <c r="G549">
        <f t="shared" si="82"/>
        <v>2022</v>
      </c>
      <c r="H549" t="str">
        <f t="shared" si="86"/>
        <v>72022</v>
      </c>
      <c r="I549">
        <f t="shared" si="87"/>
        <v>31</v>
      </c>
      <c r="J549">
        <f t="shared" si="83"/>
        <v>1512.741935483871</v>
      </c>
      <c r="K549">
        <f t="shared" si="84"/>
        <v>777.49161290322581</v>
      </c>
      <c r="L549">
        <f t="shared" si="85"/>
        <v>571.54483870967738</v>
      </c>
      <c r="M549" t="str">
        <f t="shared" si="88"/>
        <v>262022</v>
      </c>
      <c r="N549" t="str">
        <f t="shared" si="89"/>
        <v>26-7-2022</v>
      </c>
    </row>
    <row r="550" spans="1:14" x14ac:dyDescent="0.2">
      <c r="A550" s="1">
        <v>44745</v>
      </c>
      <c r="B550">
        <f>IFERROR(INDEX('planning dogs-n-tiger'!B$1:B$30,MATCH($H550,'planning dogs-n-tiger'!$G$1:$G$42,0)),0)</f>
        <v>46895</v>
      </c>
      <c r="C550">
        <f>IFERROR(INDEX('planning dogs-n-tiger'!C$1:C$30,MATCH($H550,'planning dogs-n-tiger'!$G$1:$G$42,0)),0)</f>
        <v>24102.240000000002</v>
      </c>
      <c r="D550">
        <f>IFERROR(INDEX('planning dogs-n-tiger'!D$1:D$30,MATCH($H550,'planning dogs-n-tiger'!$G$1:$G$42,0)),0)</f>
        <v>17717.89</v>
      </c>
      <c r="E550">
        <f t="shared" si="80"/>
        <v>26</v>
      </c>
      <c r="F550">
        <f t="shared" si="81"/>
        <v>7</v>
      </c>
      <c r="G550">
        <f t="shared" si="82"/>
        <v>2022</v>
      </c>
      <c r="H550" t="str">
        <f t="shared" si="86"/>
        <v>72022</v>
      </c>
      <c r="I550">
        <f t="shared" si="87"/>
        <v>31</v>
      </c>
      <c r="J550">
        <f t="shared" si="83"/>
        <v>1512.741935483871</v>
      </c>
      <c r="K550">
        <f t="shared" si="84"/>
        <v>777.49161290322581</v>
      </c>
      <c r="L550">
        <f t="shared" si="85"/>
        <v>571.54483870967738</v>
      </c>
      <c r="M550" t="str">
        <f t="shared" si="88"/>
        <v>262022</v>
      </c>
      <c r="N550" t="str">
        <f t="shared" si="89"/>
        <v>26-7-2022</v>
      </c>
    </row>
    <row r="551" spans="1:14" x14ac:dyDescent="0.2">
      <c r="A551" s="1">
        <v>44746</v>
      </c>
      <c r="B551">
        <f>IFERROR(INDEX('planning dogs-n-tiger'!B$1:B$30,MATCH($H551,'planning dogs-n-tiger'!$G$1:$G$42,0)),0)</f>
        <v>46895</v>
      </c>
      <c r="C551">
        <f>IFERROR(INDEX('planning dogs-n-tiger'!C$1:C$30,MATCH($H551,'planning dogs-n-tiger'!$G$1:$G$42,0)),0)</f>
        <v>24102.240000000002</v>
      </c>
      <c r="D551">
        <f>IFERROR(INDEX('planning dogs-n-tiger'!D$1:D$30,MATCH($H551,'planning dogs-n-tiger'!$G$1:$G$42,0)),0)</f>
        <v>17717.89</v>
      </c>
      <c r="E551">
        <f t="shared" si="80"/>
        <v>27</v>
      </c>
      <c r="F551">
        <f t="shared" si="81"/>
        <v>7</v>
      </c>
      <c r="G551">
        <f t="shared" si="82"/>
        <v>2022</v>
      </c>
      <c r="H551" t="str">
        <f t="shared" si="86"/>
        <v>72022</v>
      </c>
      <c r="I551">
        <f t="shared" si="87"/>
        <v>31</v>
      </c>
      <c r="J551">
        <f t="shared" si="83"/>
        <v>1512.741935483871</v>
      </c>
      <c r="K551">
        <f t="shared" si="84"/>
        <v>777.49161290322581</v>
      </c>
      <c r="L551">
        <f t="shared" si="85"/>
        <v>571.54483870967738</v>
      </c>
      <c r="M551" t="str">
        <f t="shared" si="88"/>
        <v>272022</v>
      </c>
      <c r="N551" t="str">
        <f t="shared" si="89"/>
        <v>27-7-2022</v>
      </c>
    </row>
    <row r="552" spans="1:14" x14ac:dyDescent="0.2">
      <c r="A552" s="1">
        <v>44747</v>
      </c>
      <c r="B552">
        <f>IFERROR(INDEX('planning dogs-n-tiger'!B$1:B$30,MATCH($H552,'planning dogs-n-tiger'!$G$1:$G$42,0)),0)</f>
        <v>46895</v>
      </c>
      <c r="C552">
        <f>IFERROR(INDEX('planning dogs-n-tiger'!C$1:C$30,MATCH($H552,'planning dogs-n-tiger'!$G$1:$G$42,0)),0)</f>
        <v>24102.240000000002</v>
      </c>
      <c r="D552">
        <f>IFERROR(INDEX('planning dogs-n-tiger'!D$1:D$30,MATCH($H552,'planning dogs-n-tiger'!$G$1:$G$42,0)),0)</f>
        <v>17717.89</v>
      </c>
      <c r="E552">
        <f t="shared" si="80"/>
        <v>27</v>
      </c>
      <c r="F552">
        <f t="shared" si="81"/>
        <v>7</v>
      </c>
      <c r="G552">
        <f t="shared" si="82"/>
        <v>2022</v>
      </c>
      <c r="H552" t="str">
        <f t="shared" si="86"/>
        <v>72022</v>
      </c>
      <c r="I552">
        <f t="shared" si="87"/>
        <v>31</v>
      </c>
      <c r="J552">
        <f t="shared" si="83"/>
        <v>1512.741935483871</v>
      </c>
      <c r="K552">
        <f t="shared" si="84"/>
        <v>777.49161290322581</v>
      </c>
      <c r="L552">
        <f t="shared" si="85"/>
        <v>571.54483870967738</v>
      </c>
      <c r="M552" t="str">
        <f t="shared" si="88"/>
        <v>272022</v>
      </c>
      <c r="N552" t="str">
        <f t="shared" si="89"/>
        <v>27-7-2022</v>
      </c>
    </row>
    <row r="553" spans="1:14" x14ac:dyDescent="0.2">
      <c r="A553" s="1">
        <v>44748</v>
      </c>
      <c r="B553">
        <f>IFERROR(INDEX('planning dogs-n-tiger'!B$1:B$30,MATCH($H553,'planning dogs-n-tiger'!$G$1:$G$42,0)),0)</f>
        <v>46895</v>
      </c>
      <c r="C553">
        <f>IFERROR(INDEX('planning dogs-n-tiger'!C$1:C$30,MATCH($H553,'planning dogs-n-tiger'!$G$1:$G$42,0)),0)</f>
        <v>24102.240000000002</v>
      </c>
      <c r="D553">
        <f>IFERROR(INDEX('planning dogs-n-tiger'!D$1:D$30,MATCH($H553,'planning dogs-n-tiger'!$G$1:$G$42,0)),0)</f>
        <v>17717.89</v>
      </c>
      <c r="E553">
        <f t="shared" si="80"/>
        <v>27</v>
      </c>
      <c r="F553">
        <f t="shared" si="81"/>
        <v>7</v>
      </c>
      <c r="G553">
        <f t="shared" si="82"/>
        <v>2022</v>
      </c>
      <c r="H553" t="str">
        <f t="shared" si="86"/>
        <v>72022</v>
      </c>
      <c r="I553">
        <f t="shared" si="87"/>
        <v>31</v>
      </c>
      <c r="J553">
        <f t="shared" si="83"/>
        <v>1512.741935483871</v>
      </c>
      <c r="K553">
        <f t="shared" si="84"/>
        <v>777.49161290322581</v>
      </c>
      <c r="L553">
        <f t="shared" si="85"/>
        <v>571.54483870967738</v>
      </c>
      <c r="M553" t="str">
        <f t="shared" si="88"/>
        <v>272022</v>
      </c>
      <c r="N553" t="str">
        <f t="shared" si="89"/>
        <v>27-7-2022</v>
      </c>
    </row>
    <row r="554" spans="1:14" x14ac:dyDescent="0.2">
      <c r="A554" s="1">
        <v>44749</v>
      </c>
      <c r="B554">
        <f>IFERROR(INDEX('planning dogs-n-tiger'!B$1:B$30,MATCH($H554,'planning dogs-n-tiger'!$G$1:$G$42,0)),0)</f>
        <v>46895</v>
      </c>
      <c r="C554">
        <f>IFERROR(INDEX('planning dogs-n-tiger'!C$1:C$30,MATCH($H554,'planning dogs-n-tiger'!$G$1:$G$42,0)),0)</f>
        <v>24102.240000000002</v>
      </c>
      <c r="D554">
        <f>IFERROR(INDEX('planning dogs-n-tiger'!D$1:D$30,MATCH($H554,'planning dogs-n-tiger'!$G$1:$G$42,0)),0)</f>
        <v>17717.89</v>
      </c>
      <c r="E554">
        <f t="shared" si="80"/>
        <v>27</v>
      </c>
      <c r="F554">
        <f t="shared" si="81"/>
        <v>7</v>
      </c>
      <c r="G554">
        <f t="shared" si="82"/>
        <v>2022</v>
      </c>
      <c r="H554" t="str">
        <f t="shared" si="86"/>
        <v>72022</v>
      </c>
      <c r="I554">
        <f t="shared" si="87"/>
        <v>31</v>
      </c>
      <c r="J554">
        <f t="shared" si="83"/>
        <v>1512.741935483871</v>
      </c>
      <c r="K554">
        <f t="shared" si="84"/>
        <v>777.49161290322581</v>
      </c>
      <c r="L554">
        <f t="shared" si="85"/>
        <v>571.54483870967738</v>
      </c>
      <c r="M554" t="str">
        <f t="shared" si="88"/>
        <v>272022</v>
      </c>
      <c r="N554" t="str">
        <f t="shared" si="89"/>
        <v>27-7-2022</v>
      </c>
    </row>
    <row r="555" spans="1:14" x14ac:dyDescent="0.2">
      <c r="A555" s="1">
        <v>44750</v>
      </c>
      <c r="B555">
        <f>IFERROR(INDEX('planning dogs-n-tiger'!B$1:B$30,MATCH($H555,'planning dogs-n-tiger'!$G$1:$G$42,0)),0)</f>
        <v>46895</v>
      </c>
      <c r="C555">
        <f>IFERROR(INDEX('planning dogs-n-tiger'!C$1:C$30,MATCH($H555,'planning dogs-n-tiger'!$G$1:$G$42,0)),0)</f>
        <v>24102.240000000002</v>
      </c>
      <c r="D555">
        <f>IFERROR(INDEX('planning dogs-n-tiger'!D$1:D$30,MATCH($H555,'planning dogs-n-tiger'!$G$1:$G$42,0)),0)</f>
        <v>17717.89</v>
      </c>
      <c r="E555">
        <f t="shared" si="80"/>
        <v>27</v>
      </c>
      <c r="F555">
        <f t="shared" si="81"/>
        <v>7</v>
      </c>
      <c r="G555">
        <f t="shared" si="82"/>
        <v>2022</v>
      </c>
      <c r="H555" t="str">
        <f t="shared" si="86"/>
        <v>72022</v>
      </c>
      <c r="I555">
        <f t="shared" si="87"/>
        <v>31</v>
      </c>
      <c r="J555">
        <f t="shared" si="83"/>
        <v>1512.741935483871</v>
      </c>
      <c r="K555">
        <f t="shared" si="84"/>
        <v>777.49161290322581</v>
      </c>
      <c r="L555">
        <f t="shared" si="85"/>
        <v>571.54483870967738</v>
      </c>
      <c r="M555" t="str">
        <f t="shared" si="88"/>
        <v>272022</v>
      </c>
      <c r="N555" t="str">
        <f t="shared" si="89"/>
        <v>27-7-2022</v>
      </c>
    </row>
    <row r="556" spans="1:14" x14ac:dyDescent="0.2">
      <c r="A556" s="1">
        <v>44751</v>
      </c>
      <c r="B556">
        <f>IFERROR(INDEX('planning dogs-n-tiger'!B$1:B$30,MATCH($H556,'planning dogs-n-tiger'!$G$1:$G$42,0)),0)</f>
        <v>46895</v>
      </c>
      <c r="C556">
        <f>IFERROR(INDEX('planning dogs-n-tiger'!C$1:C$30,MATCH($H556,'planning dogs-n-tiger'!$G$1:$G$42,0)),0)</f>
        <v>24102.240000000002</v>
      </c>
      <c r="D556">
        <f>IFERROR(INDEX('planning dogs-n-tiger'!D$1:D$30,MATCH($H556,'planning dogs-n-tiger'!$G$1:$G$42,0)),0)</f>
        <v>17717.89</v>
      </c>
      <c r="E556">
        <f t="shared" si="80"/>
        <v>27</v>
      </c>
      <c r="F556">
        <f t="shared" si="81"/>
        <v>7</v>
      </c>
      <c r="G556">
        <f t="shared" si="82"/>
        <v>2022</v>
      </c>
      <c r="H556" t="str">
        <f t="shared" si="86"/>
        <v>72022</v>
      </c>
      <c r="I556">
        <f t="shared" si="87"/>
        <v>31</v>
      </c>
      <c r="J556">
        <f t="shared" si="83"/>
        <v>1512.741935483871</v>
      </c>
      <c r="K556">
        <f t="shared" si="84"/>
        <v>777.49161290322581</v>
      </c>
      <c r="L556">
        <f t="shared" si="85"/>
        <v>571.54483870967738</v>
      </c>
      <c r="M556" t="str">
        <f t="shared" si="88"/>
        <v>272022</v>
      </c>
      <c r="N556" t="str">
        <f t="shared" si="89"/>
        <v>27-7-2022</v>
      </c>
    </row>
    <row r="557" spans="1:14" x14ac:dyDescent="0.2">
      <c r="A557" s="1">
        <v>44752</v>
      </c>
      <c r="B557">
        <f>IFERROR(INDEX('planning dogs-n-tiger'!B$1:B$30,MATCH($H557,'planning dogs-n-tiger'!$G$1:$G$42,0)),0)</f>
        <v>46895</v>
      </c>
      <c r="C557">
        <f>IFERROR(INDEX('planning dogs-n-tiger'!C$1:C$30,MATCH($H557,'planning dogs-n-tiger'!$G$1:$G$42,0)),0)</f>
        <v>24102.240000000002</v>
      </c>
      <c r="D557">
        <f>IFERROR(INDEX('planning dogs-n-tiger'!D$1:D$30,MATCH($H557,'planning dogs-n-tiger'!$G$1:$G$42,0)),0)</f>
        <v>17717.89</v>
      </c>
      <c r="E557">
        <f t="shared" si="80"/>
        <v>27</v>
      </c>
      <c r="F557">
        <f t="shared" si="81"/>
        <v>7</v>
      </c>
      <c r="G557">
        <f t="shared" si="82"/>
        <v>2022</v>
      </c>
      <c r="H557" t="str">
        <f t="shared" si="86"/>
        <v>72022</v>
      </c>
      <c r="I557">
        <f t="shared" si="87"/>
        <v>31</v>
      </c>
      <c r="J557">
        <f t="shared" si="83"/>
        <v>1512.741935483871</v>
      </c>
      <c r="K557">
        <f t="shared" si="84"/>
        <v>777.49161290322581</v>
      </c>
      <c r="L557">
        <f t="shared" si="85"/>
        <v>571.54483870967738</v>
      </c>
      <c r="M557" t="str">
        <f t="shared" si="88"/>
        <v>272022</v>
      </c>
      <c r="N557" t="str">
        <f t="shared" si="89"/>
        <v>27-7-2022</v>
      </c>
    </row>
    <row r="558" spans="1:14" x14ac:dyDescent="0.2">
      <c r="A558" s="1">
        <v>44753</v>
      </c>
      <c r="B558">
        <f>IFERROR(INDEX('planning dogs-n-tiger'!B$1:B$30,MATCH($H558,'planning dogs-n-tiger'!$G$1:$G$42,0)),0)</f>
        <v>46895</v>
      </c>
      <c r="C558">
        <f>IFERROR(INDEX('planning dogs-n-tiger'!C$1:C$30,MATCH($H558,'planning dogs-n-tiger'!$G$1:$G$42,0)),0)</f>
        <v>24102.240000000002</v>
      </c>
      <c r="D558">
        <f>IFERROR(INDEX('planning dogs-n-tiger'!D$1:D$30,MATCH($H558,'planning dogs-n-tiger'!$G$1:$G$42,0)),0)</f>
        <v>17717.89</v>
      </c>
      <c r="E558">
        <f t="shared" si="80"/>
        <v>28</v>
      </c>
      <c r="F558">
        <f t="shared" si="81"/>
        <v>7</v>
      </c>
      <c r="G558">
        <f t="shared" si="82"/>
        <v>2022</v>
      </c>
      <c r="H558" t="str">
        <f t="shared" si="86"/>
        <v>72022</v>
      </c>
      <c r="I558">
        <f t="shared" si="87"/>
        <v>31</v>
      </c>
      <c r="J558">
        <f t="shared" si="83"/>
        <v>1512.741935483871</v>
      </c>
      <c r="K558">
        <f t="shared" si="84"/>
        <v>777.49161290322581</v>
      </c>
      <c r="L558">
        <f t="shared" si="85"/>
        <v>571.54483870967738</v>
      </c>
      <c r="M558" t="str">
        <f t="shared" si="88"/>
        <v>282022</v>
      </c>
      <c r="N558" t="str">
        <f t="shared" si="89"/>
        <v>28-7-2022</v>
      </c>
    </row>
    <row r="559" spans="1:14" x14ac:dyDescent="0.2">
      <c r="A559" s="1">
        <v>44754</v>
      </c>
      <c r="B559">
        <f>IFERROR(INDEX('planning dogs-n-tiger'!B$1:B$30,MATCH($H559,'planning dogs-n-tiger'!$G$1:$G$42,0)),0)</f>
        <v>46895</v>
      </c>
      <c r="C559">
        <f>IFERROR(INDEX('planning dogs-n-tiger'!C$1:C$30,MATCH($H559,'planning dogs-n-tiger'!$G$1:$G$42,0)),0)</f>
        <v>24102.240000000002</v>
      </c>
      <c r="D559">
        <f>IFERROR(INDEX('planning dogs-n-tiger'!D$1:D$30,MATCH($H559,'planning dogs-n-tiger'!$G$1:$G$42,0)),0)</f>
        <v>17717.89</v>
      </c>
      <c r="E559">
        <f t="shared" si="80"/>
        <v>28</v>
      </c>
      <c r="F559">
        <f t="shared" si="81"/>
        <v>7</v>
      </c>
      <c r="G559">
        <f t="shared" si="82"/>
        <v>2022</v>
      </c>
      <c r="H559" t="str">
        <f t="shared" si="86"/>
        <v>72022</v>
      </c>
      <c r="I559">
        <f t="shared" si="87"/>
        <v>31</v>
      </c>
      <c r="J559">
        <f t="shared" si="83"/>
        <v>1512.741935483871</v>
      </c>
      <c r="K559">
        <f t="shared" si="84"/>
        <v>777.49161290322581</v>
      </c>
      <c r="L559">
        <f t="shared" si="85"/>
        <v>571.54483870967738</v>
      </c>
      <c r="M559" t="str">
        <f t="shared" si="88"/>
        <v>282022</v>
      </c>
      <c r="N559" t="str">
        <f t="shared" si="89"/>
        <v>28-7-2022</v>
      </c>
    </row>
    <row r="560" spans="1:14" x14ac:dyDescent="0.2">
      <c r="A560" s="1">
        <v>44755</v>
      </c>
      <c r="B560">
        <f>IFERROR(INDEX('planning dogs-n-tiger'!B$1:B$30,MATCH($H560,'planning dogs-n-tiger'!$G$1:$G$42,0)),0)</f>
        <v>46895</v>
      </c>
      <c r="C560">
        <f>IFERROR(INDEX('planning dogs-n-tiger'!C$1:C$30,MATCH($H560,'planning dogs-n-tiger'!$G$1:$G$42,0)),0)</f>
        <v>24102.240000000002</v>
      </c>
      <c r="D560">
        <f>IFERROR(INDEX('planning dogs-n-tiger'!D$1:D$30,MATCH($H560,'planning dogs-n-tiger'!$G$1:$G$42,0)),0)</f>
        <v>17717.89</v>
      </c>
      <c r="E560">
        <f t="shared" si="80"/>
        <v>28</v>
      </c>
      <c r="F560">
        <f t="shared" si="81"/>
        <v>7</v>
      </c>
      <c r="G560">
        <f t="shared" si="82"/>
        <v>2022</v>
      </c>
      <c r="H560" t="str">
        <f t="shared" si="86"/>
        <v>72022</v>
      </c>
      <c r="I560">
        <f t="shared" si="87"/>
        <v>31</v>
      </c>
      <c r="J560">
        <f t="shared" si="83"/>
        <v>1512.741935483871</v>
      </c>
      <c r="K560">
        <f t="shared" si="84"/>
        <v>777.49161290322581</v>
      </c>
      <c r="L560">
        <f t="shared" si="85"/>
        <v>571.54483870967738</v>
      </c>
      <c r="M560" t="str">
        <f t="shared" si="88"/>
        <v>282022</v>
      </c>
      <c r="N560" t="str">
        <f t="shared" si="89"/>
        <v>28-7-2022</v>
      </c>
    </row>
    <row r="561" spans="1:14" x14ac:dyDescent="0.2">
      <c r="A561" s="1">
        <v>44756</v>
      </c>
      <c r="B561">
        <f>IFERROR(INDEX('planning dogs-n-tiger'!B$1:B$30,MATCH($H561,'planning dogs-n-tiger'!$G$1:$G$42,0)),0)</f>
        <v>46895</v>
      </c>
      <c r="C561">
        <f>IFERROR(INDEX('planning dogs-n-tiger'!C$1:C$30,MATCH($H561,'planning dogs-n-tiger'!$G$1:$G$42,0)),0)</f>
        <v>24102.240000000002</v>
      </c>
      <c r="D561">
        <f>IFERROR(INDEX('planning dogs-n-tiger'!D$1:D$30,MATCH($H561,'planning dogs-n-tiger'!$G$1:$G$42,0)),0)</f>
        <v>17717.89</v>
      </c>
      <c r="E561">
        <f t="shared" si="80"/>
        <v>28</v>
      </c>
      <c r="F561">
        <f t="shared" si="81"/>
        <v>7</v>
      </c>
      <c r="G561">
        <f t="shared" si="82"/>
        <v>2022</v>
      </c>
      <c r="H561" t="str">
        <f t="shared" si="86"/>
        <v>72022</v>
      </c>
      <c r="I561">
        <f t="shared" si="87"/>
        <v>31</v>
      </c>
      <c r="J561">
        <f t="shared" si="83"/>
        <v>1512.741935483871</v>
      </c>
      <c r="K561">
        <f t="shared" si="84"/>
        <v>777.49161290322581</v>
      </c>
      <c r="L561">
        <f t="shared" si="85"/>
        <v>571.54483870967738</v>
      </c>
      <c r="M561" t="str">
        <f t="shared" si="88"/>
        <v>282022</v>
      </c>
      <c r="N561" t="str">
        <f t="shared" si="89"/>
        <v>28-7-2022</v>
      </c>
    </row>
    <row r="562" spans="1:14" x14ac:dyDescent="0.2">
      <c r="A562" s="1">
        <v>44757</v>
      </c>
      <c r="B562">
        <f>IFERROR(INDEX('planning dogs-n-tiger'!B$1:B$30,MATCH($H562,'planning dogs-n-tiger'!$G$1:$G$42,0)),0)</f>
        <v>46895</v>
      </c>
      <c r="C562">
        <f>IFERROR(INDEX('planning dogs-n-tiger'!C$1:C$30,MATCH($H562,'planning dogs-n-tiger'!$G$1:$G$42,0)),0)</f>
        <v>24102.240000000002</v>
      </c>
      <c r="D562">
        <f>IFERROR(INDEX('planning dogs-n-tiger'!D$1:D$30,MATCH($H562,'planning dogs-n-tiger'!$G$1:$G$42,0)),0)</f>
        <v>17717.89</v>
      </c>
      <c r="E562">
        <f t="shared" si="80"/>
        <v>28</v>
      </c>
      <c r="F562">
        <f t="shared" si="81"/>
        <v>7</v>
      </c>
      <c r="G562">
        <f t="shared" si="82"/>
        <v>2022</v>
      </c>
      <c r="H562" t="str">
        <f t="shared" si="86"/>
        <v>72022</v>
      </c>
      <c r="I562">
        <f t="shared" si="87"/>
        <v>31</v>
      </c>
      <c r="J562">
        <f t="shared" si="83"/>
        <v>1512.741935483871</v>
      </c>
      <c r="K562">
        <f t="shared" si="84"/>
        <v>777.49161290322581</v>
      </c>
      <c r="L562">
        <f t="shared" si="85"/>
        <v>571.54483870967738</v>
      </c>
      <c r="M562" t="str">
        <f t="shared" si="88"/>
        <v>282022</v>
      </c>
      <c r="N562" t="str">
        <f t="shared" si="89"/>
        <v>28-7-2022</v>
      </c>
    </row>
    <row r="563" spans="1:14" x14ac:dyDescent="0.2">
      <c r="A563" s="1">
        <v>44758</v>
      </c>
      <c r="B563">
        <f>IFERROR(INDEX('planning dogs-n-tiger'!B$1:B$30,MATCH($H563,'planning dogs-n-tiger'!$G$1:$G$42,0)),0)</f>
        <v>46895</v>
      </c>
      <c r="C563">
        <f>IFERROR(INDEX('planning dogs-n-tiger'!C$1:C$30,MATCH($H563,'planning dogs-n-tiger'!$G$1:$G$42,0)),0)</f>
        <v>24102.240000000002</v>
      </c>
      <c r="D563">
        <f>IFERROR(INDEX('planning dogs-n-tiger'!D$1:D$30,MATCH($H563,'planning dogs-n-tiger'!$G$1:$G$42,0)),0)</f>
        <v>17717.89</v>
      </c>
      <c r="E563">
        <f t="shared" si="80"/>
        <v>28</v>
      </c>
      <c r="F563">
        <f t="shared" si="81"/>
        <v>7</v>
      </c>
      <c r="G563">
        <f t="shared" si="82"/>
        <v>2022</v>
      </c>
      <c r="H563" t="str">
        <f t="shared" si="86"/>
        <v>72022</v>
      </c>
      <c r="I563">
        <f t="shared" si="87"/>
        <v>31</v>
      </c>
      <c r="J563">
        <f t="shared" si="83"/>
        <v>1512.741935483871</v>
      </c>
      <c r="K563">
        <f t="shared" si="84"/>
        <v>777.49161290322581</v>
      </c>
      <c r="L563">
        <f t="shared" si="85"/>
        <v>571.54483870967738</v>
      </c>
      <c r="M563" t="str">
        <f t="shared" si="88"/>
        <v>282022</v>
      </c>
      <c r="N563" t="str">
        <f t="shared" si="89"/>
        <v>28-7-2022</v>
      </c>
    </row>
    <row r="564" spans="1:14" x14ac:dyDescent="0.2">
      <c r="A564" s="1">
        <v>44759</v>
      </c>
      <c r="B564">
        <f>IFERROR(INDEX('planning dogs-n-tiger'!B$1:B$30,MATCH($H564,'planning dogs-n-tiger'!$G$1:$G$42,0)),0)</f>
        <v>46895</v>
      </c>
      <c r="C564">
        <f>IFERROR(INDEX('planning dogs-n-tiger'!C$1:C$30,MATCH($H564,'planning dogs-n-tiger'!$G$1:$G$42,0)),0)</f>
        <v>24102.240000000002</v>
      </c>
      <c r="D564">
        <f>IFERROR(INDEX('planning dogs-n-tiger'!D$1:D$30,MATCH($H564,'planning dogs-n-tiger'!$G$1:$G$42,0)),0)</f>
        <v>17717.89</v>
      </c>
      <c r="E564">
        <f t="shared" si="80"/>
        <v>28</v>
      </c>
      <c r="F564">
        <f t="shared" si="81"/>
        <v>7</v>
      </c>
      <c r="G564">
        <f t="shared" si="82"/>
        <v>2022</v>
      </c>
      <c r="H564" t="str">
        <f t="shared" si="86"/>
        <v>72022</v>
      </c>
      <c r="I564">
        <f t="shared" si="87"/>
        <v>31</v>
      </c>
      <c r="J564">
        <f t="shared" si="83"/>
        <v>1512.741935483871</v>
      </c>
      <c r="K564">
        <f t="shared" si="84"/>
        <v>777.49161290322581</v>
      </c>
      <c r="L564">
        <f t="shared" si="85"/>
        <v>571.54483870967738</v>
      </c>
      <c r="M564" t="str">
        <f t="shared" si="88"/>
        <v>282022</v>
      </c>
      <c r="N564" t="str">
        <f t="shared" si="89"/>
        <v>28-7-2022</v>
      </c>
    </row>
    <row r="565" spans="1:14" x14ac:dyDescent="0.2">
      <c r="A565" s="1">
        <v>44760</v>
      </c>
      <c r="B565">
        <f>IFERROR(INDEX('planning dogs-n-tiger'!B$1:B$30,MATCH($H565,'planning dogs-n-tiger'!$G$1:$G$42,0)),0)</f>
        <v>46895</v>
      </c>
      <c r="C565">
        <f>IFERROR(INDEX('planning dogs-n-tiger'!C$1:C$30,MATCH($H565,'planning dogs-n-tiger'!$G$1:$G$42,0)),0)</f>
        <v>24102.240000000002</v>
      </c>
      <c r="D565">
        <f>IFERROR(INDEX('planning dogs-n-tiger'!D$1:D$30,MATCH($H565,'planning dogs-n-tiger'!$G$1:$G$42,0)),0)</f>
        <v>17717.89</v>
      </c>
      <c r="E565">
        <f t="shared" si="80"/>
        <v>29</v>
      </c>
      <c r="F565">
        <f t="shared" si="81"/>
        <v>7</v>
      </c>
      <c r="G565">
        <f t="shared" si="82"/>
        <v>2022</v>
      </c>
      <c r="H565" t="str">
        <f t="shared" si="86"/>
        <v>72022</v>
      </c>
      <c r="I565">
        <f t="shared" si="87"/>
        <v>31</v>
      </c>
      <c r="J565">
        <f t="shared" si="83"/>
        <v>1512.741935483871</v>
      </c>
      <c r="K565">
        <f t="shared" si="84"/>
        <v>777.49161290322581</v>
      </c>
      <c r="L565">
        <f t="shared" si="85"/>
        <v>571.54483870967738</v>
      </c>
      <c r="M565" t="str">
        <f t="shared" si="88"/>
        <v>292022</v>
      </c>
      <c r="N565" t="str">
        <f t="shared" si="89"/>
        <v>29-7-2022</v>
      </c>
    </row>
    <row r="566" spans="1:14" x14ac:dyDescent="0.2">
      <c r="A566" s="1">
        <v>44761</v>
      </c>
      <c r="B566">
        <f>IFERROR(INDEX('planning dogs-n-tiger'!B$1:B$30,MATCH($H566,'planning dogs-n-tiger'!$G$1:$G$42,0)),0)</f>
        <v>46895</v>
      </c>
      <c r="C566">
        <f>IFERROR(INDEX('planning dogs-n-tiger'!C$1:C$30,MATCH($H566,'planning dogs-n-tiger'!$G$1:$G$42,0)),0)</f>
        <v>24102.240000000002</v>
      </c>
      <c r="D566">
        <f>IFERROR(INDEX('planning dogs-n-tiger'!D$1:D$30,MATCH($H566,'planning dogs-n-tiger'!$G$1:$G$42,0)),0)</f>
        <v>17717.89</v>
      </c>
      <c r="E566">
        <f t="shared" si="80"/>
        <v>29</v>
      </c>
      <c r="F566">
        <f t="shared" si="81"/>
        <v>7</v>
      </c>
      <c r="G566">
        <f t="shared" si="82"/>
        <v>2022</v>
      </c>
      <c r="H566" t="str">
        <f t="shared" si="86"/>
        <v>72022</v>
      </c>
      <c r="I566">
        <f t="shared" si="87"/>
        <v>31</v>
      </c>
      <c r="J566">
        <f t="shared" si="83"/>
        <v>1512.741935483871</v>
      </c>
      <c r="K566">
        <f t="shared" si="84"/>
        <v>777.49161290322581</v>
      </c>
      <c r="L566">
        <f t="shared" si="85"/>
        <v>571.54483870967738</v>
      </c>
      <c r="M566" t="str">
        <f t="shared" si="88"/>
        <v>292022</v>
      </c>
      <c r="N566" t="str">
        <f t="shared" si="89"/>
        <v>29-7-2022</v>
      </c>
    </row>
    <row r="567" spans="1:14" x14ac:dyDescent="0.2">
      <c r="A567" s="1">
        <v>44762</v>
      </c>
      <c r="B567">
        <f>IFERROR(INDEX('planning dogs-n-tiger'!B$1:B$30,MATCH($H567,'planning dogs-n-tiger'!$G$1:$G$42,0)),0)</f>
        <v>46895</v>
      </c>
      <c r="C567">
        <f>IFERROR(INDEX('planning dogs-n-tiger'!C$1:C$30,MATCH($H567,'planning dogs-n-tiger'!$G$1:$G$42,0)),0)</f>
        <v>24102.240000000002</v>
      </c>
      <c r="D567">
        <f>IFERROR(INDEX('planning dogs-n-tiger'!D$1:D$30,MATCH($H567,'planning dogs-n-tiger'!$G$1:$G$42,0)),0)</f>
        <v>17717.89</v>
      </c>
      <c r="E567">
        <f t="shared" si="80"/>
        <v>29</v>
      </c>
      <c r="F567">
        <f t="shared" si="81"/>
        <v>7</v>
      </c>
      <c r="G567">
        <f t="shared" si="82"/>
        <v>2022</v>
      </c>
      <c r="H567" t="str">
        <f t="shared" si="86"/>
        <v>72022</v>
      </c>
      <c r="I567">
        <f t="shared" si="87"/>
        <v>31</v>
      </c>
      <c r="J567">
        <f t="shared" si="83"/>
        <v>1512.741935483871</v>
      </c>
      <c r="K567">
        <f t="shared" si="84"/>
        <v>777.49161290322581</v>
      </c>
      <c r="L567">
        <f t="shared" si="85"/>
        <v>571.54483870967738</v>
      </c>
      <c r="M567" t="str">
        <f t="shared" si="88"/>
        <v>292022</v>
      </c>
      <c r="N567" t="str">
        <f t="shared" si="89"/>
        <v>29-7-2022</v>
      </c>
    </row>
    <row r="568" spans="1:14" x14ac:dyDescent="0.2">
      <c r="A568" s="1">
        <v>44763</v>
      </c>
      <c r="B568">
        <f>IFERROR(INDEX('planning dogs-n-tiger'!B$1:B$30,MATCH($H568,'planning dogs-n-tiger'!$G$1:$G$42,0)),0)</f>
        <v>46895</v>
      </c>
      <c r="C568">
        <f>IFERROR(INDEX('planning dogs-n-tiger'!C$1:C$30,MATCH($H568,'planning dogs-n-tiger'!$G$1:$G$42,0)),0)</f>
        <v>24102.240000000002</v>
      </c>
      <c r="D568">
        <f>IFERROR(INDEX('planning dogs-n-tiger'!D$1:D$30,MATCH($H568,'planning dogs-n-tiger'!$G$1:$G$42,0)),0)</f>
        <v>17717.89</v>
      </c>
      <c r="E568">
        <f t="shared" si="80"/>
        <v>29</v>
      </c>
      <c r="F568">
        <f t="shared" si="81"/>
        <v>7</v>
      </c>
      <c r="G568">
        <f t="shared" si="82"/>
        <v>2022</v>
      </c>
      <c r="H568" t="str">
        <f t="shared" si="86"/>
        <v>72022</v>
      </c>
      <c r="I568">
        <f t="shared" si="87"/>
        <v>31</v>
      </c>
      <c r="J568">
        <f t="shared" si="83"/>
        <v>1512.741935483871</v>
      </c>
      <c r="K568">
        <f t="shared" si="84"/>
        <v>777.49161290322581</v>
      </c>
      <c r="L568">
        <f t="shared" si="85"/>
        <v>571.54483870967738</v>
      </c>
      <c r="M568" t="str">
        <f t="shared" si="88"/>
        <v>292022</v>
      </c>
      <c r="N568" t="str">
        <f t="shared" si="89"/>
        <v>29-7-2022</v>
      </c>
    </row>
    <row r="569" spans="1:14" x14ac:dyDescent="0.2">
      <c r="A569" s="1">
        <v>44764</v>
      </c>
      <c r="B569">
        <f>IFERROR(INDEX('planning dogs-n-tiger'!B$1:B$30,MATCH($H569,'planning dogs-n-tiger'!$G$1:$G$42,0)),0)</f>
        <v>46895</v>
      </c>
      <c r="C569">
        <f>IFERROR(INDEX('planning dogs-n-tiger'!C$1:C$30,MATCH($H569,'planning dogs-n-tiger'!$G$1:$G$42,0)),0)</f>
        <v>24102.240000000002</v>
      </c>
      <c r="D569">
        <f>IFERROR(INDEX('planning dogs-n-tiger'!D$1:D$30,MATCH($H569,'planning dogs-n-tiger'!$G$1:$G$42,0)),0)</f>
        <v>17717.89</v>
      </c>
      <c r="E569">
        <f t="shared" si="80"/>
        <v>29</v>
      </c>
      <c r="F569">
        <f t="shared" si="81"/>
        <v>7</v>
      </c>
      <c r="G569">
        <f t="shared" si="82"/>
        <v>2022</v>
      </c>
      <c r="H569" t="str">
        <f t="shared" si="86"/>
        <v>72022</v>
      </c>
      <c r="I569">
        <f t="shared" si="87"/>
        <v>31</v>
      </c>
      <c r="J569">
        <f t="shared" si="83"/>
        <v>1512.741935483871</v>
      </c>
      <c r="K569">
        <f t="shared" si="84"/>
        <v>777.49161290322581</v>
      </c>
      <c r="L569">
        <f t="shared" si="85"/>
        <v>571.54483870967738</v>
      </c>
      <c r="M569" t="str">
        <f t="shared" si="88"/>
        <v>292022</v>
      </c>
      <c r="N569" t="str">
        <f t="shared" si="89"/>
        <v>29-7-2022</v>
      </c>
    </row>
    <row r="570" spans="1:14" x14ac:dyDescent="0.2">
      <c r="A570" s="1">
        <v>44765</v>
      </c>
      <c r="B570">
        <f>IFERROR(INDEX('planning dogs-n-tiger'!B$1:B$30,MATCH($H570,'planning dogs-n-tiger'!$G$1:$G$42,0)),0)</f>
        <v>46895</v>
      </c>
      <c r="C570">
        <f>IFERROR(INDEX('planning dogs-n-tiger'!C$1:C$30,MATCH($H570,'planning dogs-n-tiger'!$G$1:$G$42,0)),0)</f>
        <v>24102.240000000002</v>
      </c>
      <c r="D570">
        <f>IFERROR(INDEX('planning dogs-n-tiger'!D$1:D$30,MATCH($H570,'planning dogs-n-tiger'!$G$1:$G$42,0)),0)</f>
        <v>17717.89</v>
      </c>
      <c r="E570">
        <f t="shared" si="80"/>
        <v>29</v>
      </c>
      <c r="F570">
        <f t="shared" si="81"/>
        <v>7</v>
      </c>
      <c r="G570">
        <f t="shared" si="82"/>
        <v>2022</v>
      </c>
      <c r="H570" t="str">
        <f t="shared" si="86"/>
        <v>72022</v>
      </c>
      <c r="I570">
        <f t="shared" si="87"/>
        <v>31</v>
      </c>
      <c r="J570">
        <f t="shared" si="83"/>
        <v>1512.741935483871</v>
      </c>
      <c r="K570">
        <f t="shared" si="84"/>
        <v>777.49161290322581</v>
      </c>
      <c r="L570">
        <f t="shared" si="85"/>
        <v>571.54483870967738</v>
      </c>
      <c r="M570" t="str">
        <f t="shared" si="88"/>
        <v>292022</v>
      </c>
      <c r="N570" t="str">
        <f t="shared" si="89"/>
        <v>29-7-2022</v>
      </c>
    </row>
    <row r="571" spans="1:14" x14ac:dyDescent="0.2">
      <c r="A571" s="1">
        <v>44766</v>
      </c>
      <c r="B571">
        <f>IFERROR(INDEX('planning dogs-n-tiger'!B$1:B$30,MATCH($H571,'planning dogs-n-tiger'!$G$1:$G$42,0)),0)</f>
        <v>46895</v>
      </c>
      <c r="C571">
        <f>IFERROR(INDEX('planning dogs-n-tiger'!C$1:C$30,MATCH($H571,'planning dogs-n-tiger'!$G$1:$G$42,0)),0)</f>
        <v>24102.240000000002</v>
      </c>
      <c r="D571">
        <f>IFERROR(INDEX('planning dogs-n-tiger'!D$1:D$30,MATCH($H571,'planning dogs-n-tiger'!$G$1:$G$42,0)),0)</f>
        <v>17717.89</v>
      </c>
      <c r="E571">
        <f t="shared" si="80"/>
        <v>29</v>
      </c>
      <c r="F571">
        <f t="shared" si="81"/>
        <v>7</v>
      </c>
      <c r="G571">
        <f t="shared" si="82"/>
        <v>2022</v>
      </c>
      <c r="H571" t="str">
        <f t="shared" si="86"/>
        <v>72022</v>
      </c>
      <c r="I571">
        <f t="shared" si="87"/>
        <v>31</v>
      </c>
      <c r="J571">
        <f t="shared" si="83"/>
        <v>1512.741935483871</v>
      </c>
      <c r="K571">
        <f t="shared" si="84"/>
        <v>777.49161290322581</v>
      </c>
      <c r="L571">
        <f t="shared" si="85"/>
        <v>571.54483870967738</v>
      </c>
      <c r="M571" t="str">
        <f t="shared" si="88"/>
        <v>292022</v>
      </c>
      <c r="N571" t="str">
        <f t="shared" si="89"/>
        <v>29-7-2022</v>
      </c>
    </row>
    <row r="572" spans="1:14" x14ac:dyDescent="0.2">
      <c r="A572" s="1">
        <v>44767</v>
      </c>
      <c r="B572">
        <f>IFERROR(INDEX('planning dogs-n-tiger'!B$1:B$30,MATCH($H572,'planning dogs-n-tiger'!$G$1:$G$42,0)),0)</f>
        <v>46895</v>
      </c>
      <c r="C572">
        <f>IFERROR(INDEX('planning dogs-n-tiger'!C$1:C$30,MATCH($H572,'planning dogs-n-tiger'!$G$1:$G$42,0)),0)</f>
        <v>24102.240000000002</v>
      </c>
      <c r="D572">
        <f>IFERROR(INDEX('planning dogs-n-tiger'!D$1:D$30,MATCH($H572,'planning dogs-n-tiger'!$G$1:$G$42,0)),0)</f>
        <v>17717.89</v>
      </c>
      <c r="E572">
        <f t="shared" si="80"/>
        <v>30</v>
      </c>
      <c r="F572">
        <f t="shared" si="81"/>
        <v>7</v>
      </c>
      <c r="G572">
        <f t="shared" si="82"/>
        <v>2022</v>
      </c>
      <c r="H572" t="str">
        <f t="shared" si="86"/>
        <v>72022</v>
      </c>
      <c r="I572">
        <f t="shared" si="87"/>
        <v>31</v>
      </c>
      <c r="J572">
        <f t="shared" si="83"/>
        <v>1512.741935483871</v>
      </c>
      <c r="K572">
        <f t="shared" si="84"/>
        <v>777.49161290322581</v>
      </c>
      <c r="L572">
        <f t="shared" si="85"/>
        <v>571.54483870967738</v>
      </c>
      <c r="M572" t="str">
        <f t="shared" si="88"/>
        <v>302022</v>
      </c>
      <c r="N572" t="str">
        <f t="shared" si="89"/>
        <v>30-7-2022</v>
      </c>
    </row>
    <row r="573" spans="1:14" x14ac:dyDescent="0.2">
      <c r="A573" s="1">
        <v>44768</v>
      </c>
      <c r="B573">
        <f>IFERROR(INDEX('planning dogs-n-tiger'!B$1:B$30,MATCH($H573,'planning dogs-n-tiger'!$G$1:$G$42,0)),0)</f>
        <v>46895</v>
      </c>
      <c r="C573">
        <f>IFERROR(INDEX('planning dogs-n-tiger'!C$1:C$30,MATCH($H573,'planning dogs-n-tiger'!$G$1:$G$42,0)),0)</f>
        <v>24102.240000000002</v>
      </c>
      <c r="D573">
        <f>IFERROR(INDEX('planning dogs-n-tiger'!D$1:D$30,MATCH($H573,'planning dogs-n-tiger'!$G$1:$G$42,0)),0)</f>
        <v>17717.89</v>
      </c>
      <c r="E573">
        <f t="shared" si="80"/>
        <v>30</v>
      </c>
      <c r="F573">
        <f t="shared" si="81"/>
        <v>7</v>
      </c>
      <c r="G573">
        <f t="shared" si="82"/>
        <v>2022</v>
      </c>
      <c r="H573" t="str">
        <f t="shared" si="86"/>
        <v>72022</v>
      </c>
      <c r="I573">
        <f t="shared" si="87"/>
        <v>31</v>
      </c>
      <c r="J573">
        <f t="shared" si="83"/>
        <v>1512.741935483871</v>
      </c>
      <c r="K573">
        <f t="shared" si="84"/>
        <v>777.49161290322581</v>
      </c>
      <c r="L573">
        <f t="shared" si="85"/>
        <v>571.54483870967738</v>
      </c>
      <c r="M573" t="str">
        <f t="shared" si="88"/>
        <v>302022</v>
      </c>
      <c r="N573" t="str">
        <f t="shared" si="89"/>
        <v>30-7-2022</v>
      </c>
    </row>
    <row r="574" spans="1:14" x14ac:dyDescent="0.2">
      <c r="A574" s="1">
        <v>44769</v>
      </c>
      <c r="B574">
        <f>IFERROR(INDEX('planning dogs-n-tiger'!B$1:B$30,MATCH($H574,'planning dogs-n-tiger'!$G$1:$G$42,0)),0)</f>
        <v>46895</v>
      </c>
      <c r="C574">
        <f>IFERROR(INDEX('planning dogs-n-tiger'!C$1:C$30,MATCH($H574,'planning dogs-n-tiger'!$G$1:$G$42,0)),0)</f>
        <v>24102.240000000002</v>
      </c>
      <c r="D574">
        <f>IFERROR(INDEX('planning dogs-n-tiger'!D$1:D$30,MATCH($H574,'planning dogs-n-tiger'!$G$1:$G$42,0)),0)</f>
        <v>17717.89</v>
      </c>
      <c r="E574">
        <f t="shared" si="80"/>
        <v>30</v>
      </c>
      <c r="F574">
        <f t="shared" si="81"/>
        <v>7</v>
      </c>
      <c r="G574">
        <f t="shared" si="82"/>
        <v>2022</v>
      </c>
      <c r="H574" t="str">
        <f t="shared" si="86"/>
        <v>72022</v>
      </c>
      <c r="I574">
        <f t="shared" si="87"/>
        <v>31</v>
      </c>
      <c r="J574">
        <f t="shared" si="83"/>
        <v>1512.741935483871</v>
      </c>
      <c r="K574">
        <f t="shared" si="84"/>
        <v>777.49161290322581</v>
      </c>
      <c r="L574">
        <f t="shared" si="85"/>
        <v>571.54483870967738</v>
      </c>
      <c r="M574" t="str">
        <f t="shared" si="88"/>
        <v>302022</v>
      </c>
      <c r="N574" t="str">
        <f t="shared" si="89"/>
        <v>30-7-2022</v>
      </c>
    </row>
    <row r="575" spans="1:14" x14ac:dyDescent="0.2">
      <c r="A575" s="1">
        <v>44770</v>
      </c>
      <c r="B575">
        <f>IFERROR(INDEX('planning dogs-n-tiger'!B$1:B$30,MATCH($H575,'planning dogs-n-tiger'!$G$1:$G$42,0)),0)</f>
        <v>46895</v>
      </c>
      <c r="C575">
        <f>IFERROR(INDEX('planning dogs-n-tiger'!C$1:C$30,MATCH($H575,'planning dogs-n-tiger'!$G$1:$G$42,0)),0)</f>
        <v>24102.240000000002</v>
      </c>
      <c r="D575">
        <f>IFERROR(INDEX('planning dogs-n-tiger'!D$1:D$30,MATCH($H575,'planning dogs-n-tiger'!$G$1:$G$42,0)),0)</f>
        <v>17717.89</v>
      </c>
      <c r="E575">
        <f t="shared" si="80"/>
        <v>30</v>
      </c>
      <c r="F575">
        <f t="shared" si="81"/>
        <v>7</v>
      </c>
      <c r="G575">
        <f t="shared" si="82"/>
        <v>2022</v>
      </c>
      <c r="H575" t="str">
        <f t="shared" si="86"/>
        <v>72022</v>
      </c>
      <c r="I575">
        <f t="shared" si="87"/>
        <v>31</v>
      </c>
      <c r="J575">
        <f t="shared" si="83"/>
        <v>1512.741935483871</v>
      </c>
      <c r="K575">
        <f t="shared" si="84"/>
        <v>777.49161290322581</v>
      </c>
      <c r="L575">
        <f t="shared" si="85"/>
        <v>571.54483870967738</v>
      </c>
      <c r="M575" t="str">
        <f t="shared" si="88"/>
        <v>302022</v>
      </c>
      <c r="N575" t="str">
        <f t="shared" si="89"/>
        <v>30-7-2022</v>
      </c>
    </row>
    <row r="576" spans="1:14" x14ac:dyDescent="0.2">
      <c r="A576" s="1">
        <v>44771</v>
      </c>
      <c r="B576">
        <f>IFERROR(INDEX('planning dogs-n-tiger'!B$1:B$30,MATCH($H576,'planning dogs-n-tiger'!$G$1:$G$42,0)),0)</f>
        <v>46895</v>
      </c>
      <c r="C576">
        <f>IFERROR(INDEX('planning dogs-n-tiger'!C$1:C$30,MATCH($H576,'planning dogs-n-tiger'!$G$1:$G$42,0)),0)</f>
        <v>24102.240000000002</v>
      </c>
      <c r="D576">
        <f>IFERROR(INDEX('planning dogs-n-tiger'!D$1:D$30,MATCH($H576,'planning dogs-n-tiger'!$G$1:$G$42,0)),0)</f>
        <v>17717.89</v>
      </c>
      <c r="E576">
        <f t="shared" si="80"/>
        <v>30</v>
      </c>
      <c r="F576">
        <f t="shared" si="81"/>
        <v>7</v>
      </c>
      <c r="G576">
        <f t="shared" si="82"/>
        <v>2022</v>
      </c>
      <c r="H576" t="str">
        <f t="shared" si="86"/>
        <v>72022</v>
      </c>
      <c r="I576">
        <f t="shared" si="87"/>
        <v>31</v>
      </c>
      <c r="J576">
        <f t="shared" si="83"/>
        <v>1512.741935483871</v>
      </c>
      <c r="K576">
        <f t="shared" si="84"/>
        <v>777.49161290322581</v>
      </c>
      <c r="L576">
        <f t="shared" si="85"/>
        <v>571.54483870967738</v>
      </c>
      <c r="M576" t="str">
        <f t="shared" si="88"/>
        <v>302022</v>
      </c>
      <c r="N576" t="str">
        <f t="shared" si="89"/>
        <v>30-7-2022</v>
      </c>
    </row>
    <row r="577" spans="1:14" x14ac:dyDescent="0.2">
      <c r="A577" s="1">
        <v>44772</v>
      </c>
      <c r="B577">
        <f>IFERROR(INDEX('planning dogs-n-tiger'!B$1:B$30,MATCH($H577,'planning dogs-n-tiger'!$G$1:$G$42,0)),0)</f>
        <v>46895</v>
      </c>
      <c r="C577">
        <f>IFERROR(INDEX('planning dogs-n-tiger'!C$1:C$30,MATCH($H577,'planning dogs-n-tiger'!$G$1:$G$42,0)),0)</f>
        <v>24102.240000000002</v>
      </c>
      <c r="D577">
        <f>IFERROR(INDEX('planning dogs-n-tiger'!D$1:D$30,MATCH($H577,'planning dogs-n-tiger'!$G$1:$G$42,0)),0)</f>
        <v>17717.89</v>
      </c>
      <c r="E577">
        <f t="shared" si="80"/>
        <v>30</v>
      </c>
      <c r="F577">
        <f t="shared" si="81"/>
        <v>7</v>
      </c>
      <c r="G577">
        <f t="shared" si="82"/>
        <v>2022</v>
      </c>
      <c r="H577" t="str">
        <f t="shared" si="86"/>
        <v>72022</v>
      </c>
      <c r="I577">
        <f t="shared" si="87"/>
        <v>31</v>
      </c>
      <c r="J577">
        <f t="shared" si="83"/>
        <v>1512.741935483871</v>
      </c>
      <c r="K577">
        <f t="shared" si="84"/>
        <v>777.49161290322581</v>
      </c>
      <c r="L577">
        <f t="shared" si="85"/>
        <v>571.54483870967738</v>
      </c>
      <c r="M577" t="str">
        <f t="shared" si="88"/>
        <v>302022</v>
      </c>
      <c r="N577" t="str">
        <f t="shared" si="89"/>
        <v>30-7-2022</v>
      </c>
    </row>
    <row r="578" spans="1:14" x14ac:dyDescent="0.2">
      <c r="A578" s="1">
        <v>44773</v>
      </c>
      <c r="B578">
        <f>IFERROR(INDEX('planning dogs-n-tiger'!B$1:B$30,MATCH($H578,'planning dogs-n-tiger'!$G$1:$G$42,0)),0)</f>
        <v>46895</v>
      </c>
      <c r="C578">
        <f>IFERROR(INDEX('planning dogs-n-tiger'!C$1:C$30,MATCH($H578,'planning dogs-n-tiger'!$G$1:$G$42,0)),0)</f>
        <v>24102.240000000002</v>
      </c>
      <c r="D578">
        <f>IFERROR(INDEX('planning dogs-n-tiger'!D$1:D$30,MATCH($H578,'planning dogs-n-tiger'!$G$1:$G$42,0)),0)</f>
        <v>17717.89</v>
      </c>
      <c r="E578">
        <f t="shared" ref="E578:E641" si="90">_xlfn.ISOWEEKNUM(A578)</f>
        <v>30</v>
      </c>
      <c r="F578">
        <f t="shared" ref="F578:F641" si="91">MONTH(A578)</f>
        <v>7</v>
      </c>
      <c r="G578">
        <f t="shared" ref="G578:G641" si="92">YEAR(A578)</f>
        <v>2022</v>
      </c>
      <c r="H578" t="str">
        <f t="shared" si="86"/>
        <v>72022</v>
      </c>
      <c r="I578">
        <f t="shared" si="87"/>
        <v>31</v>
      </c>
      <c r="J578">
        <f t="shared" ref="J578:J641" si="93">B578/$I578</f>
        <v>1512.741935483871</v>
      </c>
      <c r="K578">
        <f t="shared" ref="K578:K641" si="94">C578/$I578</f>
        <v>777.49161290322581</v>
      </c>
      <c r="L578">
        <f t="shared" ref="L578:L641" si="95">D578/$I578</f>
        <v>571.54483870967738</v>
      </c>
      <c r="M578" t="str">
        <f t="shared" si="88"/>
        <v>302022</v>
      </c>
      <c r="N578" t="str">
        <f t="shared" si="89"/>
        <v>30-7-2022</v>
      </c>
    </row>
    <row r="579" spans="1:14" x14ac:dyDescent="0.2">
      <c r="A579" s="1">
        <v>44774</v>
      </c>
      <c r="B579">
        <f>IFERROR(INDEX('planning dogs-n-tiger'!B$1:B$30,MATCH($H579,'planning dogs-n-tiger'!$G$1:$G$42,0)),0)</f>
        <v>47261</v>
      </c>
      <c r="C579">
        <f>IFERROR(INDEX('planning dogs-n-tiger'!C$1:C$30,MATCH($H579,'planning dogs-n-tiger'!$G$1:$G$42,0)),0)</f>
        <v>22084.58</v>
      </c>
      <c r="D579">
        <f>IFERROR(INDEX('planning dogs-n-tiger'!D$1:D$30,MATCH($H579,'planning dogs-n-tiger'!$G$1:$G$42,0)),0)</f>
        <v>16150</v>
      </c>
      <c r="E579">
        <f t="shared" si="90"/>
        <v>31</v>
      </c>
      <c r="F579">
        <f t="shared" si="91"/>
        <v>8</v>
      </c>
      <c r="G579">
        <f t="shared" si="92"/>
        <v>2022</v>
      </c>
      <c r="H579" t="str">
        <f t="shared" ref="H579:H642" si="96">F579&amp;G579</f>
        <v>82022</v>
      </c>
      <c r="I579">
        <f t="shared" ref="I579:I642" si="97">DAY(EOMONTH(DATE(G579,F579,0),1))</f>
        <v>31</v>
      </c>
      <c r="J579">
        <f t="shared" si="93"/>
        <v>1524.5483870967741</v>
      </c>
      <c r="K579">
        <f t="shared" si="94"/>
        <v>712.40580645161299</v>
      </c>
      <c r="L579">
        <f t="shared" si="95"/>
        <v>520.9677419354839</v>
      </c>
      <c r="M579" t="str">
        <f t="shared" ref="M579:M642" si="98">E579&amp;G579</f>
        <v>312022</v>
      </c>
      <c r="N579" t="str">
        <f t="shared" ref="N579:N642" si="99">E579&amp;"-"&amp;F579&amp;"-"&amp;G579</f>
        <v>31-8-2022</v>
      </c>
    </row>
    <row r="580" spans="1:14" x14ac:dyDescent="0.2">
      <c r="A580" s="1">
        <v>44775</v>
      </c>
      <c r="B580">
        <f>IFERROR(INDEX('planning dogs-n-tiger'!B$1:B$30,MATCH($H580,'planning dogs-n-tiger'!$G$1:$G$42,0)),0)</f>
        <v>47261</v>
      </c>
      <c r="C580">
        <f>IFERROR(INDEX('planning dogs-n-tiger'!C$1:C$30,MATCH($H580,'planning dogs-n-tiger'!$G$1:$G$42,0)),0)</f>
        <v>22084.58</v>
      </c>
      <c r="D580">
        <f>IFERROR(INDEX('planning dogs-n-tiger'!D$1:D$30,MATCH($H580,'planning dogs-n-tiger'!$G$1:$G$42,0)),0)</f>
        <v>16150</v>
      </c>
      <c r="E580">
        <f t="shared" si="90"/>
        <v>31</v>
      </c>
      <c r="F580">
        <f t="shared" si="91"/>
        <v>8</v>
      </c>
      <c r="G580">
        <f t="shared" si="92"/>
        <v>2022</v>
      </c>
      <c r="H580" t="str">
        <f t="shared" si="96"/>
        <v>82022</v>
      </c>
      <c r="I580">
        <f t="shared" si="97"/>
        <v>31</v>
      </c>
      <c r="J580">
        <f t="shared" si="93"/>
        <v>1524.5483870967741</v>
      </c>
      <c r="K580">
        <f t="shared" si="94"/>
        <v>712.40580645161299</v>
      </c>
      <c r="L580">
        <f t="shared" si="95"/>
        <v>520.9677419354839</v>
      </c>
      <c r="M580" t="str">
        <f t="shared" si="98"/>
        <v>312022</v>
      </c>
      <c r="N580" t="str">
        <f t="shared" si="99"/>
        <v>31-8-2022</v>
      </c>
    </row>
    <row r="581" spans="1:14" x14ac:dyDescent="0.2">
      <c r="A581" s="1">
        <v>44776</v>
      </c>
      <c r="B581">
        <f>IFERROR(INDEX('planning dogs-n-tiger'!B$1:B$30,MATCH($H581,'planning dogs-n-tiger'!$G$1:$G$42,0)),0)</f>
        <v>47261</v>
      </c>
      <c r="C581">
        <f>IFERROR(INDEX('planning dogs-n-tiger'!C$1:C$30,MATCH($H581,'planning dogs-n-tiger'!$G$1:$G$42,0)),0)</f>
        <v>22084.58</v>
      </c>
      <c r="D581">
        <f>IFERROR(INDEX('planning dogs-n-tiger'!D$1:D$30,MATCH($H581,'planning dogs-n-tiger'!$G$1:$G$42,0)),0)</f>
        <v>16150</v>
      </c>
      <c r="E581">
        <f t="shared" si="90"/>
        <v>31</v>
      </c>
      <c r="F581">
        <f t="shared" si="91"/>
        <v>8</v>
      </c>
      <c r="G581">
        <f t="shared" si="92"/>
        <v>2022</v>
      </c>
      <c r="H581" t="str">
        <f t="shared" si="96"/>
        <v>82022</v>
      </c>
      <c r="I581">
        <f t="shared" si="97"/>
        <v>31</v>
      </c>
      <c r="J581">
        <f t="shared" si="93"/>
        <v>1524.5483870967741</v>
      </c>
      <c r="K581">
        <f t="shared" si="94"/>
        <v>712.40580645161299</v>
      </c>
      <c r="L581">
        <f t="shared" si="95"/>
        <v>520.9677419354839</v>
      </c>
      <c r="M581" t="str">
        <f t="shared" si="98"/>
        <v>312022</v>
      </c>
      <c r="N581" t="str">
        <f t="shared" si="99"/>
        <v>31-8-2022</v>
      </c>
    </row>
    <row r="582" spans="1:14" x14ac:dyDescent="0.2">
      <c r="A582" s="1">
        <v>44777</v>
      </c>
      <c r="B582">
        <f>IFERROR(INDEX('planning dogs-n-tiger'!B$1:B$30,MATCH($H582,'planning dogs-n-tiger'!$G$1:$G$42,0)),0)</f>
        <v>47261</v>
      </c>
      <c r="C582">
        <f>IFERROR(INDEX('planning dogs-n-tiger'!C$1:C$30,MATCH($H582,'planning dogs-n-tiger'!$G$1:$G$42,0)),0)</f>
        <v>22084.58</v>
      </c>
      <c r="D582">
        <f>IFERROR(INDEX('planning dogs-n-tiger'!D$1:D$30,MATCH($H582,'planning dogs-n-tiger'!$G$1:$G$42,0)),0)</f>
        <v>16150</v>
      </c>
      <c r="E582">
        <f t="shared" si="90"/>
        <v>31</v>
      </c>
      <c r="F582">
        <f t="shared" si="91"/>
        <v>8</v>
      </c>
      <c r="G582">
        <f t="shared" si="92"/>
        <v>2022</v>
      </c>
      <c r="H582" t="str">
        <f t="shared" si="96"/>
        <v>82022</v>
      </c>
      <c r="I582">
        <f t="shared" si="97"/>
        <v>31</v>
      </c>
      <c r="J582">
        <f t="shared" si="93"/>
        <v>1524.5483870967741</v>
      </c>
      <c r="K582">
        <f t="shared" si="94"/>
        <v>712.40580645161299</v>
      </c>
      <c r="L582">
        <f t="shared" si="95"/>
        <v>520.9677419354839</v>
      </c>
      <c r="M582" t="str">
        <f t="shared" si="98"/>
        <v>312022</v>
      </c>
      <c r="N582" t="str">
        <f t="shared" si="99"/>
        <v>31-8-2022</v>
      </c>
    </row>
    <row r="583" spans="1:14" x14ac:dyDescent="0.2">
      <c r="A583" s="1">
        <v>44778</v>
      </c>
      <c r="B583">
        <f>IFERROR(INDEX('planning dogs-n-tiger'!B$1:B$30,MATCH($H583,'planning dogs-n-tiger'!$G$1:$G$42,0)),0)</f>
        <v>47261</v>
      </c>
      <c r="C583">
        <f>IFERROR(INDEX('planning dogs-n-tiger'!C$1:C$30,MATCH($H583,'planning dogs-n-tiger'!$G$1:$G$42,0)),0)</f>
        <v>22084.58</v>
      </c>
      <c r="D583">
        <f>IFERROR(INDEX('planning dogs-n-tiger'!D$1:D$30,MATCH($H583,'planning dogs-n-tiger'!$G$1:$G$42,0)),0)</f>
        <v>16150</v>
      </c>
      <c r="E583">
        <f t="shared" si="90"/>
        <v>31</v>
      </c>
      <c r="F583">
        <f t="shared" si="91"/>
        <v>8</v>
      </c>
      <c r="G583">
        <f t="shared" si="92"/>
        <v>2022</v>
      </c>
      <c r="H583" t="str">
        <f t="shared" si="96"/>
        <v>82022</v>
      </c>
      <c r="I583">
        <f t="shared" si="97"/>
        <v>31</v>
      </c>
      <c r="J583">
        <f t="shared" si="93"/>
        <v>1524.5483870967741</v>
      </c>
      <c r="K583">
        <f t="shared" si="94"/>
        <v>712.40580645161299</v>
      </c>
      <c r="L583">
        <f t="shared" si="95"/>
        <v>520.9677419354839</v>
      </c>
      <c r="M583" t="str">
        <f t="shared" si="98"/>
        <v>312022</v>
      </c>
      <c r="N583" t="str">
        <f t="shared" si="99"/>
        <v>31-8-2022</v>
      </c>
    </row>
    <row r="584" spans="1:14" x14ac:dyDescent="0.2">
      <c r="A584" s="1">
        <v>44779</v>
      </c>
      <c r="B584">
        <f>IFERROR(INDEX('planning dogs-n-tiger'!B$1:B$30,MATCH($H584,'planning dogs-n-tiger'!$G$1:$G$42,0)),0)</f>
        <v>47261</v>
      </c>
      <c r="C584">
        <f>IFERROR(INDEX('planning dogs-n-tiger'!C$1:C$30,MATCH($H584,'planning dogs-n-tiger'!$G$1:$G$42,0)),0)</f>
        <v>22084.58</v>
      </c>
      <c r="D584">
        <f>IFERROR(INDEX('planning dogs-n-tiger'!D$1:D$30,MATCH($H584,'planning dogs-n-tiger'!$G$1:$G$42,0)),0)</f>
        <v>16150</v>
      </c>
      <c r="E584">
        <f t="shared" si="90"/>
        <v>31</v>
      </c>
      <c r="F584">
        <f t="shared" si="91"/>
        <v>8</v>
      </c>
      <c r="G584">
        <f t="shared" si="92"/>
        <v>2022</v>
      </c>
      <c r="H584" t="str">
        <f t="shared" si="96"/>
        <v>82022</v>
      </c>
      <c r="I584">
        <f t="shared" si="97"/>
        <v>31</v>
      </c>
      <c r="J584">
        <f t="shared" si="93"/>
        <v>1524.5483870967741</v>
      </c>
      <c r="K584">
        <f t="shared" si="94"/>
        <v>712.40580645161299</v>
      </c>
      <c r="L584">
        <f t="shared" si="95"/>
        <v>520.9677419354839</v>
      </c>
      <c r="M584" t="str">
        <f t="shared" si="98"/>
        <v>312022</v>
      </c>
      <c r="N584" t="str">
        <f t="shared" si="99"/>
        <v>31-8-2022</v>
      </c>
    </row>
    <row r="585" spans="1:14" x14ac:dyDescent="0.2">
      <c r="A585" s="1">
        <v>44780</v>
      </c>
      <c r="B585">
        <f>IFERROR(INDEX('planning dogs-n-tiger'!B$1:B$30,MATCH($H585,'planning dogs-n-tiger'!$G$1:$G$42,0)),0)</f>
        <v>47261</v>
      </c>
      <c r="C585">
        <f>IFERROR(INDEX('planning dogs-n-tiger'!C$1:C$30,MATCH($H585,'planning dogs-n-tiger'!$G$1:$G$42,0)),0)</f>
        <v>22084.58</v>
      </c>
      <c r="D585">
        <f>IFERROR(INDEX('planning dogs-n-tiger'!D$1:D$30,MATCH($H585,'planning dogs-n-tiger'!$G$1:$G$42,0)),0)</f>
        <v>16150</v>
      </c>
      <c r="E585">
        <f t="shared" si="90"/>
        <v>31</v>
      </c>
      <c r="F585">
        <f t="shared" si="91"/>
        <v>8</v>
      </c>
      <c r="G585">
        <f t="shared" si="92"/>
        <v>2022</v>
      </c>
      <c r="H585" t="str">
        <f t="shared" si="96"/>
        <v>82022</v>
      </c>
      <c r="I585">
        <f t="shared" si="97"/>
        <v>31</v>
      </c>
      <c r="J585">
        <f t="shared" si="93"/>
        <v>1524.5483870967741</v>
      </c>
      <c r="K585">
        <f t="shared" si="94"/>
        <v>712.40580645161299</v>
      </c>
      <c r="L585">
        <f t="shared" si="95"/>
        <v>520.9677419354839</v>
      </c>
      <c r="M585" t="str">
        <f t="shared" si="98"/>
        <v>312022</v>
      </c>
      <c r="N585" t="str">
        <f t="shared" si="99"/>
        <v>31-8-2022</v>
      </c>
    </row>
    <row r="586" spans="1:14" x14ac:dyDescent="0.2">
      <c r="A586" s="1">
        <v>44781</v>
      </c>
      <c r="B586">
        <f>IFERROR(INDEX('planning dogs-n-tiger'!B$1:B$30,MATCH($H586,'planning dogs-n-tiger'!$G$1:$G$42,0)),0)</f>
        <v>47261</v>
      </c>
      <c r="C586">
        <f>IFERROR(INDEX('planning dogs-n-tiger'!C$1:C$30,MATCH($H586,'planning dogs-n-tiger'!$G$1:$G$42,0)),0)</f>
        <v>22084.58</v>
      </c>
      <c r="D586">
        <f>IFERROR(INDEX('planning dogs-n-tiger'!D$1:D$30,MATCH($H586,'planning dogs-n-tiger'!$G$1:$G$42,0)),0)</f>
        <v>16150</v>
      </c>
      <c r="E586">
        <f t="shared" si="90"/>
        <v>32</v>
      </c>
      <c r="F586">
        <f t="shared" si="91"/>
        <v>8</v>
      </c>
      <c r="G586">
        <f t="shared" si="92"/>
        <v>2022</v>
      </c>
      <c r="H586" t="str">
        <f t="shared" si="96"/>
        <v>82022</v>
      </c>
      <c r="I586">
        <f t="shared" si="97"/>
        <v>31</v>
      </c>
      <c r="J586">
        <f t="shared" si="93"/>
        <v>1524.5483870967741</v>
      </c>
      <c r="K586">
        <f t="shared" si="94"/>
        <v>712.40580645161299</v>
      </c>
      <c r="L586">
        <f t="shared" si="95"/>
        <v>520.9677419354839</v>
      </c>
      <c r="M586" t="str">
        <f t="shared" si="98"/>
        <v>322022</v>
      </c>
      <c r="N586" t="str">
        <f t="shared" si="99"/>
        <v>32-8-2022</v>
      </c>
    </row>
    <row r="587" spans="1:14" x14ac:dyDescent="0.2">
      <c r="A587" s="1">
        <v>44782</v>
      </c>
      <c r="B587">
        <f>IFERROR(INDEX('planning dogs-n-tiger'!B$1:B$30,MATCH($H587,'planning dogs-n-tiger'!$G$1:$G$42,0)),0)</f>
        <v>47261</v>
      </c>
      <c r="C587">
        <f>IFERROR(INDEX('planning dogs-n-tiger'!C$1:C$30,MATCH($H587,'planning dogs-n-tiger'!$G$1:$G$42,0)),0)</f>
        <v>22084.58</v>
      </c>
      <c r="D587">
        <f>IFERROR(INDEX('planning dogs-n-tiger'!D$1:D$30,MATCH($H587,'planning dogs-n-tiger'!$G$1:$G$42,0)),0)</f>
        <v>16150</v>
      </c>
      <c r="E587">
        <f t="shared" si="90"/>
        <v>32</v>
      </c>
      <c r="F587">
        <f t="shared" si="91"/>
        <v>8</v>
      </c>
      <c r="G587">
        <f t="shared" si="92"/>
        <v>2022</v>
      </c>
      <c r="H587" t="str">
        <f t="shared" si="96"/>
        <v>82022</v>
      </c>
      <c r="I587">
        <f t="shared" si="97"/>
        <v>31</v>
      </c>
      <c r="J587">
        <f t="shared" si="93"/>
        <v>1524.5483870967741</v>
      </c>
      <c r="K587">
        <f t="shared" si="94"/>
        <v>712.40580645161299</v>
      </c>
      <c r="L587">
        <f t="shared" si="95"/>
        <v>520.9677419354839</v>
      </c>
      <c r="M587" t="str">
        <f t="shared" si="98"/>
        <v>322022</v>
      </c>
      <c r="N587" t="str">
        <f t="shared" si="99"/>
        <v>32-8-2022</v>
      </c>
    </row>
    <row r="588" spans="1:14" x14ac:dyDescent="0.2">
      <c r="A588" s="1">
        <v>44783</v>
      </c>
      <c r="B588">
        <f>IFERROR(INDEX('planning dogs-n-tiger'!B$1:B$30,MATCH($H588,'planning dogs-n-tiger'!$G$1:$G$42,0)),0)</f>
        <v>47261</v>
      </c>
      <c r="C588">
        <f>IFERROR(INDEX('planning dogs-n-tiger'!C$1:C$30,MATCH($H588,'planning dogs-n-tiger'!$G$1:$G$42,0)),0)</f>
        <v>22084.58</v>
      </c>
      <c r="D588">
        <f>IFERROR(INDEX('planning dogs-n-tiger'!D$1:D$30,MATCH($H588,'planning dogs-n-tiger'!$G$1:$G$42,0)),0)</f>
        <v>16150</v>
      </c>
      <c r="E588">
        <f t="shared" si="90"/>
        <v>32</v>
      </c>
      <c r="F588">
        <f t="shared" si="91"/>
        <v>8</v>
      </c>
      <c r="G588">
        <f t="shared" si="92"/>
        <v>2022</v>
      </c>
      <c r="H588" t="str">
        <f t="shared" si="96"/>
        <v>82022</v>
      </c>
      <c r="I588">
        <f t="shared" si="97"/>
        <v>31</v>
      </c>
      <c r="J588">
        <f t="shared" si="93"/>
        <v>1524.5483870967741</v>
      </c>
      <c r="K588">
        <f t="shared" si="94"/>
        <v>712.40580645161299</v>
      </c>
      <c r="L588">
        <f t="shared" si="95"/>
        <v>520.9677419354839</v>
      </c>
      <c r="M588" t="str">
        <f t="shared" si="98"/>
        <v>322022</v>
      </c>
      <c r="N588" t="str">
        <f t="shared" si="99"/>
        <v>32-8-2022</v>
      </c>
    </row>
    <row r="589" spans="1:14" x14ac:dyDescent="0.2">
      <c r="A589" s="1">
        <v>44784</v>
      </c>
      <c r="B589">
        <f>IFERROR(INDEX('planning dogs-n-tiger'!B$1:B$30,MATCH($H589,'planning dogs-n-tiger'!$G$1:$G$42,0)),0)</f>
        <v>47261</v>
      </c>
      <c r="C589">
        <f>IFERROR(INDEX('planning dogs-n-tiger'!C$1:C$30,MATCH($H589,'planning dogs-n-tiger'!$G$1:$G$42,0)),0)</f>
        <v>22084.58</v>
      </c>
      <c r="D589">
        <f>IFERROR(INDEX('planning dogs-n-tiger'!D$1:D$30,MATCH($H589,'planning dogs-n-tiger'!$G$1:$G$42,0)),0)</f>
        <v>16150</v>
      </c>
      <c r="E589">
        <f t="shared" si="90"/>
        <v>32</v>
      </c>
      <c r="F589">
        <f t="shared" si="91"/>
        <v>8</v>
      </c>
      <c r="G589">
        <f t="shared" si="92"/>
        <v>2022</v>
      </c>
      <c r="H589" t="str">
        <f t="shared" si="96"/>
        <v>82022</v>
      </c>
      <c r="I589">
        <f t="shared" si="97"/>
        <v>31</v>
      </c>
      <c r="J589">
        <f t="shared" si="93"/>
        <v>1524.5483870967741</v>
      </c>
      <c r="K589">
        <f t="shared" si="94"/>
        <v>712.40580645161299</v>
      </c>
      <c r="L589">
        <f t="shared" si="95"/>
        <v>520.9677419354839</v>
      </c>
      <c r="M589" t="str">
        <f t="shared" si="98"/>
        <v>322022</v>
      </c>
      <c r="N589" t="str">
        <f t="shared" si="99"/>
        <v>32-8-2022</v>
      </c>
    </row>
    <row r="590" spans="1:14" x14ac:dyDescent="0.2">
      <c r="A590" s="1">
        <v>44785</v>
      </c>
      <c r="B590">
        <f>IFERROR(INDEX('planning dogs-n-tiger'!B$1:B$30,MATCH($H590,'planning dogs-n-tiger'!$G$1:$G$42,0)),0)</f>
        <v>47261</v>
      </c>
      <c r="C590">
        <f>IFERROR(INDEX('planning dogs-n-tiger'!C$1:C$30,MATCH($H590,'planning dogs-n-tiger'!$G$1:$G$42,0)),0)</f>
        <v>22084.58</v>
      </c>
      <c r="D590">
        <f>IFERROR(INDEX('planning dogs-n-tiger'!D$1:D$30,MATCH($H590,'planning dogs-n-tiger'!$G$1:$G$42,0)),0)</f>
        <v>16150</v>
      </c>
      <c r="E590">
        <f t="shared" si="90"/>
        <v>32</v>
      </c>
      <c r="F590">
        <f t="shared" si="91"/>
        <v>8</v>
      </c>
      <c r="G590">
        <f t="shared" si="92"/>
        <v>2022</v>
      </c>
      <c r="H590" t="str">
        <f t="shared" si="96"/>
        <v>82022</v>
      </c>
      <c r="I590">
        <f t="shared" si="97"/>
        <v>31</v>
      </c>
      <c r="J590">
        <f t="shared" si="93"/>
        <v>1524.5483870967741</v>
      </c>
      <c r="K590">
        <f t="shared" si="94"/>
        <v>712.40580645161299</v>
      </c>
      <c r="L590">
        <f t="shared" si="95"/>
        <v>520.9677419354839</v>
      </c>
      <c r="M590" t="str">
        <f t="shared" si="98"/>
        <v>322022</v>
      </c>
      <c r="N590" t="str">
        <f t="shared" si="99"/>
        <v>32-8-2022</v>
      </c>
    </row>
    <row r="591" spans="1:14" x14ac:dyDescent="0.2">
      <c r="A591" s="1">
        <v>44786</v>
      </c>
      <c r="B591">
        <f>IFERROR(INDEX('planning dogs-n-tiger'!B$1:B$30,MATCH($H591,'planning dogs-n-tiger'!$G$1:$G$42,0)),0)</f>
        <v>47261</v>
      </c>
      <c r="C591">
        <f>IFERROR(INDEX('planning dogs-n-tiger'!C$1:C$30,MATCH($H591,'planning dogs-n-tiger'!$G$1:$G$42,0)),0)</f>
        <v>22084.58</v>
      </c>
      <c r="D591">
        <f>IFERROR(INDEX('planning dogs-n-tiger'!D$1:D$30,MATCH($H591,'planning dogs-n-tiger'!$G$1:$G$42,0)),0)</f>
        <v>16150</v>
      </c>
      <c r="E591">
        <f t="shared" si="90"/>
        <v>32</v>
      </c>
      <c r="F591">
        <f t="shared" si="91"/>
        <v>8</v>
      </c>
      <c r="G591">
        <f t="shared" si="92"/>
        <v>2022</v>
      </c>
      <c r="H591" t="str">
        <f t="shared" si="96"/>
        <v>82022</v>
      </c>
      <c r="I591">
        <f t="shared" si="97"/>
        <v>31</v>
      </c>
      <c r="J591">
        <f t="shared" si="93"/>
        <v>1524.5483870967741</v>
      </c>
      <c r="K591">
        <f t="shared" si="94"/>
        <v>712.40580645161299</v>
      </c>
      <c r="L591">
        <f t="shared" si="95"/>
        <v>520.9677419354839</v>
      </c>
      <c r="M591" t="str">
        <f t="shared" si="98"/>
        <v>322022</v>
      </c>
      <c r="N591" t="str">
        <f t="shared" si="99"/>
        <v>32-8-2022</v>
      </c>
    </row>
    <row r="592" spans="1:14" x14ac:dyDescent="0.2">
      <c r="A592" s="1">
        <v>44787</v>
      </c>
      <c r="B592">
        <f>IFERROR(INDEX('planning dogs-n-tiger'!B$1:B$30,MATCH($H592,'planning dogs-n-tiger'!$G$1:$G$42,0)),0)</f>
        <v>47261</v>
      </c>
      <c r="C592">
        <f>IFERROR(INDEX('planning dogs-n-tiger'!C$1:C$30,MATCH($H592,'planning dogs-n-tiger'!$G$1:$G$42,0)),0)</f>
        <v>22084.58</v>
      </c>
      <c r="D592">
        <f>IFERROR(INDEX('planning dogs-n-tiger'!D$1:D$30,MATCH($H592,'planning dogs-n-tiger'!$G$1:$G$42,0)),0)</f>
        <v>16150</v>
      </c>
      <c r="E592">
        <f t="shared" si="90"/>
        <v>32</v>
      </c>
      <c r="F592">
        <f t="shared" si="91"/>
        <v>8</v>
      </c>
      <c r="G592">
        <f t="shared" si="92"/>
        <v>2022</v>
      </c>
      <c r="H592" t="str">
        <f t="shared" si="96"/>
        <v>82022</v>
      </c>
      <c r="I592">
        <f t="shared" si="97"/>
        <v>31</v>
      </c>
      <c r="J592">
        <f t="shared" si="93"/>
        <v>1524.5483870967741</v>
      </c>
      <c r="K592">
        <f t="shared" si="94"/>
        <v>712.40580645161299</v>
      </c>
      <c r="L592">
        <f t="shared" si="95"/>
        <v>520.9677419354839</v>
      </c>
      <c r="M592" t="str">
        <f t="shared" si="98"/>
        <v>322022</v>
      </c>
      <c r="N592" t="str">
        <f t="shared" si="99"/>
        <v>32-8-2022</v>
      </c>
    </row>
    <row r="593" spans="1:14" x14ac:dyDescent="0.2">
      <c r="A593" s="1">
        <v>44788</v>
      </c>
      <c r="B593">
        <f>IFERROR(INDEX('planning dogs-n-tiger'!B$1:B$30,MATCH($H593,'planning dogs-n-tiger'!$G$1:$G$42,0)),0)</f>
        <v>47261</v>
      </c>
      <c r="C593">
        <f>IFERROR(INDEX('planning dogs-n-tiger'!C$1:C$30,MATCH($H593,'planning dogs-n-tiger'!$G$1:$G$42,0)),0)</f>
        <v>22084.58</v>
      </c>
      <c r="D593">
        <f>IFERROR(INDEX('planning dogs-n-tiger'!D$1:D$30,MATCH($H593,'planning dogs-n-tiger'!$G$1:$G$42,0)),0)</f>
        <v>16150</v>
      </c>
      <c r="E593">
        <f t="shared" si="90"/>
        <v>33</v>
      </c>
      <c r="F593">
        <f t="shared" si="91"/>
        <v>8</v>
      </c>
      <c r="G593">
        <f t="shared" si="92"/>
        <v>2022</v>
      </c>
      <c r="H593" t="str">
        <f t="shared" si="96"/>
        <v>82022</v>
      </c>
      <c r="I593">
        <f t="shared" si="97"/>
        <v>31</v>
      </c>
      <c r="J593">
        <f t="shared" si="93"/>
        <v>1524.5483870967741</v>
      </c>
      <c r="K593">
        <f t="shared" si="94"/>
        <v>712.40580645161299</v>
      </c>
      <c r="L593">
        <f t="shared" si="95"/>
        <v>520.9677419354839</v>
      </c>
      <c r="M593" t="str">
        <f t="shared" si="98"/>
        <v>332022</v>
      </c>
      <c r="N593" t="str">
        <f t="shared" si="99"/>
        <v>33-8-2022</v>
      </c>
    </row>
    <row r="594" spans="1:14" x14ac:dyDescent="0.2">
      <c r="A594" s="1">
        <v>44789</v>
      </c>
      <c r="B594">
        <f>IFERROR(INDEX('planning dogs-n-tiger'!B$1:B$30,MATCH($H594,'planning dogs-n-tiger'!$G$1:$G$42,0)),0)</f>
        <v>47261</v>
      </c>
      <c r="C594">
        <f>IFERROR(INDEX('planning dogs-n-tiger'!C$1:C$30,MATCH($H594,'planning dogs-n-tiger'!$G$1:$G$42,0)),0)</f>
        <v>22084.58</v>
      </c>
      <c r="D594">
        <f>IFERROR(INDEX('planning dogs-n-tiger'!D$1:D$30,MATCH($H594,'planning dogs-n-tiger'!$G$1:$G$42,0)),0)</f>
        <v>16150</v>
      </c>
      <c r="E594">
        <f t="shared" si="90"/>
        <v>33</v>
      </c>
      <c r="F594">
        <f t="shared" si="91"/>
        <v>8</v>
      </c>
      <c r="G594">
        <f t="shared" si="92"/>
        <v>2022</v>
      </c>
      <c r="H594" t="str">
        <f t="shared" si="96"/>
        <v>82022</v>
      </c>
      <c r="I594">
        <f t="shared" si="97"/>
        <v>31</v>
      </c>
      <c r="J594">
        <f t="shared" si="93"/>
        <v>1524.5483870967741</v>
      </c>
      <c r="K594">
        <f t="shared" si="94"/>
        <v>712.40580645161299</v>
      </c>
      <c r="L594">
        <f t="shared" si="95"/>
        <v>520.9677419354839</v>
      </c>
      <c r="M594" t="str">
        <f t="shared" si="98"/>
        <v>332022</v>
      </c>
      <c r="N594" t="str">
        <f t="shared" si="99"/>
        <v>33-8-2022</v>
      </c>
    </row>
    <row r="595" spans="1:14" x14ac:dyDescent="0.2">
      <c r="A595" s="1">
        <v>44790</v>
      </c>
      <c r="B595">
        <f>IFERROR(INDEX('planning dogs-n-tiger'!B$1:B$30,MATCH($H595,'planning dogs-n-tiger'!$G$1:$G$42,0)),0)</f>
        <v>47261</v>
      </c>
      <c r="C595">
        <f>IFERROR(INDEX('planning dogs-n-tiger'!C$1:C$30,MATCH($H595,'planning dogs-n-tiger'!$G$1:$G$42,0)),0)</f>
        <v>22084.58</v>
      </c>
      <c r="D595">
        <f>IFERROR(INDEX('planning dogs-n-tiger'!D$1:D$30,MATCH($H595,'planning dogs-n-tiger'!$G$1:$G$42,0)),0)</f>
        <v>16150</v>
      </c>
      <c r="E595">
        <f t="shared" si="90"/>
        <v>33</v>
      </c>
      <c r="F595">
        <f t="shared" si="91"/>
        <v>8</v>
      </c>
      <c r="G595">
        <f t="shared" si="92"/>
        <v>2022</v>
      </c>
      <c r="H595" t="str">
        <f t="shared" si="96"/>
        <v>82022</v>
      </c>
      <c r="I595">
        <f t="shared" si="97"/>
        <v>31</v>
      </c>
      <c r="J595">
        <f t="shared" si="93"/>
        <v>1524.5483870967741</v>
      </c>
      <c r="K595">
        <f t="shared" si="94"/>
        <v>712.40580645161299</v>
      </c>
      <c r="L595">
        <f t="shared" si="95"/>
        <v>520.9677419354839</v>
      </c>
      <c r="M595" t="str">
        <f t="shared" si="98"/>
        <v>332022</v>
      </c>
      <c r="N595" t="str">
        <f t="shared" si="99"/>
        <v>33-8-2022</v>
      </c>
    </row>
    <row r="596" spans="1:14" x14ac:dyDescent="0.2">
      <c r="A596" s="1">
        <v>44791</v>
      </c>
      <c r="B596">
        <f>IFERROR(INDEX('planning dogs-n-tiger'!B$1:B$30,MATCH($H596,'planning dogs-n-tiger'!$G$1:$G$42,0)),0)</f>
        <v>47261</v>
      </c>
      <c r="C596">
        <f>IFERROR(INDEX('planning dogs-n-tiger'!C$1:C$30,MATCH($H596,'planning dogs-n-tiger'!$G$1:$G$42,0)),0)</f>
        <v>22084.58</v>
      </c>
      <c r="D596">
        <f>IFERROR(INDEX('planning dogs-n-tiger'!D$1:D$30,MATCH($H596,'planning dogs-n-tiger'!$G$1:$G$42,0)),0)</f>
        <v>16150</v>
      </c>
      <c r="E596">
        <f t="shared" si="90"/>
        <v>33</v>
      </c>
      <c r="F596">
        <f t="shared" si="91"/>
        <v>8</v>
      </c>
      <c r="G596">
        <f t="shared" si="92"/>
        <v>2022</v>
      </c>
      <c r="H596" t="str">
        <f t="shared" si="96"/>
        <v>82022</v>
      </c>
      <c r="I596">
        <f t="shared" si="97"/>
        <v>31</v>
      </c>
      <c r="J596">
        <f t="shared" si="93"/>
        <v>1524.5483870967741</v>
      </c>
      <c r="K596">
        <f t="shared" si="94"/>
        <v>712.40580645161299</v>
      </c>
      <c r="L596">
        <f t="shared" si="95"/>
        <v>520.9677419354839</v>
      </c>
      <c r="M596" t="str">
        <f t="shared" si="98"/>
        <v>332022</v>
      </c>
      <c r="N596" t="str">
        <f t="shared" si="99"/>
        <v>33-8-2022</v>
      </c>
    </row>
    <row r="597" spans="1:14" x14ac:dyDescent="0.2">
      <c r="A597" s="1">
        <v>44792</v>
      </c>
      <c r="B597">
        <f>IFERROR(INDEX('planning dogs-n-tiger'!B$1:B$30,MATCH($H597,'planning dogs-n-tiger'!$G$1:$G$42,0)),0)</f>
        <v>47261</v>
      </c>
      <c r="C597">
        <f>IFERROR(INDEX('planning dogs-n-tiger'!C$1:C$30,MATCH($H597,'planning dogs-n-tiger'!$G$1:$G$42,0)),0)</f>
        <v>22084.58</v>
      </c>
      <c r="D597">
        <f>IFERROR(INDEX('planning dogs-n-tiger'!D$1:D$30,MATCH($H597,'planning dogs-n-tiger'!$G$1:$G$42,0)),0)</f>
        <v>16150</v>
      </c>
      <c r="E597">
        <f t="shared" si="90"/>
        <v>33</v>
      </c>
      <c r="F597">
        <f t="shared" si="91"/>
        <v>8</v>
      </c>
      <c r="G597">
        <f t="shared" si="92"/>
        <v>2022</v>
      </c>
      <c r="H597" t="str">
        <f t="shared" si="96"/>
        <v>82022</v>
      </c>
      <c r="I597">
        <f t="shared" si="97"/>
        <v>31</v>
      </c>
      <c r="J597">
        <f t="shared" si="93"/>
        <v>1524.5483870967741</v>
      </c>
      <c r="K597">
        <f t="shared" si="94"/>
        <v>712.40580645161299</v>
      </c>
      <c r="L597">
        <f t="shared" si="95"/>
        <v>520.9677419354839</v>
      </c>
      <c r="M597" t="str">
        <f t="shared" si="98"/>
        <v>332022</v>
      </c>
      <c r="N597" t="str">
        <f t="shared" si="99"/>
        <v>33-8-2022</v>
      </c>
    </row>
    <row r="598" spans="1:14" x14ac:dyDescent="0.2">
      <c r="A598" s="1">
        <v>44793</v>
      </c>
      <c r="B598">
        <f>IFERROR(INDEX('planning dogs-n-tiger'!B$1:B$30,MATCH($H598,'planning dogs-n-tiger'!$G$1:$G$42,0)),0)</f>
        <v>47261</v>
      </c>
      <c r="C598">
        <f>IFERROR(INDEX('planning dogs-n-tiger'!C$1:C$30,MATCH($H598,'planning dogs-n-tiger'!$G$1:$G$42,0)),0)</f>
        <v>22084.58</v>
      </c>
      <c r="D598">
        <f>IFERROR(INDEX('planning dogs-n-tiger'!D$1:D$30,MATCH($H598,'planning dogs-n-tiger'!$G$1:$G$42,0)),0)</f>
        <v>16150</v>
      </c>
      <c r="E598">
        <f t="shared" si="90"/>
        <v>33</v>
      </c>
      <c r="F598">
        <f t="shared" si="91"/>
        <v>8</v>
      </c>
      <c r="G598">
        <f t="shared" si="92"/>
        <v>2022</v>
      </c>
      <c r="H598" t="str">
        <f t="shared" si="96"/>
        <v>82022</v>
      </c>
      <c r="I598">
        <f t="shared" si="97"/>
        <v>31</v>
      </c>
      <c r="J598">
        <f t="shared" si="93"/>
        <v>1524.5483870967741</v>
      </c>
      <c r="K598">
        <f t="shared" si="94"/>
        <v>712.40580645161299</v>
      </c>
      <c r="L598">
        <f t="shared" si="95"/>
        <v>520.9677419354839</v>
      </c>
      <c r="M598" t="str">
        <f t="shared" si="98"/>
        <v>332022</v>
      </c>
      <c r="N598" t="str">
        <f t="shared" si="99"/>
        <v>33-8-2022</v>
      </c>
    </row>
    <row r="599" spans="1:14" x14ac:dyDescent="0.2">
      <c r="A599" s="1">
        <v>44794</v>
      </c>
      <c r="B599">
        <f>IFERROR(INDEX('planning dogs-n-tiger'!B$1:B$30,MATCH($H599,'planning dogs-n-tiger'!$G$1:$G$42,0)),0)</f>
        <v>47261</v>
      </c>
      <c r="C599">
        <f>IFERROR(INDEX('planning dogs-n-tiger'!C$1:C$30,MATCH($H599,'planning dogs-n-tiger'!$G$1:$G$42,0)),0)</f>
        <v>22084.58</v>
      </c>
      <c r="D599">
        <f>IFERROR(INDEX('planning dogs-n-tiger'!D$1:D$30,MATCH($H599,'planning dogs-n-tiger'!$G$1:$G$42,0)),0)</f>
        <v>16150</v>
      </c>
      <c r="E599">
        <f t="shared" si="90"/>
        <v>33</v>
      </c>
      <c r="F599">
        <f t="shared" si="91"/>
        <v>8</v>
      </c>
      <c r="G599">
        <f t="shared" si="92"/>
        <v>2022</v>
      </c>
      <c r="H599" t="str">
        <f t="shared" si="96"/>
        <v>82022</v>
      </c>
      <c r="I599">
        <f t="shared" si="97"/>
        <v>31</v>
      </c>
      <c r="J599">
        <f t="shared" si="93"/>
        <v>1524.5483870967741</v>
      </c>
      <c r="K599">
        <f t="shared" si="94"/>
        <v>712.40580645161299</v>
      </c>
      <c r="L599">
        <f t="shared" si="95"/>
        <v>520.9677419354839</v>
      </c>
      <c r="M599" t="str">
        <f t="shared" si="98"/>
        <v>332022</v>
      </c>
      <c r="N599" t="str">
        <f t="shared" si="99"/>
        <v>33-8-2022</v>
      </c>
    </row>
    <row r="600" spans="1:14" x14ac:dyDescent="0.2">
      <c r="A600" s="1">
        <v>44795</v>
      </c>
      <c r="B600">
        <f>IFERROR(INDEX('planning dogs-n-tiger'!B$1:B$30,MATCH($H600,'planning dogs-n-tiger'!$G$1:$G$42,0)),0)</f>
        <v>47261</v>
      </c>
      <c r="C600">
        <f>IFERROR(INDEX('planning dogs-n-tiger'!C$1:C$30,MATCH($H600,'planning dogs-n-tiger'!$G$1:$G$42,0)),0)</f>
        <v>22084.58</v>
      </c>
      <c r="D600">
        <f>IFERROR(INDEX('planning dogs-n-tiger'!D$1:D$30,MATCH($H600,'planning dogs-n-tiger'!$G$1:$G$42,0)),0)</f>
        <v>16150</v>
      </c>
      <c r="E600">
        <f t="shared" si="90"/>
        <v>34</v>
      </c>
      <c r="F600">
        <f t="shared" si="91"/>
        <v>8</v>
      </c>
      <c r="G600">
        <f t="shared" si="92"/>
        <v>2022</v>
      </c>
      <c r="H600" t="str">
        <f t="shared" si="96"/>
        <v>82022</v>
      </c>
      <c r="I600">
        <f t="shared" si="97"/>
        <v>31</v>
      </c>
      <c r="J600">
        <f t="shared" si="93"/>
        <v>1524.5483870967741</v>
      </c>
      <c r="K600">
        <f t="shared" si="94"/>
        <v>712.40580645161299</v>
      </c>
      <c r="L600">
        <f t="shared" si="95"/>
        <v>520.9677419354839</v>
      </c>
      <c r="M600" t="str">
        <f t="shared" si="98"/>
        <v>342022</v>
      </c>
      <c r="N600" t="str">
        <f t="shared" si="99"/>
        <v>34-8-2022</v>
      </c>
    </row>
    <row r="601" spans="1:14" x14ac:dyDescent="0.2">
      <c r="A601" s="1">
        <v>44796</v>
      </c>
      <c r="B601">
        <f>IFERROR(INDEX('planning dogs-n-tiger'!B$1:B$30,MATCH($H601,'planning dogs-n-tiger'!$G$1:$G$42,0)),0)</f>
        <v>47261</v>
      </c>
      <c r="C601">
        <f>IFERROR(INDEX('planning dogs-n-tiger'!C$1:C$30,MATCH($H601,'planning dogs-n-tiger'!$G$1:$G$42,0)),0)</f>
        <v>22084.58</v>
      </c>
      <c r="D601">
        <f>IFERROR(INDEX('planning dogs-n-tiger'!D$1:D$30,MATCH($H601,'planning dogs-n-tiger'!$G$1:$G$42,0)),0)</f>
        <v>16150</v>
      </c>
      <c r="E601">
        <f t="shared" si="90"/>
        <v>34</v>
      </c>
      <c r="F601">
        <f t="shared" si="91"/>
        <v>8</v>
      </c>
      <c r="G601">
        <f t="shared" si="92"/>
        <v>2022</v>
      </c>
      <c r="H601" t="str">
        <f t="shared" si="96"/>
        <v>82022</v>
      </c>
      <c r="I601">
        <f t="shared" si="97"/>
        <v>31</v>
      </c>
      <c r="J601">
        <f t="shared" si="93"/>
        <v>1524.5483870967741</v>
      </c>
      <c r="K601">
        <f t="shared" si="94"/>
        <v>712.40580645161299</v>
      </c>
      <c r="L601">
        <f t="shared" si="95"/>
        <v>520.9677419354839</v>
      </c>
      <c r="M601" t="str">
        <f t="shared" si="98"/>
        <v>342022</v>
      </c>
      <c r="N601" t="str">
        <f t="shared" si="99"/>
        <v>34-8-2022</v>
      </c>
    </row>
    <row r="602" spans="1:14" x14ac:dyDescent="0.2">
      <c r="A602" s="1">
        <v>44797</v>
      </c>
      <c r="B602">
        <f>IFERROR(INDEX('planning dogs-n-tiger'!B$1:B$30,MATCH($H602,'planning dogs-n-tiger'!$G$1:$G$42,0)),0)</f>
        <v>47261</v>
      </c>
      <c r="C602">
        <f>IFERROR(INDEX('planning dogs-n-tiger'!C$1:C$30,MATCH($H602,'planning dogs-n-tiger'!$G$1:$G$42,0)),0)</f>
        <v>22084.58</v>
      </c>
      <c r="D602">
        <f>IFERROR(INDEX('planning dogs-n-tiger'!D$1:D$30,MATCH($H602,'planning dogs-n-tiger'!$G$1:$G$42,0)),0)</f>
        <v>16150</v>
      </c>
      <c r="E602">
        <f t="shared" si="90"/>
        <v>34</v>
      </c>
      <c r="F602">
        <f t="shared" si="91"/>
        <v>8</v>
      </c>
      <c r="G602">
        <f t="shared" si="92"/>
        <v>2022</v>
      </c>
      <c r="H602" t="str">
        <f t="shared" si="96"/>
        <v>82022</v>
      </c>
      <c r="I602">
        <f t="shared" si="97"/>
        <v>31</v>
      </c>
      <c r="J602">
        <f t="shared" si="93"/>
        <v>1524.5483870967741</v>
      </c>
      <c r="K602">
        <f t="shared" si="94"/>
        <v>712.40580645161299</v>
      </c>
      <c r="L602">
        <f t="shared" si="95"/>
        <v>520.9677419354839</v>
      </c>
      <c r="M602" t="str">
        <f t="shared" si="98"/>
        <v>342022</v>
      </c>
      <c r="N602" t="str">
        <f t="shared" si="99"/>
        <v>34-8-2022</v>
      </c>
    </row>
    <row r="603" spans="1:14" x14ac:dyDescent="0.2">
      <c r="A603" s="1">
        <v>44798</v>
      </c>
      <c r="B603">
        <f>IFERROR(INDEX('planning dogs-n-tiger'!B$1:B$30,MATCH($H603,'planning dogs-n-tiger'!$G$1:$G$42,0)),0)</f>
        <v>47261</v>
      </c>
      <c r="C603">
        <f>IFERROR(INDEX('planning dogs-n-tiger'!C$1:C$30,MATCH($H603,'planning dogs-n-tiger'!$G$1:$G$42,0)),0)</f>
        <v>22084.58</v>
      </c>
      <c r="D603">
        <f>IFERROR(INDEX('planning dogs-n-tiger'!D$1:D$30,MATCH($H603,'planning dogs-n-tiger'!$G$1:$G$42,0)),0)</f>
        <v>16150</v>
      </c>
      <c r="E603">
        <f t="shared" si="90"/>
        <v>34</v>
      </c>
      <c r="F603">
        <f t="shared" si="91"/>
        <v>8</v>
      </c>
      <c r="G603">
        <f t="shared" si="92"/>
        <v>2022</v>
      </c>
      <c r="H603" t="str">
        <f t="shared" si="96"/>
        <v>82022</v>
      </c>
      <c r="I603">
        <f t="shared" si="97"/>
        <v>31</v>
      </c>
      <c r="J603">
        <f t="shared" si="93"/>
        <v>1524.5483870967741</v>
      </c>
      <c r="K603">
        <f t="shared" si="94"/>
        <v>712.40580645161299</v>
      </c>
      <c r="L603">
        <f t="shared" si="95"/>
        <v>520.9677419354839</v>
      </c>
      <c r="M603" t="str">
        <f t="shared" si="98"/>
        <v>342022</v>
      </c>
      <c r="N603" t="str">
        <f t="shared" si="99"/>
        <v>34-8-2022</v>
      </c>
    </row>
    <row r="604" spans="1:14" x14ac:dyDescent="0.2">
      <c r="A604" s="1">
        <v>44799</v>
      </c>
      <c r="B604">
        <f>IFERROR(INDEX('planning dogs-n-tiger'!B$1:B$30,MATCH($H604,'planning dogs-n-tiger'!$G$1:$G$42,0)),0)</f>
        <v>47261</v>
      </c>
      <c r="C604">
        <f>IFERROR(INDEX('planning dogs-n-tiger'!C$1:C$30,MATCH($H604,'planning dogs-n-tiger'!$G$1:$G$42,0)),0)</f>
        <v>22084.58</v>
      </c>
      <c r="D604">
        <f>IFERROR(INDEX('planning dogs-n-tiger'!D$1:D$30,MATCH($H604,'planning dogs-n-tiger'!$G$1:$G$42,0)),0)</f>
        <v>16150</v>
      </c>
      <c r="E604">
        <f t="shared" si="90"/>
        <v>34</v>
      </c>
      <c r="F604">
        <f t="shared" si="91"/>
        <v>8</v>
      </c>
      <c r="G604">
        <f t="shared" si="92"/>
        <v>2022</v>
      </c>
      <c r="H604" t="str">
        <f t="shared" si="96"/>
        <v>82022</v>
      </c>
      <c r="I604">
        <f t="shared" si="97"/>
        <v>31</v>
      </c>
      <c r="J604">
        <f t="shared" si="93"/>
        <v>1524.5483870967741</v>
      </c>
      <c r="K604">
        <f t="shared" si="94"/>
        <v>712.40580645161299</v>
      </c>
      <c r="L604">
        <f t="shared" si="95"/>
        <v>520.9677419354839</v>
      </c>
      <c r="M604" t="str">
        <f t="shared" si="98"/>
        <v>342022</v>
      </c>
      <c r="N604" t="str">
        <f t="shared" si="99"/>
        <v>34-8-2022</v>
      </c>
    </row>
    <row r="605" spans="1:14" x14ac:dyDescent="0.2">
      <c r="A605" s="1">
        <v>44800</v>
      </c>
      <c r="B605">
        <f>IFERROR(INDEX('planning dogs-n-tiger'!B$1:B$30,MATCH($H605,'planning dogs-n-tiger'!$G$1:$G$42,0)),0)</f>
        <v>47261</v>
      </c>
      <c r="C605">
        <f>IFERROR(INDEX('planning dogs-n-tiger'!C$1:C$30,MATCH($H605,'planning dogs-n-tiger'!$G$1:$G$42,0)),0)</f>
        <v>22084.58</v>
      </c>
      <c r="D605">
        <f>IFERROR(INDEX('planning dogs-n-tiger'!D$1:D$30,MATCH($H605,'planning dogs-n-tiger'!$G$1:$G$42,0)),0)</f>
        <v>16150</v>
      </c>
      <c r="E605">
        <f t="shared" si="90"/>
        <v>34</v>
      </c>
      <c r="F605">
        <f t="shared" si="91"/>
        <v>8</v>
      </c>
      <c r="G605">
        <f t="shared" si="92"/>
        <v>2022</v>
      </c>
      <c r="H605" t="str">
        <f t="shared" si="96"/>
        <v>82022</v>
      </c>
      <c r="I605">
        <f t="shared" si="97"/>
        <v>31</v>
      </c>
      <c r="J605">
        <f t="shared" si="93"/>
        <v>1524.5483870967741</v>
      </c>
      <c r="K605">
        <f t="shared" si="94"/>
        <v>712.40580645161299</v>
      </c>
      <c r="L605">
        <f t="shared" si="95"/>
        <v>520.9677419354839</v>
      </c>
      <c r="M605" t="str">
        <f t="shared" si="98"/>
        <v>342022</v>
      </c>
      <c r="N605" t="str">
        <f t="shared" si="99"/>
        <v>34-8-2022</v>
      </c>
    </row>
    <row r="606" spans="1:14" x14ac:dyDescent="0.2">
      <c r="A606" s="1">
        <v>44801</v>
      </c>
      <c r="B606">
        <f>IFERROR(INDEX('planning dogs-n-tiger'!B$1:B$30,MATCH($H606,'planning dogs-n-tiger'!$G$1:$G$42,0)),0)</f>
        <v>47261</v>
      </c>
      <c r="C606">
        <f>IFERROR(INDEX('planning dogs-n-tiger'!C$1:C$30,MATCH($H606,'planning dogs-n-tiger'!$G$1:$G$42,0)),0)</f>
        <v>22084.58</v>
      </c>
      <c r="D606">
        <f>IFERROR(INDEX('planning dogs-n-tiger'!D$1:D$30,MATCH($H606,'planning dogs-n-tiger'!$G$1:$G$42,0)),0)</f>
        <v>16150</v>
      </c>
      <c r="E606">
        <f t="shared" si="90"/>
        <v>34</v>
      </c>
      <c r="F606">
        <f t="shared" si="91"/>
        <v>8</v>
      </c>
      <c r="G606">
        <f t="shared" si="92"/>
        <v>2022</v>
      </c>
      <c r="H606" t="str">
        <f t="shared" si="96"/>
        <v>82022</v>
      </c>
      <c r="I606">
        <f t="shared" si="97"/>
        <v>31</v>
      </c>
      <c r="J606">
        <f t="shared" si="93"/>
        <v>1524.5483870967741</v>
      </c>
      <c r="K606">
        <f t="shared" si="94"/>
        <v>712.40580645161299</v>
      </c>
      <c r="L606">
        <f t="shared" si="95"/>
        <v>520.9677419354839</v>
      </c>
      <c r="M606" t="str">
        <f t="shared" si="98"/>
        <v>342022</v>
      </c>
      <c r="N606" t="str">
        <f t="shared" si="99"/>
        <v>34-8-2022</v>
      </c>
    </row>
    <row r="607" spans="1:14" x14ac:dyDescent="0.2">
      <c r="A607" s="1">
        <v>44802</v>
      </c>
      <c r="B607">
        <f>IFERROR(INDEX('planning dogs-n-tiger'!B$1:B$30,MATCH($H607,'planning dogs-n-tiger'!$G$1:$G$42,0)),0)</f>
        <v>47261</v>
      </c>
      <c r="C607">
        <f>IFERROR(INDEX('planning dogs-n-tiger'!C$1:C$30,MATCH($H607,'planning dogs-n-tiger'!$G$1:$G$42,0)),0)</f>
        <v>22084.58</v>
      </c>
      <c r="D607">
        <f>IFERROR(INDEX('planning dogs-n-tiger'!D$1:D$30,MATCH($H607,'planning dogs-n-tiger'!$G$1:$G$42,0)),0)</f>
        <v>16150</v>
      </c>
      <c r="E607">
        <f t="shared" si="90"/>
        <v>35</v>
      </c>
      <c r="F607">
        <f t="shared" si="91"/>
        <v>8</v>
      </c>
      <c r="G607">
        <f t="shared" si="92"/>
        <v>2022</v>
      </c>
      <c r="H607" t="str">
        <f t="shared" si="96"/>
        <v>82022</v>
      </c>
      <c r="I607">
        <f t="shared" si="97"/>
        <v>31</v>
      </c>
      <c r="J607">
        <f t="shared" si="93"/>
        <v>1524.5483870967741</v>
      </c>
      <c r="K607">
        <f t="shared" si="94"/>
        <v>712.40580645161299</v>
      </c>
      <c r="L607">
        <f t="shared" si="95"/>
        <v>520.9677419354839</v>
      </c>
      <c r="M607" t="str">
        <f t="shared" si="98"/>
        <v>352022</v>
      </c>
      <c r="N607" t="str">
        <f t="shared" si="99"/>
        <v>35-8-2022</v>
      </c>
    </row>
    <row r="608" spans="1:14" x14ac:dyDescent="0.2">
      <c r="A608" s="1">
        <v>44803</v>
      </c>
      <c r="B608">
        <f>IFERROR(INDEX('planning dogs-n-tiger'!B$1:B$30,MATCH($H608,'planning dogs-n-tiger'!$G$1:$G$42,0)),0)</f>
        <v>47261</v>
      </c>
      <c r="C608">
        <f>IFERROR(INDEX('planning dogs-n-tiger'!C$1:C$30,MATCH($H608,'planning dogs-n-tiger'!$G$1:$G$42,0)),0)</f>
        <v>22084.58</v>
      </c>
      <c r="D608">
        <f>IFERROR(INDEX('planning dogs-n-tiger'!D$1:D$30,MATCH($H608,'planning dogs-n-tiger'!$G$1:$G$42,0)),0)</f>
        <v>16150</v>
      </c>
      <c r="E608">
        <f t="shared" si="90"/>
        <v>35</v>
      </c>
      <c r="F608">
        <f t="shared" si="91"/>
        <v>8</v>
      </c>
      <c r="G608">
        <f t="shared" si="92"/>
        <v>2022</v>
      </c>
      <c r="H608" t="str">
        <f t="shared" si="96"/>
        <v>82022</v>
      </c>
      <c r="I608">
        <f t="shared" si="97"/>
        <v>31</v>
      </c>
      <c r="J608">
        <f t="shared" si="93"/>
        <v>1524.5483870967741</v>
      </c>
      <c r="K608">
        <f t="shared" si="94"/>
        <v>712.40580645161299</v>
      </c>
      <c r="L608">
        <f t="shared" si="95"/>
        <v>520.9677419354839</v>
      </c>
      <c r="M608" t="str">
        <f t="shared" si="98"/>
        <v>352022</v>
      </c>
      <c r="N608" t="str">
        <f t="shared" si="99"/>
        <v>35-8-2022</v>
      </c>
    </row>
    <row r="609" spans="1:14" x14ac:dyDescent="0.2">
      <c r="A609" s="1">
        <v>44804</v>
      </c>
      <c r="B609">
        <f>IFERROR(INDEX('planning dogs-n-tiger'!B$1:B$30,MATCH($H609,'planning dogs-n-tiger'!$G$1:$G$42,0)),0)</f>
        <v>47261</v>
      </c>
      <c r="C609">
        <f>IFERROR(INDEX('planning dogs-n-tiger'!C$1:C$30,MATCH($H609,'planning dogs-n-tiger'!$G$1:$G$42,0)),0)</f>
        <v>22084.58</v>
      </c>
      <c r="D609">
        <f>IFERROR(INDEX('planning dogs-n-tiger'!D$1:D$30,MATCH($H609,'planning dogs-n-tiger'!$G$1:$G$42,0)),0)</f>
        <v>16150</v>
      </c>
      <c r="E609">
        <f t="shared" si="90"/>
        <v>35</v>
      </c>
      <c r="F609">
        <f t="shared" si="91"/>
        <v>8</v>
      </c>
      <c r="G609">
        <f t="shared" si="92"/>
        <v>2022</v>
      </c>
      <c r="H609" t="str">
        <f t="shared" si="96"/>
        <v>82022</v>
      </c>
      <c r="I609">
        <f t="shared" si="97"/>
        <v>31</v>
      </c>
      <c r="J609">
        <f t="shared" si="93"/>
        <v>1524.5483870967741</v>
      </c>
      <c r="K609">
        <f t="shared" si="94"/>
        <v>712.40580645161299</v>
      </c>
      <c r="L609">
        <f t="shared" si="95"/>
        <v>520.9677419354839</v>
      </c>
      <c r="M609" t="str">
        <f t="shared" si="98"/>
        <v>352022</v>
      </c>
      <c r="N609" t="str">
        <f t="shared" si="99"/>
        <v>35-8-2022</v>
      </c>
    </row>
    <row r="610" spans="1:14" x14ac:dyDescent="0.2">
      <c r="A610" s="1">
        <v>44805</v>
      </c>
      <c r="B610">
        <f>IFERROR(INDEX('planning dogs-n-tiger'!B$1:B$30,MATCH($H610,'planning dogs-n-tiger'!$G$1:$G$42,0)),0)</f>
        <v>41564</v>
      </c>
      <c r="C610">
        <f>IFERROR(INDEX('planning dogs-n-tiger'!C$1:C$30,MATCH($H610,'planning dogs-n-tiger'!$G$1:$G$42,0)),0)</f>
        <v>26644</v>
      </c>
      <c r="D610">
        <f>IFERROR(INDEX('planning dogs-n-tiger'!D$1:D$30,MATCH($H610,'planning dogs-n-tiger'!$G$1:$G$42,0)),0)</f>
        <v>15650</v>
      </c>
      <c r="E610">
        <f t="shared" si="90"/>
        <v>35</v>
      </c>
      <c r="F610">
        <f t="shared" si="91"/>
        <v>9</v>
      </c>
      <c r="G610">
        <f t="shared" si="92"/>
        <v>2022</v>
      </c>
      <c r="H610" t="str">
        <f t="shared" si="96"/>
        <v>92022</v>
      </c>
      <c r="I610">
        <f t="shared" si="97"/>
        <v>30</v>
      </c>
      <c r="J610">
        <f t="shared" si="93"/>
        <v>1385.4666666666667</v>
      </c>
      <c r="K610">
        <f t="shared" si="94"/>
        <v>888.13333333333333</v>
      </c>
      <c r="L610">
        <f t="shared" si="95"/>
        <v>521.66666666666663</v>
      </c>
      <c r="M610" t="str">
        <f t="shared" si="98"/>
        <v>352022</v>
      </c>
      <c r="N610" t="str">
        <f t="shared" si="99"/>
        <v>35-9-2022</v>
      </c>
    </row>
    <row r="611" spans="1:14" x14ac:dyDescent="0.2">
      <c r="A611" s="1">
        <v>44806</v>
      </c>
      <c r="B611">
        <f>IFERROR(INDEX('planning dogs-n-tiger'!B$1:B$30,MATCH($H611,'planning dogs-n-tiger'!$G$1:$G$42,0)),0)</f>
        <v>41564</v>
      </c>
      <c r="C611">
        <f>IFERROR(INDEX('planning dogs-n-tiger'!C$1:C$30,MATCH($H611,'planning dogs-n-tiger'!$G$1:$G$42,0)),0)</f>
        <v>26644</v>
      </c>
      <c r="D611">
        <f>IFERROR(INDEX('planning dogs-n-tiger'!D$1:D$30,MATCH($H611,'planning dogs-n-tiger'!$G$1:$G$42,0)),0)</f>
        <v>15650</v>
      </c>
      <c r="E611">
        <f t="shared" si="90"/>
        <v>35</v>
      </c>
      <c r="F611">
        <f t="shared" si="91"/>
        <v>9</v>
      </c>
      <c r="G611">
        <f t="shared" si="92"/>
        <v>2022</v>
      </c>
      <c r="H611" t="str">
        <f t="shared" si="96"/>
        <v>92022</v>
      </c>
      <c r="I611">
        <f t="shared" si="97"/>
        <v>30</v>
      </c>
      <c r="J611">
        <f t="shared" si="93"/>
        <v>1385.4666666666667</v>
      </c>
      <c r="K611">
        <f t="shared" si="94"/>
        <v>888.13333333333333</v>
      </c>
      <c r="L611">
        <f t="shared" si="95"/>
        <v>521.66666666666663</v>
      </c>
      <c r="M611" t="str">
        <f t="shared" si="98"/>
        <v>352022</v>
      </c>
      <c r="N611" t="str">
        <f t="shared" si="99"/>
        <v>35-9-2022</v>
      </c>
    </row>
    <row r="612" spans="1:14" x14ac:dyDescent="0.2">
      <c r="A612" s="1">
        <v>44807</v>
      </c>
      <c r="B612">
        <f>IFERROR(INDEX('planning dogs-n-tiger'!B$1:B$30,MATCH($H612,'planning dogs-n-tiger'!$G$1:$G$42,0)),0)</f>
        <v>41564</v>
      </c>
      <c r="C612">
        <f>IFERROR(INDEX('planning dogs-n-tiger'!C$1:C$30,MATCH($H612,'planning dogs-n-tiger'!$G$1:$G$42,0)),0)</f>
        <v>26644</v>
      </c>
      <c r="D612">
        <f>IFERROR(INDEX('planning dogs-n-tiger'!D$1:D$30,MATCH($H612,'planning dogs-n-tiger'!$G$1:$G$42,0)),0)</f>
        <v>15650</v>
      </c>
      <c r="E612">
        <f t="shared" si="90"/>
        <v>35</v>
      </c>
      <c r="F612">
        <f t="shared" si="91"/>
        <v>9</v>
      </c>
      <c r="G612">
        <f t="shared" si="92"/>
        <v>2022</v>
      </c>
      <c r="H612" t="str">
        <f t="shared" si="96"/>
        <v>92022</v>
      </c>
      <c r="I612">
        <f t="shared" si="97"/>
        <v>30</v>
      </c>
      <c r="J612">
        <f t="shared" si="93"/>
        <v>1385.4666666666667</v>
      </c>
      <c r="K612">
        <f t="shared" si="94"/>
        <v>888.13333333333333</v>
      </c>
      <c r="L612">
        <f t="shared" si="95"/>
        <v>521.66666666666663</v>
      </c>
      <c r="M612" t="str">
        <f t="shared" si="98"/>
        <v>352022</v>
      </c>
      <c r="N612" t="str">
        <f t="shared" si="99"/>
        <v>35-9-2022</v>
      </c>
    </row>
    <row r="613" spans="1:14" x14ac:dyDescent="0.2">
      <c r="A613" s="1">
        <v>44808</v>
      </c>
      <c r="B613">
        <f>IFERROR(INDEX('planning dogs-n-tiger'!B$1:B$30,MATCH($H613,'planning dogs-n-tiger'!$G$1:$G$42,0)),0)</f>
        <v>41564</v>
      </c>
      <c r="C613">
        <f>IFERROR(INDEX('planning dogs-n-tiger'!C$1:C$30,MATCH($H613,'planning dogs-n-tiger'!$G$1:$G$42,0)),0)</f>
        <v>26644</v>
      </c>
      <c r="D613">
        <f>IFERROR(INDEX('planning dogs-n-tiger'!D$1:D$30,MATCH($H613,'planning dogs-n-tiger'!$G$1:$G$42,0)),0)</f>
        <v>15650</v>
      </c>
      <c r="E613">
        <f t="shared" si="90"/>
        <v>35</v>
      </c>
      <c r="F613">
        <f t="shared" si="91"/>
        <v>9</v>
      </c>
      <c r="G613">
        <f t="shared" si="92"/>
        <v>2022</v>
      </c>
      <c r="H613" t="str">
        <f t="shared" si="96"/>
        <v>92022</v>
      </c>
      <c r="I613">
        <f t="shared" si="97"/>
        <v>30</v>
      </c>
      <c r="J613">
        <f t="shared" si="93"/>
        <v>1385.4666666666667</v>
      </c>
      <c r="K613">
        <f t="shared" si="94"/>
        <v>888.13333333333333</v>
      </c>
      <c r="L613">
        <f t="shared" si="95"/>
        <v>521.66666666666663</v>
      </c>
      <c r="M613" t="str">
        <f t="shared" si="98"/>
        <v>352022</v>
      </c>
      <c r="N613" t="str">
        <f t="shared" si="99"/>
        <v>35-9-2022</v>
      </c>
    </row>
    <row r="614" spans="1:14" x14ac:dyDescent="0.2">
      <c r="A614" s="1">
        <v>44809</v>
      </c>
      <c r="B614">
        <f>IFERROR(INDEX('planning dogs-n-tiger'!B$1:B$30,MATCH($H614,'planning dogs-n-tiger'!$G$1:$G$42,0)),0)</f>
        <v>41564</v>
      </c>
      <c r="C614">
        <f>IFERROR(INDEX('planning dogs-n-tiger'!C$1:C$30,MATCH($H614,'planning dogs-n-tiger'!$G$1:$G$42,0)),0)</f>
        <v>26644</v>
      </c>
      <c r="D614">
        <f>IFERROR(INDEX('planning dogs-n-tiger'!D$1:D$30,MATCH($H614,'planning dogs-n-tiger'!$G$1:$G$42,0)),0)</f>
        <v>15650</v>
      </c>
      <c r="E614">
        <f t="shared" si="90"/>
        <v>36</v>
      </c>
      <c r="F614">
        <f t="shared" si="91"/>
        <v>9</v>
      </c>
      <c r="G614">
        <f t="shared" si="92"/>
        <v>2022</v>
      </c>
      <c r="H614" t="str">
        <f t="shared" si="96"/>
        <v>92022</v>
      </c>
      <c r="I614">
        <f t="shared" si="97"/>
        <v>30</v>
      </c>
      <c r="J614">
        <f t="shared" si="93"/>
        <v>1385.4666666666667</v>
      </c>
      <c r="K614">
        <f t="shared" si="94"/>
        <v>888.13333333333333</v>
      </c>
      <c r="L614">
        <f t="shared" si="95"/>
        <v>521.66666666666663</v>
      </c>
      <c r="M614" t="str">
        <f t="shared" si="98"/>
        <v>362022</v>
      </c>
      <c r="N614" t="str">
        <f t="shared" si="99"/>
        <v>36-9-2022</v>
      </c>
    </row>
    <row r="615" spans="1:14" x14ac:dyDescent="0.2">
      <c r="A615" s="1">
        <v>44810</v>
      </c>
      <c r="B615">
        <f>IFERROR(INDEX('planning dogs-n-tiger'!B$1:B$30,MATCH($H615,'planning dogs-n-tiger'!$G$1:$G$42,0)),0)</f>
        <v>41564</v>
      </c>
      <c r="C615">
        <f>IFERROR(INDEX('planning dogs-n-tiger'!C$1:C$30,MATCH($H615,'planning dogs-n-tiger'!$G$1:$G$42,0)),0)</f>
        <v>26644</v>
      </c>
      <c r="D615">
        <f>IFERROR(INDEX('planning dogs-n-tiger'!D$1:D$30,MATCH($H615,'planning dogs-n-tiger'!$G$1:$G$42,0)),0)</f>
        <v>15650</v>
      </c>
      <c r="E615">
        <f t="shared" si="90"/>
        <v>36</v>
      </c>
      <c r="F615">
        <f t="shared" si="91"/>
        <v>9</v>
      </c>
      <c r="G615">
        <f t="shared" si="92"/>
        <v>2022</v>
      </c>
      <c r="H615" t="str">
        <f t="shared" si="96"/>
        <v>92022</v>
      </c>
      <c r="I615">
        <f t="shared" si="97"/>
        <v>30</v>
      </c>
      <c r="J615">
        <f t="shared" si="93"/>
        <v>1385.4666666666667</v>
      </c>
      <c r="K615">
        <f t="shared" si="94"/>
        <v>888.13333333333333</v>
      </c>
      <c r="L615">
        <f t="shared" si="95"/>
        <v>521.66666666666663</v>
      </c>
      <c r="M615" t="str">
        <f t="shared" si="98"/>
        <v>362022</v>
      </c>
      <c r="N615" t="str">
        <f t="shared" si="99"/>
        <v>36-9-2022</v>
      </c>
    </row>
    <row r="616" spans="1:14" x14ac:dyDescent="0.2">
      <c r="A616" s="1">
        <v>44811</v>
      </c>
      <c r="B616">
        <f>IFERROR(INDEX('planning dogs-n-tiger'!B$1:B$30,MATCH($H616,'planning dogs-n-tiger'!$G$1:$G$42,0)),0)</f>
        <v>41564</v>
      </c>
      <c r="C616">
        <f>IFERROR(INDEX('planning dogs-n-tiger'!C$1:C$30,MATCH($H616,'planning dogs-n-tiger'!$G$1:$G$42,0)),0)</f>
        <v>26644</v>
      </c>
      <c r="D616">
        <f>IFERROR(INDEX('planning dogs-n-tiger'!D$1:D$30,MATCH($H616,'planning dogs-n-tiger'!$G$1:$G$42,0)),0)</f>
        <v>15650</v>
      </c>
      <c r="E616">
        <f t="shared" si="90"/>
        <v>36</v>
      </c>
      <c r="F616">
        <f t="shared" si="91"/>
        <v>9</v>
      </c>
      <c r="G616">
        <f t="shared" si="92"/>
        <v>2022</v>
      </c>
      <c r="H616" t="str">
        <f t="shared" si="96"/>
        <v>92022</v>
      </c>
      <c r="I616">
        <f t="shared" si="97"/>
        <v>30</v>
      </c>
      <c r="J616">
        <f t="shared" si="93"/>
        <v>1385.4666666666667</v>
      </c>
      <c r="K616">
        <f t="shared" si="94"/>
        <v>888.13333333333333</v>
      </c>
      <c r="L616">
        <f t="shared" si="95"/>
        <v>521.66666666666663</v>
      </c>
      <c r="M616" t="str">
        <f t="shared" si="98"/>
        <v>362022</v>
      </c>
      <c r="N616" t="str">
        <f t="shared" si="99"/>
        <v>36-9-2022</v>
      </c>
    </row>
    <row r="617" spans="1:14" x14ac:dyDescent="0.2">
      <c r="A617" s="1">
        <v>44812</v>
      </c>
      <c r="B617">
        <f>IFERROR(INDEX('planning dogs-n-tiger'!B$1:B$30,MATCH($H617,'planning dogs-n-tiger'!$G$1:$G$42,0)),0)</f>
        <v>41564</v>
      </c>
      <c r="C617">
        <f>IFERROR(INDEX('planning dogs-n-tiger'!C$1:C$30,MATCH($H617,'planning dogs-n-tiger'!$G$1:$G$42,0)),0)</f>
        <v>26644</v>
      </c>
      <c r="D617">
        <f>IFERROR(INDEX('planning dogs-n-tiger'!D$1:D$30,MATCH($H617,'planning dogs-n-tiger'!$G$1:$G$42,0)),0)</f>
        <v>15650</v>
      </c>
      <c r="E617">
        <f t="shared" si="90"/>
        <v>36</v>
      </c>
      <c r="F617">
        <f t="shared" si="91"/>
        <v>9</v>
      </c>
      <c r="G617">
        <f t="shared" si="92"/>
        <v>2022</v>
      </c>
      <c r="H617" t="str">
        <f t="shared" si="96"/>
        <v>92022</v>
      </c>
      <c r="I617">
        <f t="shared" si="97"/>
        <v>30</v>
      </c>
      <c r="J617">
        <f t="shared" si="93"/>
        <v>1385.4666666666667</v>
      </c>
      <c r="K617">
        <f t="shared" si="94"/>
        <v>888.13333333333333</v>
      </c>
      <c r="L617">
        <f t="shared" si="95"/>
        <v>521.66666666666663</v>
      </c>
      <c r="M617" t="str">
        <f t="shared" si="98"/>
        <v>362022</v>
      </c>
      <c r="N617" t="str">
        <f t="shared" si="99"/>
        <v>36-9-2022</v>
      </c>
    </row>
    <row r="618" spans="1:14" x14ac:dyDescent="0.2">
      <c r="A618" s="1">
        <v>44813</v>
      </c>
      <c r="B618">
        <f>IFERROR(INDEX('planning dogs-n-tiger'!B$1:B$30,MATCH($H618,'planning dogs-n-tiger'!$G$1:$G$42,0)),0)</f>
        <v>41564</v>
      </c>
      <c r="C618">
        <f>IFERROR(INDEX('planning dogs-n-tiger'!C$1:C$30,MATCH($H618,'planning dogs-n-tiger'!$G$1:$G$42,0)),0)</f>
        <v>26644</v>
      </c>
      <c r="D618">
        <f>IFERROR(INDEX('planning dogs-n-tiger'!D$1:D$30,MATCH($H618,'planning dogs-n-tiger'!$G$1:$G$42,0)),0)</f>
        <v>15650</v>
      </c>
      <c r="E618">
        <f t="shared" si="90"/>
        <v>36</v>
      </c>
      <c r="F618">
        <f t="shared" si="91"/>
        <v>9</v>
      </c>
      <c r="G618">
        <f t="shared" si="92"/>
        <v>2022</v>
      </c>
      <c r="H618" t="str">
        <f t="shared" si="96"/>
        <v>92022</v>
      </c>
      <c r="I618">
        <f t="shared" si="97"/>
        <v>30</v>
      </c>
      <c r="J618">
        <f t="shared" si="93"/>
        <v>1385.4666666666667</v>
      </c>
      <c r="K618">
        <f t="shared" si="94"/>
        <v>888.13333333333333</v>
      </c>
      <c r="L618">
        <f t="shared" si="95"/>
        <v>521.66666666666663</v>
      </c>
      <c r="M618" t="str">
        <f t="shared" si="98"/>
        <v>362022</v>
      </c>
      <c r="N618" t="str">
        <f t="shared" si="99"/>
        <v>36-9-2022</v>
      </c>
    </row>
    <row r="619" spans="1:14" x14ac:dyDescent="0.2">
      <c r="A619" s="1">
        <v>44814</v>
      </c>
      <c r="B619">
        <f>IFERROR(INDEX('planning dogs-n-tiger'!B$1:B$30,MATCH($H619,'planning dogs-n-tiger'!$G$1:$G$42,0)),0)</f>
        <v>41564</v>
      </c>
      <c r="C619">
        <f>IFERROR(INDEX('planning dogs-n-tiger'!C$1:C$30,MATCH($H619,'planning dogs-n-tiger'!$G$1:$G$42,0)),0)</f>
        <v>26644</v>
      </c>
      <c r="D619">
        <f>IFERROR(INDEX('planning dogs-n-tiger'!D$1:D$30,MATCH($H619,'planning dogs-n-tiger'!$G$1:$G$42,0)),0)</f>
        <v>15650</v>
      </c>
      <c r="E619">
        <f t="shared" si="90"/>
        <v>36</v>
      </c>
      <c r="F619">
        <f t="shared" si="91"/>
        <v>9</v>
      </c>
      <c r="G619">
        <f t="shared" si="92"/>
        <v>2022</v>
      </c>
      <c r="H619" t="str">
        <f t="shared" si="96"/>
        <v>92022</v>
      </c>
      <c r="I619">
        <f t="shared" si="97"/>
        <v>30</v>
      </c>
      <c r="J619">
        <f t="shared" si="93"/>
        <v>1385.4666666666667</v>
      </c>
      <c r="K619">
        <f t="shared" si="94"/>
        <v>888.13333333333333</v>
      </c>
      <c r="L619">
        <f t="shared" si="95"/>
        <v>521.66666666666663</v>
      </c>
      <c r="M619" t="str">
        <f t="shared" si="98"/>
        <v>362022</v>
      </c>
      <c r="N619" t="str">
        <f t="shared" si="99"/>
        <v>36-9-2022</v>
      </c>
    </row>
    <row r="620" spans="1:14" x14ac:dyDescent="0.2">
      <c r="A620" s="1">
        <v>44815</v>
      </c>
      <c r="B620">
        <f>IFERROR(INDEX('planning dogs-n-tiger'!B$1:B$30,MATCH($H620,'planning dogs-n-tiger'!$G$1:$G$42,0)),0)</f>
        <v>41564</v>
      </c>
      <c r="C620">
        <f>IFERROR(INDEX('planning dogs-n-tiger'!C$1:C$30,MATCH($H620,'planning dogs-n-tiger'!$G$1:$G$42,0)),0)</f>
        <v>26644</v>
      </c>
      <c r="D620">
        <f>IFERROR(INDEX('planning dogs-n-tiger'!D$1:D$30,MATCH($H620,'planning dogs-n-tiger'!$G$1:$G$42,0)),0)</f>
        <v>15650</v>
      </c>
      <c r="E620">
        <f t="shared" si="90"/>
        <v>36</v>
      </c>
      <c r="F620">
        <f t="shared" si="91"/>
        <v>9</v>
      </c>
      <c r="G620">
        <f t="shared" si="92"/>
        <v>2022</v>
      </c>
      <c r="H620" t="str">
        <f t="shared" si="96"/>
        <v>92022</v>
      </c>
      <c r="I620">
        <f t="shared" si="97"/>
        <v>30</v>
      </c>
      <c r="J620">
        <f t="shared" si="93"/>
        <v>1385.4666666666667</v>
      </c>
      <c r="K620">
        <f t="shared" si="94"/>
        <v>888.13333333333333</v>
      </c>
      <c r="L620">
        <f t="shared" si="95"/>
        <v>521.66666666666663</v>
      </c>
      <c r="M620" t="str">
        <f t="shared" si="98"/>
        <v>362022</v>
      </c>
      <c r="N620" t="str">
        <f t="shared" si="99"/>
        <v>36-9-2022</v>
      </c>
    </row>
    <row r="621" spans="1:14" x14ac:dyDescent="0.2">
      <c r="A621" s="1">
        <v>44816</v>
      </c>
      <c r="B621">
        <f>IFERROR(INDEX('planning dogs-n-tiger'!B$1:B$30,MATCH($H621,'planning dogs-n-tiger'!$G$1:$G$42,0)),0)</f>
        <v>41564</v>
      </c>
      <c r="C621">
        <f>IFERROR(INDEX('planning dogs-n-tiger'!C$1:C$30,MATCH($H621,'planning dogs-n-tiger'!$G$1:$G$42,0)),0)</f>
        <v>26644</v>
      </c>
      <c r="D621">
        <f>IFERROR(INDEX('planning dogs-n-tiger'!D$1:D$30,MATCH($H621,'planning dogs-n-tiger'!$G$1:$G$42,0)),0)</f>
        <v>15650</v>
      </c>
      <c r="E621">
        <f t="shared" si="90"/>
        <v>37</v>
      </c>
      <c r="F621">
        <f t="shared" si="91"/>
        <v>9</v>
      </c>
      <c r="G621">
        <f t="shared" si="92"/>
        <v>2022</v>
      </c>
      <c r="H621" t="str">
        <f t="shared" si="96"/>
        <v>92022</v>
      </c>
      <c r="I621">
        <f t="shared" si="97"/>
        <v>30</v>
      </c>
      <c r="J621">
        <f t="shared" si="93"/>
        <v>1385.4666666666667</v>
      </c>
      <c r="K621">
        <f t="shared" si="94"/>
        <v>888.13333333333333</v>
      </c>
      <c r="L621">
        <f t="shared" si="95"/>
        <v>521.66666666666663</v>
      </c>
      <c r="M621" t="str">
        <f t="shared" si="98"/>
        <v>372022</v>
      </c>
      <c r="N621" t="str">
        <f t="shared" si="99"/>
        <v>37-9-2022</v>
      </c>
    </row>
    <row r="622" spans="1:14" x14ac:dyDescent="0.2">
      <c r="A622" s="1">
        <v>44817</v>
      </c>
      <c r="B622">
        <f>IFERROR(INDEX('planning dogs-n-tiger'!B$1:B$30,MATCH($H622,'planning dogs-n-tiger'!$G$1:$G$42,0)),0)</f>
        <v>41564</v>
      </c>
      <c r="C622">
        <f>IFERROR(INDEX('planning dogs-n-tiger'!C$1:C$30,MATCH($H622,'planning dogs-n-tiger'!$G$1:$G$42,0)),0)</f>
        <v>26644</v>
      </c>
      <c r="D622">
        <f>IFERROR(INDEX('planning dogs-n-tiger'!D$1:D$30,MATCH($H622,'planning dogs-n-tiger'!$G$1:$G$42,0)),0)</f>
        <v>15650</v>
      </c>
      <c r="E622">
        <f t="shared" si="90"/>
        <v>37</v>
      </c>
      <c r="F622">
        <f t="shared" si="91"/>
        <v>9</v>
      </c>
      <c r="G622">
        <f t="shared" si="92"/>
        <v>2022</v>
      </c>
      <c r="H622" t="str">
        <f t="shared" si="96"/>
        <v>92022</v>
      </c>
      <c r="I622">
        <f t="shared" si="97"/>
        <v>30</v>
      </c>
      <c r="J622">
        <f t="shared" si="93"/>
        <v>1385.4666666666667</v>
      </c>
      <c r="K622">
        <f t="shared" si="94"/>
        <v>888.13333333333333</v>
      </c>
      <c r="L622">
        <f t="shared" si="95"/>
        <v>521.66666666666663</v>
      </c>
      <c r="M622" t="str">
        <f t="shared" si="98"/>
        <v>372022</v>
      </c>
      <c r="N622" t="str">
        <f t="shared" si="99"/>
        <v>37-9-2022</v>
      </c>
    </row>
    <row r="623" spans="1:14" x14ac:dyDescent="0.2">
      <c r="A623" s="1">
        <v>44818</v>
      </c>
      <c r="B623">
        <f>IFERROR(INDEX('planning dogs-n-tiger'!B$1:B$30,MATCH($H623,'planning dogs-n-tiger'!$G$1:$G$42,0)),0)</f>
        <v>41564</v>
      </c>
      <c r="C623">
        <f>IFERROR(INDEX('planning dogs-n-tiger'!C$1:C$30,MATCH($H623,'planning dogs-n-tiger'!$G$1:$G$42,0)),0)</f>
        <v>26644</v>
      </c>
      <c r="D623">
        <f>IFERROR(INDEX('planning dogs-n-tiger'!D$1:D$30,MATCH($H623,'planning dogs-n-tiger'!$G$1:$G$42,0)),0)</f>
        <v>15650</v>
      </c>
      <c r="E623">
        <f t="shared" si="90"/>
        <v>37</v>
      </c>
      <c r="F623">
        <f t="shared" si="91"/>
        <v>9</v>
      </c>
      <c r="G623">
        <f t="shared" si="92"/>
        <v>2022</v>
      </c>
      <c r="H623" t="str">
        <f t="shared" si="96"/>
        <v>92022</v>
      </c>
      <c r="I623">
        <f t="shared" si="97"/>
        <v>30</v>
      </c>
      <c r="J623">
        <f t="shared" si="93"/>
        <v>1385.4666666666667</v>
      </c>
      <c r="K623">
        <f t="shared" si="94"/>
        <v>888.13333333333333</v>
      </c>
      <c r="L623">
        <f t="shared" si="95"/>
        <v>521.66666666666663</v>
      </c>
      <c r="M623" t="str">
        <f t="shared" si="98"/>
        <v>372022</v>
      </c>
      <c r="N623" t="str">
        <f t="shared" si="99"/>
        <v>37-9-2022</v>
      </c>
    </row>
    <row r="624" spans="1:14" x14ac:dyDescent="0.2">
      <c r="A624" s="1">
        <v>44819</v>
      </c>
      <c r="B624">
        <f>IFERROR(INDEX('planning dogs-n-tiger'!B$1:B$30,MATCH($H624,'planning dogs-n-tiger'!$G$1:$G$42,0)),0)</f>
        <v>41564</v>
      </c>
      <c r="C624">
        <f>IFERROR(INDEX('planning dogs-n-tiger'!C$1:C$30,MATCH($H624,'planning dogs-n-tiger'!$G$1:$G$42,0)),0)</f>
        <v>26644</v>
      </c>
      <c r="D624">
        <f>IFERROR(INDEX('planning dogs-n-tiger'!D$1:D$30,MATCH($H624,'planning dogs-n-tiger'!$G$1:$G$42,0)),0)</f>
        <v>15650</v>
      </c>
      <c r="E624">
        <f t="shared" si="90"/>
        <v>37</v>
      </c>
      <c r="F624">
        <f t="shared" si="91"/>
        <v>9</v>
      </c>
      <c r="G624">
        <f t="shared" si="92"/>
        <v>2022</v>
      </c>
      <c r="H624" t="str">
        <f t="shared" si="96"/>
        <v>92022</v>
      </c>
      <c r="I624">
        <f t="shared" si="97"/>
        <v>30</v>
      </c>
      <c r="J624">
        <f t="shared" si="93"/>
        <v>1385.4666666666667</v>
      </c>
      <c r="K624">
        <f t="shared" si="94"/>
        <v>888.13333333333333</v>
      </c>
      <c r="L624">
        <f t="shared" si="95"/>
        <v>521.66666666666663</v>
      </c>
      <c r="M624" t="str">
        <f t="shared" si="98"/>
        <v>372022</v>
      </c>
      <c r="N624" t="str">
        <f t="shared" si="99"/>
        <v>37-9-2022</v>
      </c>
    </row>
    <row r="625" spans="1:14" x14ac:dyDescent="0.2">
      <c r="A625" s="1">
        <v>44820</v>
      </c>
      <c r="B625">
        <f>IFERROR(INDEX('planning dogs-n-tiger'!B$1:B$30,MATCH($H625,'planning dogs-n-tiger'!$G$1:$G$42,0)),0)</f>
        <v>41564</v>
      </c>
      <c r="C625">
        <f>IFERROR(INDEX('planning dogs-n-tiger'!C$1:C$30,MATCH($H625,'planning dogs-n-tiger'!$G$1:$G$42,0)),0)</f>
        <v>26644</v>
      </c>
      <c r="D625">
        <f>IFERROR(INDEX('planning dogs-n-tiger'!D$1:D$30,MATCH($H625,'planning dogs-n-tiger'!$G$1:$G$42,0)),0)</f>
        <v>15650</v>
      </c>
      <c r="E625">
        <f t="shared" si="90"/>
        <v>37</v>
      </c>
      <c r="F625">
        <f t="shared" si="91"/>
        <v>9</v>
      </c>
      <c r="G625">
        <f t="shared" si="92"/>
        <v>2022</v>
      </c>
      <c r="H625" t="str">
        <f t="shared" si="96"/>
        <v>92022</v>
      </c>
      <c r="I625">
        <f t="shared" si="97"/>
        <v>30</v>
      </c>
      <c r="J625">
        <f t="shared" si="93"/>
        <v>1385.4666666666667</v>
      </c>
      <c r="K625">
        <f t="shared" si="94"/>
        <v>888.13333333333333</v>
      </c>
      <c r="L625">
        <f t="shared" si="95"/>
        <v>521.66666666666663</v>
      </c>
      <c r="M625" t="str">
        <f t="shared" si="98"/>
        <v>372022</v>
      </c>
      <c r="N625" t="str">
        <f t="shared" si="99"/>
        <v>37-9-2022</v>
      </c>
    </row>
    <row r="626" spans="1:14" x14ac:dyDescent="0.2">
      <c r="A626" s="1">
        <v>44821</v>
      </c>
      <c r="B626">
        <f>IFERROR(INDEX('planning dogs-n-tiger'!B$1:B$30,MATCH($H626,'planning dogs-n-tiger'!$G$1:$G$42,0)),0)</f>
        <v>41564</v>
      </c>
      <c r="C626">
        <f>IFERROR(INDEX('planning dogs-n-tiger'!C$1:C$30,MATCH($H626,'planning dogs-n-tiger'!$G$1:$G$42,0)),0)</f>
        <v>26644</v>
      </c>
      <c r="D626">
        <f>IFERROR(INDEX('planning dogs-n-tiger'!D$1:D$30,MATCH($H626,'planning dogs-n-tiger'!$G$1:$G$42,0)),0)</f>
        <v>15650</v>
      </c>
      <c r="E626">
        <f t="shared" si="90"/>
        <v>37</v>
      </c>
      <c r="F626">
        <f t="shared" si="91"/>
        <v>9</v>
      </c>
      <c r="G626">
        <f t="shared" si="92"/>
        <v>2022</v>
      </c>
      <c r="H626" t="str">
        <f t="shared" si="96"/>
        <v>92022</v>
      </c>
      <c r="I626">
        <f t="shared" si="97"/>
        <v>30</v>
      </c>
      <c r="J626">
        <f t="shared" si="93"/>
        <v>1385.4666666666667</v>
      </c>
      <c r="K626">
        <f t="shared" si="94"/>
        <v>888.13333333333333</v>
      </c>
      <c r="L626">
        <f t="shared" si="95"/>
        <v>521.66666666666663</v>
      </c>
      <c r="M626" t="str">
        <f t="shared" si="98"/>
        <v>372022</v>
      </c>
      <c r="N626" t="str">
        <f t="shared" si="99"/>
        <v>37-9-2022</v>
      </c>
    </row>
    <row r="627" spans="1:14" x14ac:dyDescent="0.2">
      <c r="A627" s="1">
        <v>44822</v>
      </c>
      <c r="B627">
        <f>IFERROR(INDEX('planning dogs-n-tiger'!B$1:B$30,MATCH($H627,'planning dogs-n-tiger'!$G$1:$G$42,0)),0)</f>
        <v>41564</v>
      </c>
      <c r="C627">
        <f>IFERROR(INDEX('planning dogs-n-tiger'!C$1:C$30,MATCH($H627,'planning dogs-n-tiger'!$G$1:$G$42,0)),0)</f>
        <v>26644</v>
      </c>
      <c r="D627">
        <f>IFERROR(INDEX('planning dogs-n-tiger'!D$1:D$30,MATCH($H627,'planning dogs-n-tiger'!$G$1:$G$42,0)),0)</f>
        <v>15650</v>
      </c>
      <c r="E627">
        <f t="shared" si="90"/>
        <v>37</v>
      </c>
      <c r="F627">
        <f t="shared" si="91"/>
        <v>9</v>
      </c>
      <c r="G627">
        <f t="shared" si="92"/>
        <v>2022</v>
      </c>
      <c r="H627" t="str">
        <f t="shared" si="96"/>
        <v>92022</v>
      </c>
      <c r="I627">
        <f t="shared" si="97"/>
        <v>30</v>
      </c>
      <c r="J627">
        <f t="shared" si="93"/>
        <v>1385.4666666666667</v>
      </c>
      <c r="K627">
        <f t="shared" si="94"/>
        <v>888.13333333333333</v>
      </c>
      <c r="L627">
        <f t="shared" si="95"/>
        <v>521.66666666666663</v>
      </c>
      <c r="M627" t="str">
        <f t="shared" si="98"/>
        <v>372022</v>
      </c>
      <c r="N627" t="str">
        <f t="shared" si="99"/>
        <v>37-9-2022</v>
      </c>
    </row>
    <row r="628" spans="1:14" x14ac:dyDescent="0.2">
      <c r="A628" s="1">
        <v>44823</v>
      </c>
      <c r="B628">
        <f>IFERROR(INDEX('planning dogs-n-tiger'!B$1:B$30,MATCH($H628,'planning dogs-n-tiger'!$G$1:$G$42,0)),0)</f>
        <v>41564</v>
      </c>
      <c r="C628">
        <f>IFERROR(INDEX('planning dogs-n-tiger'!C$1:C$30,MATCH($H628,'planning dogs-n-tiger'!$G$1:$G$42,0)),0)</f>
        <v>26644</v>
      </c>
      <c r="D628">
        <f>IFERROR(INDEX('planning dogs-n-tiger'!D$1:D$30,MATCH($H628,'planning dogs-n-tiger'!$G$1:$G$42,0)),0)</f>
        <v>15650</v>
      </c>
      <c r="E628">
        <f t="shared" si="90"/>
        <v>38</v>
      </c>
      <c r="F628">
        <f t="shared" si="91"/>
        <v>9</v>
      </c>
      <c r="G628">
        <f t="shared" si="92"/>
        <v>2022</v>
      </c>
      <c r="H628" t="str">
        <f t="shared" si="96"/>
        <v>92022</v>
      </c>
      <c r="I628">
        <f t="shared" si="97"/>
        <v>30</v>
      </c>
      <c r="J628">
        <f t="shared" si="93"/>
        <v>1385.4666666666667</v>
      </c>
      <c r="K628">
        <f t="shared" si="94"/>
        <v>888.13333333333333</v>
      </c>
      <c r="L628">
        <f t="shared" si="95"/>
        <v>521.66666666666663</v>
      </c>
      <c r="M628" t="str">
        <f t="shared" si="98"/>
        <v>382022</v>
      </c>
      <c r="N628" t="str">
        <f t="shared" si="99"/>
        <v>38-9-2022</v>
      </c>
    </row>
    <row r="629" spans="1:14" x14ac:dyDescent="0.2">
      <c r="A629" s="1">
        <v>44824</v>
      </c>
      <c r="B629">
        <f>IFERROR(INDEX('planning dogs-n-tiger'!B$1:B$30,MATCH($H629,'planning dogs-n-tiger'!$G$1:$G$42,0)),0)</f>
        <v>41564</v>
      </c>
      <c r="C629">
        <f>IFERROR(INDEX('planning dogs-n-tiger'!C$1:C$30,MATCH($H629,'planning dogs-n-tiger'!$G$1:$G$42,0)),0)</f>
        <v>26644</v>
      </c>
      <c r="D629">
        <f>IFERROR(INDEX('planning dogs-n-tiger'!D$1:D$30,MATCH($H629,'planning dogs-n-tiger'!$G$1:$G$42,0)),0)</f>
        <v>15650</v>
      </c>
      <c r="E629">
        <f t="shared" si="90"/>
        <v>38</v>
      </c>
      <c r="F629">
        <f t="shared" si="91"/>
        <v>9</v>
      </c>
      <c r="G629">
        <f t="shared" si="92"/>
        <v>2022</v>
      </c>
      <c r="H629" t="str">
        <f t="shared" si="96"/>
        <v>92022</v>
      </c>
      <c r="I629">
        <f t="shared" si="97"/>
        <v>30</v>
      </c>
      <c r="J629">
        <f t="shared" si="93"/>
        <v>1385.4666666666667</v>
      </c>
      <c r="K629">
        <f t="shared" si="94"/>
        <v>888.13333333333333</v>
      </c>
      <c r="L629">
        <f t="shared" si="95"/>
        <v>521.66666666666663</v>
      </c>
      <c r="M629" t="str">
        <f t="shared" si="98"/>
        <v>382022</v>
      </c>
      <c r="N629" t="str">
        <f t="shared" si="99"/>
        <v>38-9-2022</v>
      </c>
    </row>
    <row r="630" spans="1:14" x14ac:dyDescent="0.2">
      <c r="A630" s="1">
        <v>44825</v>
      </c>
      <c r="B630">
        <f>IFERROR(INDEX('planning dogs-n-tiger'!B$1:B$30,MATCH($H630,'planning dogs-n-tiger'!$G$1:$G$42,0)),0)</f>
        <v>41564</v>
      </c>
      <c r="C630">
        <f>IFERROR(INDEX('planning dogs-n-tiger'!C$1:C$30,MATCH($H630,'planning dogs-n-tiger'!$G$1:$G$42,0)),0)</f>
        <v>26644</v>
      </c>
      <c r="D630">
        <f>IFERROR(INDEX('planning dogs-n-tiger'!D$1:D$30,MATCH($H630,'planning dogs-n-tiger'!$G$1:$G$42,0)),0)</f>
        <v>15650</v>
      </c>
      <c r="E630">
        <f t="shared" si="90"/>
        <v>38</v>
      </c>
      <c r="F630">
        <f t="shared" si="91"/>
        <v>9</v>
      </c>
      <c r="G630">
        <f t="shared" si="92"/>
        <v>2022</v>
      </c>
      <c r="H630" t="str">
        <f t="shared" si="96"/>
        <v>92022</v>
      </c>
      <c r="I630">
        <f t="shared" si="97"/>
        <v>30</v>
      </c>
      <c r="J630">
        <f t="shared" si="93"/>
        <v>1385.4666666666667</v>
      </c>
      <c r="K630">
        <f t="shared" si="94"/>
        <v>888.13333333333333</v>
      </c>
      <c r="L630">
        <f t="shared" si="95"/>
        <v>521.66666666666663</v>
      </c>
      <c r="M630" t="str">
        <f t="shared" si="98"/>
        <v>382022</v>
      </c>
      <c r="N630" t="str">
        <f t="shared" si="99"/>
        <v>38-9-2022</v>
      </c>
    </row>
    <row r="631" spans="1:14" x14ac:dyDescent="0.2">
      <c r="A631" s="1">
        <v>44826</v>
      </c>
      <c r="B631">
        <f>IFERROR(INDEX('planning dogs-n-tiger'!B$1:B$30,MATCH($H631,'planning dogs-n-tiger'!$G$1:$G$42,0)),0)</f>
        <v>41564</v>
      </c>
      <c r="C631">
        <f>IFERROR(INDEX('planning dogs-n-tiger'!C$1:C$30,MATCH($H631,'planning dogs-n-tiger'!$G$1:$G$42,0)),0)</f>
        <v>26644</v>
      </c>
      <c r="D631">
        <f>IFERROR(INDEX('planning dogs-n-tiger'!D$1:D$30,MATCH($H631,'planning dogs-n-tiger'!$G$1:$G$42,0)),0)</f>
        <v>15650</v>
      </c>
      <c r="E631">
        <f t="shared" si="90"/>
        <v>38</v>
      </c>
      <c r="F631">
        <f t="shared" si="91"/>
        <v>9</v>
      </c>
      <c r="G631">
        <f t="shared" si="92"/>
        <v>2022</v>
      </c>
      <c r="H631" t="str">
        <f t="shared" si="96"/>
        <v>92022</v>
      </c>
      <c r="I631">
        <f t="shared" si="97"/>
        <v>30</v>
      </c>
      <c r="J631">
        <f t="shared" si="93"/>
        <v>1385.4666666666667</v>
      </c>
      <c r="K631">
        <f t="shared" si="94"/>
        <v>888.13333333333333</v>
      </c>
      <c r="L631">
        <f t="shared" si="95"/>
        <v>521.66666666666663</v>
      </c>
      <c r="M631" t="str">
        <f t="shared" si="98"/>
        <v>382022</v>
      </c>
      <c r="N631" t="str">
        <f t="shared" si="99"/>
        <v>38-9-2022</v>
      </c>
    </row>
    <row r="632" spans="1:14" x14ac:dyDescent="0.2">
      <c r="A632" s="1">
        <v>44827</v>
      </c>
      <c r="B632">
        <f>IFERROR(INDEX('planning dogs-n-tiger'!B$1:B$30,MATCH($H632,'planning dogs-n-tiger'!$G$1:$G$42,0)),0)</f>
        <v>41564</v>
      </c>
      <c r="C632">
        <f>IFERROR(INDEX('planning dogs-n-tiger'!C$1:C$30,MATCH($H632,'planning dogs-n-tiger'!$G$1:$G$42,0)),0)</f>
        <v>26644</v>
      </c>
      <c r="D632">
        <f>IFERROR(INDEX('planning dogs-n-tiger'!D$1:D$30,MATCH($H632,'planning dogs-n-tiger'!$G$1:$G$42,0)),0)</f>
        <v>15650</v>
      </c>
      <c r="E632">
        <f t="shared" si="90"/>
        <v>38</v>
      </c>
      <c r="F632">
        <f t="shared" si="91"/>
        <v>9</v>
      </c>
      <c r="G632">
        <f t="shared" si="92"/>
        <v>2022</v>
      </c>
      <c r="H632" t="str">
        <f t="shared" si="96"/>
        <v>92022</v>
      </c>
      <c r="I632">
        <f t="shared" si="97"/>
        <v>30</v>
      </c>
      <c r="J632">
        <f t="shared" si="93"/>
        <v>1385.4666666666667</v>
      </c>
      <c r="K632">
        <f t="shared" si="94"/>
        <v>888.13333333333333</v>
      </c>
      <c r="L632">
        <f t="shared" si="95"/>
        <v>521.66666666666663</v>
      </c>
      <c r="M632" t="str">
        <f t="shared" si="98"/>
        <v>382022</v>
      </c>
      <c r="N632" t="str">
        <f t="shared" si="99"/>
        <v>38-9-2022</v>
      </c>
    </row>
    <row r="633" spans="1:14" x14ac:dyDescent="0.2">
      <c r="A633" s="1">
        <v>44828</v>
      </c>
      <c r="B633">
        <f>IFERROR(INDEX('planning dogs-n-tiger'!B$1:B$30,MATCH($H633,'planning dogs-n-tiger'!$G$1:$G$42,0)),0)</f>
        <v>41564</v>
      </c>
      <c r="C633">
        <f>IFERROR(INDEX('planning dogs-n-tiger'!C$1:C$30,MATCH($H633,'planning dogs-n-tiger'!$G$1:$G$42,0)),0)</f>
        <v>26644</v>
      </c>
      <c r="D633">
        <f>IFERROR(INDEX('planning dogs-n-tiger'!D$1:D$30,MATCH($H633,'planning dogs-n-tiger'!$G$1:$G$42,0)),0)</f>
        <v>15650</v>
      </c>
      <c r="E633">
        <f t="shared" si="90"/>
        <v>38</v>
      </c>
      <c r="F633">
        <f t="shared" si="91"/>
        <v>9</v>
      </c>
      <c r="G633">
        <f t="shared" si="92"/>
        <v>2022</v>
      </c>
      <c r="H633" t="str">
        <f t="shared" si="96"/>
        <v>92022</v>
      </c>
      <c r="I633">
        <f t="shared" si="97"/>
        <v>30</v>
      </c>
      <c r="J633">
        <f t="shared" si="93"/>
        <v>1385.4666666666667</v>
      </c>
      <c r="K633">
        <f t="shared" si="94"/>
        <v>888.13333333333333</v>
      </c>
      <c r="L633">
        <f t="shared" si="95"/>
        <v>521.66666666666663</v>
      </c>
      <c r="M633" t="str">
        <f t="shared" si="98"/>
        <v>382022</v>
      </c>
      <c r="N633" t="str">
        <f t="shared" si="99"/>
        <v>38-9-2022</v>
      </c>
    </row>
    <row r="634" spans="1:14" x14ac:dyDescent="0.2">
      <c r="A634" s="1">
        <v>44829</v>
      </c>
      <c r="B634">
        <f>IFERROR(INDEX('planning dogs-n-tiger'!B$1:B$30,MATCH($H634,'planning dogs-n-tiger'!$G$1:$G$42,0)),0)</f>
        <v>41564</v>
      </c>
      <c r="C634">
        <f>IFERROR(INDEX('planning dogs-n-tiger'!C$1:C$30,MATCH($H634,'planning dogs-n-tiger'!$G$1:$G$42,0)),0)</f>
        <v>26644</v>
      </c>
      <c r="D634">
        <f>IFERROR(INDEX('planning dogs-n-tiger'!D$1:D$30,MATCH($H634,'planning dogs-n-tiger'!$G$1:$G$42,0)),0)</f>
        <v>15650</v>
      </c>
      <c r="E634">
        <f t="shared" si="90"/>
        <v>38</v>
      </c>
      <c r="F634">
        <f t="shared" si="91"/>
        <v>9</v>
      </c>
      <c r="G634">
        <f t="shared" si="92"/>
        <v>2022</v>
      </c>
      <c r="H634" t="str">
        <f t="shared" si="96"/>
        <v>92022</v>
      </c>
      <c r="I634">
        <f t="shared" si="97"/>
        <v>30</v>
      </c>
      <c r="J634">
        <f t="shared" si="93"/>
        <v>1385.4666666666667</v>
      </c>
      <c r="K634">
        <f t="shared" si="94"/>
        <v>888.13333333333333</v>
      </c>
      <c r="L634">
        <f t="shared" si="95"/>
        <v>521.66666666666663</v>
      </c>
      <c r="M634" t="str">
        <f t="shared" si="98"/>
        <v>382022</v>
      </c>
      <c r="N634" t="str">
        <f t="shared" si="99"/>
        <v>38-9-2022</v>
      </c>
    </row>
    <row r="635" spans="1:14" x14ac:dyDescent="0.2">
      <c r="A635" s="1">
        <v>44830</v>
      </c>
      <c r="B635">
        <f>IFERROR(INDEX('planning dogs-n-tiger'!B$1:B$30,MATCH($H635,'planning dogs-n-tiger'!$G$1:$G$42,0)),0)</f>
        <v>41564</v>
      </c>
      <c r="C635">
        <f>IFERROR(INDEX('planning dogs-n-tiger'!C$1:C$30,MATCH($H635,'planning dogs-n-tiger'!$G$1:$G$42,0)),0)</f>
        <v>26644</v>
      </c>
      <c r="D635">
        <f>IFERROR(INDEX('planning dogs-n-tiger'!D$1:D$30,MATCH($H635,'planning dogs-n-tiger'!$G$1:$G$42,0)),0)</f>
        <v>15650</v>
      </c>
      <c r="E635">
        <f t="shared" si="90"/>
        <v>39</v>
      </c>
      <c r="F635">
        <f t="shared" si="91"/>
        <v>9</v>
      </c>
      <c r="G635">
        <f t="shared" si="92"/>
        <v>2022</v>
      </c>
      <c r="H635" t="str">
        <f t="shared" si="96"/>
        <v>92022</v>
      </c>
      <c r="I635">
        <f t="shared" si="97"/>
        <v>30</v>
      </c>
      <c r="J635">
        <f t="shared" si="93"/>
        <v>1385.4666666666667</v>
      </c>
      <c r="K635">
        <f t="shared" si="94"/>
        <v>888.13333333333333</v>
      </c>
      <c r="L635">
        <f t="shared" si="95"/>
        <v>521.66666666666663</v>
      </c>
      <c r="M635" t="str">
        <f t="shared" si="98"/>
        <v>392022</v>
      </c>
      <c r="N635" t="str">
        <f t="shared" si="99"/>
        <v>39-9-2022</v>
      </c>
    </row>
    <row r="636" spans="1:14" x14ac:dyDescent="0.2">
      <c r="A636" s="1">
        <v>44831</v>
      </c>
      <c r="B636">
        <f>IFERROR(INDEX('planning dogs-n-tiger'!B$1:B$30,MATCH($H636,'planning dogs-n-tiger'!$G$1:$G$42,0)),0)</f>
        <v>41564</v>
      </c>
      <c r="C636">
        <f>IFERROR(INDEX('planning dogs-n-tiger'!C$1:C$30,MATCH($H636,'planning dogs-n-tiger'!$G$1:$G$42,0)),0)</f>
        <v>26644</v>
      </c>
      <c r="D636">
        <f>IFERROR(INDEX('planning dogs-n-tiger'!D$1:D$30,MATCH($H636,'planning dogs-n-tiger'!$G$1:$G$42,0)),0)</f>
        <v>15650</v>
      </c>
      <c r="E636">
        <f t="shared" si="90"/>
        <v>39</v>
      </c>
      <c r="F636">
        <f t="shared" si="91"/>
        <v>9</v>
      </c>
      <c r="G636">
        <f t="shared" si="92"/>
        <v>2022</v>
      </c>
      <c r="H636" t="str">
        <f t="shared" si="96"/>
        <v>92022</v>
      </c>
      <c r="I636">
        <f t="shared" si="97"/>
        <v>30</v>
      </c>
      <c r="J636">
        <f t="shared" si="93"/>
        <v>1385.4666666666667</v>
      </c>
      <c r="K636">
        <f t="shared" si="94"/>
        <v>888.13333333333333</v>
      </c>
      <c r="L636">
        <f t="shared" si="95"/>
        <v>521.66666666666663</v>
      </c>
      <c r="M636" t="str">
        <f t="shared" si="98"/>
        <v>392022</v>
      </c>
      <c r="N636" t="str">
        <f t="shared" si="99"/>
        <v>39-9-2022</v>
      </c>
    </row>
    <row r="637" spans="1:14" x14ac:dyDescent="0.2">
      <c r="A637" s="1">
        <v>44832</v>
      </c>
      <c r="B637">
        <f>IFERROR(INDEX('planning dogs-n-tiger'!B$1:B$30,MATCH($H637,'planning dogs-n-tiger'!$G$1:$G$42,0)),0)</f>
        <v>41564</v>
      </c>
      <c r="C637">
        <f>IFERROR(INDEX('planning dogs-n-tiger'!C$1:C$30,MATCH($H637,'planning dogs-n-tiger'!$G$1:$G$42,0)),0)</f>
        <v>26644</v>
      </c>
      <c r="D637">
        <f>IFERROR(INDEX('planning dogs-n-tiger'!D$1:D$30,MATCH($H637,'planning dogs-n-tiger'!$G$1:$G$42,0)),0)</f>
        <v>15650</v>
      </c>
      <c r="E637">
        <f t="shared" si="90"/>
        <v>39</v>
      </c>
      <c r="F637">
        <f t="shared" si="91"/>
        <v>9</v>
      </c>
      <c r="G637">
        <f t="shared" si="92"/>
        <v>2022</v>
      </c>
      <c r="H637" t="str">
        <f t="shared" si="96"/>
        <v>92022</v>
      </c>
      <c r="I637">
        <f t="shared" si="97"/>
        <v>30</v>
      </c>
      <c r="J637">
        <f t="shared" si="93"/>
        <v>1385.4666666666667</v>
      </c>
      <c r="K637">
        <f t="shared" si="94"/>
        <v>888.13333333333333</v>
      </c>
      <c r="L637">
        <f t="shared" si="95"/>
        <v>521.66666666666663</v>
      </c>
      <c r="M637" t="str">
        <f t="shared" si="98"/>
        <v>392022</v>
      </c>
      <c r="N637" t="str">
        <f t="shared" si="99"/>
        <v>39-9-2022</v>
      </c>
    </row>
    <row r="638" spans="1:14" x14ac:dyDescent="0.2">
      <c r="A638" s="1">
        <v>44833</v>
      </c>
      <c r="B638">
        <f>IFERROR(INDEX('planning dogs-n-tiger'!B$1:B$30,MATCH($H638,'planning dogs-n-tiger'!$G$1:$G$42,0)),0)</f>
        <v>41564</v>
      </c>
      <c r="C638">
        <f>IFERROR(INDEX('planning dogs-n-tiger'!C$1:C$30,MATCH($H638,'planning dogs-n-tiger'!$G$1:$G$42,0)),0)</f>
        <v>26644</v>
      </c>
      <c r="D638">
        <f>IFERROR(INDEX('planning dogs-n-tiger'!D$1:D$30,MATCH($H638,'planning dogs-n-tiger'!$G$1:$G$42,0)),0)</f>
        <v>15650</v>
      </c>
      <c r="E638">
        <f t="shared" si="90"/>
        <v>39</v>
      </c>
      <c r="F638">
        <f t="shared" si="91"/>
        <v>9</v>
      </c>
      <c r="G638">
        <f t="shared" si="92"/>
        <v>2022</v>
      </c>
      <c r="H638" t="str">
        <f t="shared" si="96"/>
        <v>92022</v>
      </c>
      <c r="I638">
        <f t="shared" si="97"/>
        <v>30</v>
      </c>
      <c r="J638">
        <f t="shared" si="93"/>
        <v>1385.4666666666667</v>
      </c>
      <c r="K638">
        <f t="shared" si="94"/>
        <v>888.13333333333333</v>
      </c>
      <c r="L638">
        <f t="shared" si="95"/>
        <v>521.66666666666663</v>
      </c>
      <c r="M638" t="str">
        <f t="shared" si="98"/>
        <v>392022</v>
      </c>
      <c r="N638" t="str">
        <f t="shared" si="99"/>
        <v>39-9-2022</v>
      </c>
    </row>
    <row r="639" spans="1:14" x14ac:dyDescent="0.2">
      <c r="A639" s="1">
        <v>44834</v>
      </c>
      <c r="B639">
        <f>IFERROR(INDEX('planning dogs-n-tiger'!B$1:B$30,MATCH($H639,'planning dogs-n-tiger'!$G$1:$G$42,0)),0)</f>
        <v>41564</v>
      </c>
      <c r="C639">
        <f>IFERROR(INDEX('planning dogs-n-tiger'!C$1:C$30,MATCH($H639,'planning dogs-n-tiger'!$G$1:$G$42,0)),0)</f>
        <v>26644</v>
      </c>
      <c r="D639">
        <f>IFERROR(INDEX('planning dogs-n-tiger'!D$1:D$30,MATCH($H639,'planning dogs-n-tiger'!$G$1:$G$42,0)),0)</f>
        <v>15650</v>
      </c>
      <c r="E639">
        <f t="shared" si="90"/>
        <v>39</v>
      </c>
      <c r="F639">
        <f t="shared" si="91"/>
        <v>9</v>
      </c>
      <c r="G639">
        <f t="shared" si="92"/>
        <v>2022</v>
      </c>
      <c r="H639" t="str">
        <f t="shared" si="96"/>
        <v>92022</v>
      </c>
      <c r="I639">
        <f t="shared" si="97"/>
        <v>30</v>
      </c>
      <c r="J639">
        <f t="shared" si="93"/>
        <v>1385.4666666666667</v>
      </c>
      <c r="K639">
        <f t="shared" si="94"/>
        <v>888.13333333333333</v>
      </c>
      <c r="L639">
        <f t="shared" si="95"/>
        <v>521.66666666666663</v>
      </c>
      <c r="M639" t="str">
        <f t="shared" si="98"/>
        <v>392022</v>
      </c>
      <c r="N639" t="str">
        <f t="shared" si="99"/>
        <v>39-9-2022</v>
      </c>
    </row>
    <row r="640" spans="1:14" x14ac:dyDescent="0.2">
      <c r="A640" s="1">
        <v>44835</v>
      </c>
      <c r="B640">
        <f>IFERROR(INDEX('planning dogs-n-tiger'!B$1:B$30,MATCH($H640,'planning dogs-n-tiger'!$G$1:$G$42,0)),0)</f>
        <v>46212</v>
      </c>
      <c r="C640">
        <f>IFERROR(INDEX('planning dogs-n-tiger'!C$1:C$30,MATCH($H640,'planning dogs-n-tiger'!$G$1:$G$42,0)),0)</f>
        <v>31166</v>
      </c>
      <c r="D640">
        <f>IFERROR(INDEX('planning dogs-n-tiger'!D$1:D$30,MATCH($H640,'planning dogs-n-tiger'!$G$1:$G$42,0)),0)</f>
        <v>7356</v>
      </c>
      <c r="E640">
        <f t="shared" si="90"/>
        <v>39</v>
      </c>
      <c r="F640">
        <f t="shared" si="91"/>
        <v>10</v>
      </c>
      <c r="G640">
        <f t="shared" si="92"/>
        <v>2022</v>
      </c>
      <c r="H640" t="str">
        <f t="shared" si="96"/>
        <v>102022</v>
      </c>
      <c r="I640">
        <f t="shared" si="97"/>
        <v>31</v>
      </c>
      <c r="J640">
        <f t="shared" si="93"/>
        <v>1490.7096774193549</v>
      </c>
      <c r="K640">
        <f t="shared" si="94"/>
        <v>1005.3548387096774</v>
      </c>
      <c r="L640">
        <f t="shared" si="95"/>
        <v>237.29032258064515</v>
      </c>
      <c r="M640" t="str">
        <f t="shared" si="98"/>
        <v>392022</v>
      </c>
      <c r="N640" t="str">
        <f t="shared" si="99"/>
        <v>39-10-2022</v>
      </c>
    </row>
    <row r="641" spans="1:14" x14ac:dyDescent="0.2">
      <c r="A641" s="1">
        <v>44836</v>
      </c>
      <c r="B641">
        <f>IFERROR(INDEX('planning dogs-n-tiger'!B$1:B$30,MATCH($H641,'planning dogs-n-tiger'!$G$1:$G$42,0)),0)</f>
        <v>46212</v>
      </c>
      <c r="C641">
        <f>IFERROR(INDEX('planning dogs-n-tiger'!C$1:C$30,MATCH($H641,'planning dogs-n-tiger'!$G$1:$G$42,0)),0)</f>
        <v>31166</v>
      </c>
      <c r="D641">
        <f>IFERROR(INDEX('planning dogs-n-tiger'!D$1:D$30,MATCH($H641,'planning dogs-n-tiger'!$G$1:$G$42,0)),0)</f>
        <v>7356</v>
      </c>
      <c r="E641">
        <f t="shared" si="90"/>
        <v>39</v>
      </c>
      <c r="F641">
        <f t="shared" si="91"/>
        <v>10</v>
      </c>
      <c r="G641">
        <f t="shared" si="92"/>
        <v>2022</v>
      </c>
      <c r="H641" t="str">
        <f t="shared" si="96"/>
        <v>102022</v>
      </c>
      <c r="I641">
        <f t="shared" si="97"/>
        <v>31</v>
      </c>
      <c r="J641">
        <f t="shared" si="93"/>
        <v>1490.7096774193549</v>
      </c>
      <c r="K641">
        <f t="shared" si="94"/>
        <v>1005.3548387096774</v>
      </c>
      <c r="L641">
        <f t="shared" si="95"/>
        <v>237.29032258064515</v>
      </c>
      <c r="M641" t="str">
        <f t="shared" si="98"/>
        <v>392022</v>
      </c>
      <c r="N641" t="str">
        <f t="shared" si="99"/>
        <v>39-10-2022</v>
      </c>
    </row>
    <row r="642" spans="1:14" x14ac:dyDescent="0.2">
      <c r="A642" s="1">
        <v>44837</v>
      </c>
      <c r="B642">
        <f>IFERROR(INDEX('planning dogs-n-tiger'!B$1:B$30,MATCH($H642,'planning dogs-n-tiger'!$G$1:$G$42,0)),0)</f>
        <v>46212</v>
      </c>
      <c r="C642">
        <f>IFERROR(INDEX('planning dogs-n-tiger'!C$1:C$30,MATCH($H642,'planning dogs-n-tiger'!$G$1:$G$42,0)),0)</f>
        <v>31166</v>
      </c>
      <c r="D642">
        <f>IFERROR(INDEX('planning dogs-n-tiger'!D$1:D$30,MATCH($H642,'planning dogs-n-tiger'!$G$1:$G$42,0)),0)</f>
        <v>7356</v>
      </c>
      <c r="E642">
        <f t="shared" ref="E642:E705" si="100">_xlfn.ISOWEEKNUM(A642)</f>
        <v>40</v>
      </c>
      <c r="F642">
        <f t="shared" ref="F642:F705" si="101">MONTH(A642)</f>
        <v>10</v>
      </c>
      <c r="G642">
        <f t="shared" ref="G642:G705" si="102">YEAR(A642)</f>
        <v>2022</v>
      </c>
      <c r="H642" t="str">
        <f t="shared" si="96"/>
        <v>102022</v>
      </c>
      <c r="I642">
        <f t="shared" si="97"/>
        <v>31</v>
      </c>
      <c r="J642">
        <f t="shared" ref="J642:J705" si="103">B642/$I642</f>
        <v>1490.7096774193549</v>
      </c>
      <c r="K642">
        <f t="shared" ref="K642:K705" si="104">C642/$I642</f>
        <v>1005.3548387096774</v>
      </c>
      <c r="L642">
        <f t="shared" ref="L642:L705" si="105">D642/$I642</f>
        <v>237.29032258064515</v>
      </c>
      <c r="M642" t="str">
        <f t="shared" si="98"/>
        <v>402022</v>
      </c>
      <c r="N642" t="str">
        <f t="shared" si="99"/>
        <v>40-10-2022</v>
      </c>
    </row>
    <row r="643" spans="1:14" x14ac:dyDescent="0.2">
      <c r="A643" s="1">
        <v>44838</v>
      </c>
      <c r="B643">
        <f>IFERROR(INDEX('planning dogs-n-tiger'!B$1:B$30,MATCH($H643,'planning dogs-n-tiger'!$G$1:$G$42,0)),0)</f>
        <v>46212</v>
      </c>
      <c r="C643">
        <f>IFERROR(INDEX('planning dogs-n-tiger'!C$1:C$30,MATCH($H643,'planning dogs-n-tiger'!$G$1:$G$42,0)),0)</f>
        <v>31166</v>
      </c>
      <c r="D643">
        <f>IFERROR(INDEX('planning dogs-n-tiger'!D$1:D$30,MATCH($H643,'planning dogs-n-tiger'!$G$1:$G$42,0)),0)</f>
        <v>7356</v>
      </c>
      <c r="E643">
        <f t="shared" si="100"/>
        <v>40</v>
      </c>
      <c r="F643">
        <f t="shared" si="101"/>
        <v>10</v>
      </c>
      <c r="G643">
        <f t="shared" si="102"/>
        <v>2022</v>
      </c>
      <c r="H643" t="str">
        <f t="shared" ref="H643:H706" si="106">F643&amp;G643</f>
        <v>102022</v>
      </c>
      <c r="I643">
        <f t="shared" ref="I643:I706" si="107">DAY(EOMONTH(DATE(G643,F643,0),1))</f>
        <v>31</v>
      </c>
      <c r="J643">
        <f t="shared" si="103"/>
        <v>1490.7096774193549</v>
      </c>
      <c r="K643">
        <f t="shared" si="104"/>
        <v>1005.3548387096774</v>
      </c>
      <c r="L643">
        <f t="shared" si="105"/>
        <v>237.29032258064515</v>
      </c>
      <c r="M643" t="str">
        <f t="shared" ref="M643:M706" si="108">E643&amp;G643</f>
        <v>402022</v>
      </c>
      <c r="N643" t="str">
        <f t="shared" ref="N643:N706" si="109">E643&amp;"-"&amp;F643&amp;"-"&amp;G643</f>
        <v>40-10-2022</v>
      </c>
    </row>
    <row r="644" spans="1:14" x14ac:dyDescent="0.2">
      <c r="A644" s="1">
        <v>44839</v>
      </c>
      <c r="B644">
        <f>IFERROR(INDEX('planning dogs-n-tiger'!B$1:B$30,MATCH($H644,'planning dogs-n-tiger'!$G$1:$G$42,0)),0)</f>
        <v>46212</v>
      </c>
      <c r="C644">
        <f>IFERROR(INDEX('planning dogs-n-tiger'!C$1:C$30,MATCH($H644,'planning dogs-n-tiger'!$G$1:$G$42,0)),0)</f>
        <v>31166</v>
      </c>
      <c r="D644">
        <f>IFERROR(INDEX('planning dogs-n-tiger'!D$1:D$30,MATCH($H644,'planning dogs-n-tiger'!$G$1:$G$42,0)),0)</f>
        <v>7356</v>
      </c>
      <c r="E644">
        <f t="shared" si="100"/>
        <v>40</v>
      </c>
      <c r="F644">
        <f t="shared" si="101"/>
        <v>10</v>
      </c>
      <c r="G644">
        <f t="shared" si="102"/>
        <v>2022</v>
      </c>
      <c r="H644" t="str">
        <f t="shared" si="106"/>
        <v>102022</v>
      </c>
      <c r="I644">
        <f t="shared" si="107"/>
        <v>31</v>
      </c>
      <c r="J644">
        <f t="shared" si="103"/>
        <v>1490.7096774193549</v>
      </c>
      <c r="K644">
        <f t="shared" si="104"/>
        <v>1005.3548387096774</v>
      </c>
      <c r="L644">
        <f t="shared" si="105"/>
        <v>237.29032258064515</v>
      </c>
      <c r="M644" t="str">
        <f t="shared" si="108"/>
        <v>402022</v>
      </c>
      <c r="N644" t="str">
        <f t="shared" si="109"/>
        <v>40-10-2022</v>
      </c>
    </row>
    <row r="645" spans="1:14" x14ac:dyDescent="0.2">
      <c r="A645" s="1">
        <v>44840</v>
      </c>
      <c r="B645">
        <f>IFERROR(INDEX('planning dogs-n-tiger'!B$1:B$30,MATCH($H645,'planning dogs-n-tiger'!$G$1:$G$42,0)),0)</f>
        <v>46212</v>
      </c>
      <c r="C645">
        <f>IFERROR(INDEX('planning dogs-n-tiger'!C$1:C$30,MATCH($H645,'planning dogs-n-tiger'!$G$1:$G$42,0)),0)</f>
        <v>31166</v>
      </c>
      <c r="D645">
        <f>IFERROR(INDEX('planning dogs-n-tiger'!D$1:D$30,MATCH($H645,'planning dogs-n-tiger'!$G$1:$G$42,0)),0)</f>
        <v>7356</v>
      </c>
      <c r="E645">
        <f t="shared" si="100"/>
        <v>40</v>
      </c>
      <c r="F645">
        <f t="shared" si="101"/>
        <v>10</v>
      </c>
      <c r="G645">
        <f t="shared" si="102"/>
        <v>2022</v>
      </c>
      <c r="H645" t="str">
        <f t="shared" si="106"/>
        <v>102022</v>
      </c>
      <c r="I645">
        <f t="shared" si="107"/>
        <v>31</v>
      </c>
      <c r="J645">
        <f t="shared" si="103"/>
        <v>1490.7096774193549</v>
      </c>
      <c r="K645">
        <f t="shared" si="104"/>
        <v>1005.3548387096774</v>
      </c>
      <c r="L645">
        <f t="shared" si="105"/>
        <v>237.29032258064515</v>
      </c>
      <c r="M645" t="str">
        <f t="shared" si="108"/>
        <v>402022</v>
      </c>
      <c r="N645" t="str">
        <f t="shared" si="109"/>
        <v>40-10-2022</v>
      </c>
    </row>
    <row r="646" spans="1:14" x14ac:dyDescent="0.2">
      <c r="A646" s="1">
        <v>44841</v>
      </c>
      <c r="B646">
        <f>IFERROR(INDEX('planning dogs-n-tiger'!B$1:B$30,MATCH($H646,'planning dogs-n-tiger'!$G$1:$G$42,0)),0)</f>
        <v>46212</v>
      </c>
      <c r="C646">
        <f>IFERROR(INDEX('planning dogs-n-tiger'!C$1:C$30,MATCH($H646,'planning dogs-n-tiger'!$G$1:$G$42,0)),0)</f>
        <v>31166</v>
      </c>
      <c r="D646">
        <f>IFERROR(INDEX('planning dogs-n-tiger'!D$1:D$30,MATCH($H646,'planning dogs-n-tiger'!$G$1:$G$42,0)),0)</f>
        <v>7356</v>
      </c>
      <c r="E646">
        <f t="shared" si="100"/>
        <v>40</v>
      </c>
      <c r="F646">
        <f t="shared" si="101"/>
        <v>10</v>
      </c>
      <c r="G646">
        <f t="shared" si="102"/>
        <v>2022</v>
      </c>
      <c r="H646" t="str">
        <f t="shared" si="106"/>
        <v>102022</v>
      </c>
      <c r="I646">
        <f t="shared" si="107"/>
        <v>31</v>
      </c>
      <c r="J646">
        <f t="shared" si="103"/>
        <v>1490.7096774193549</v>
      </c>
      <c r="K646">
        <f t="shared" si="104"/>
        <v>1005.3548387096774</v>
      </c>
      <c r="L646">
        <f t="shared" si="105"/>
        <v>237.29032258064515</v>
      </c>
      <c r="M646" t="str">
        <f t="shared" si="108"/>
        <v>402022</v>
      </c>
      <c r="N646" t="str">
        <f t="shared" si="109"/>
        <v>40-10-2022</v>
      </c>
    </row>
    <row r="647" spans="1:14" x14ac:dyDescent="0.2">
      <c r="A647" s="1">
        <v>44842</v>
      </c>
      <c r="B647">
        <f>IFERROR(INDEX('planning dogs-n-tiger'!B$1:B$30,MATCH($H647,'planning dogs-n-tiger'!$G$1:$G$42,0)),0)</f>
        <v>46212</v>
      </c>
      <c r="C647">
        <f>IFERROR(INDEX('planning dogs-n-tiger'!C$1:C$30,MATCH($H647,'planning dogs-n-tiger'!$G$1:$G$42,0)),0)</f>
        <v>31166</v>
      </c>
      <c r="D647">
        <f>IFERROR(INDEX('planning dogs-n-tiger'!D$1:D$30,MATCH($H647,'planning dogs-n-tiger'!$G$1:$G$42,0)),0)</f>
        <v>7356</v>
      </c>
      <c r="E647">
        <f t="shared" si="100"/>
        <v>40</v>
      </c>
      <c r="F647">
        <f t="shared" si="101"/>
        <v>10</v>
      </c>
      <c r="G647">
        <f t="shared" si="102"/>
        <v>2022</v>
      </c>
      <c r="H647" t="str">
        <f t="shared" si="106"/>
        <v>102022</v>
      </c>
      <c r="I647">
        <f t="shared" si="107"/>
        <v>31</v>
      </c>
      <c r="J647">
        <f t="shared" si="103"/>
        <v>1490.7096774193549</v>
      </c>
      <c r="K647">
        <f t="shared" si="104"/>
        <v>1005.3548387096774</v>
      </c>
      <c r="L647">
        <f t="shared" si="105"/>
        <v>237.29032258064515</v>
      </c>
      <c r="M647" t="str">
        <f t="shared" si="108"/>
        <v>402022</v>
      </c>
      <c r="N647" t="str">
        <f t="shared" si="109"/>
        <v>40-10-2022</v>
      </c>
    </row>
    <row r="648" spans="1:14" x14ac:dyDescent="0.2">
      <c r="A648" s="1">
        <v>44843</v>
      </c>
      <c r="B648">
        <f>IFERROR(INDEX('planning dogs-n-tiger'!B$1:B$30,MATCH($H648,'planning dogs-n-tiger'!$G$1:$G$42,0)),0)</f>
        <v>46212</v>
      </c>
      <c r="C648">
        <f>IFERROR(INDEX('planning dogs-n-tiger'!C$1:C$30,MATCH($H648,'planning dogs-n-tiger'!$G$1:$G$42,0)),0)</f>
        <v>31166</v>
      </c>
      <c r="D648">
        <f>IFERROR(INDEX('planning dogs-n-tiger'!D$1:D$30,MATCH($H648,'planning dogs-n-tiger'!$G$1:$G$42,0)),0)</f>
        <v>7356</v>
      </c>
      <c r="E648">
        <f t="shared" si="100"/>
        <v>40</v>
      </c>
      <c r="F648">
        <f t="shared" si="101"/>
        <v>10</v>
      </c>
      <c r="G648">
        <f t="shared" si="102"/>
        <v>2022</v>
      </c>
      <c r="H648" t="str">
        <f t="shared" si="106"/>
        <v>102022</v>
      </c>
      <c r="I648">
        <f t="shared" si="107"/>
        <v>31</v>
      </c>
      <c r="J648">
        <f t="shared" si="103"/>
        <v>1490.7096774193549</v>
      </c>
      <c r="K648">
        <f t="shared" si="104"/>
        <v>1005.3548387096774</v>
      </c>
      <c r="L648">
        <f t="shared" si="105"/>
        <v>237.29032258064515</v>
      </c>
      <c r="M648" t="str">
        <f t="shared" si="108"/>
        <v>402022</v>
      </c>
      <c r="N648" t="str">
        <f t="shared" si="109"/>
        <v>40-10-2022</v>
      </c>
    </row>
    <row r="649" spans="1:14" x14ac:dyDescent="0.2">
      <c r="A649" s="1">
        <v>44844</v>
      </c>
      <c r="B649">
        <f>IFERROR(INDEX('planning dogs-n-tiger'!B$1:B$30,MATCH($H649,'planning dogs-n-tiger'!$G$1:$G$42,0)),0)</f>
        <v>46212</v>
      </c>
      <c r="C649">
        <f>IFERROR(INDEX('planning dogs-n-tiger'!C$1:C$30,MATCH($H649,'planning dogs-n-tiger'!$G$1:$G$42,0)),0)</f>
        <v>31166</v>
      </c>
      <c r="D649">
        <f>IFERROR(INDEX('planning dogs-n-tiger'!D$1:D$30,MATCH($H649,'planning dogs-n-tiger'!$G$1:$G$42,0)),0)</f>
        <v>7356</v>
      </c>
      <c r="E649">
        <f t="shared" si="100"/>
        <v>41</v>
      </c>
      <c r="F649">
        <f t="shared" si="101"/>
        <v>10</v>
      </c>
      <c r="G649">
        <f t="shared" si="102"/>
        <v>2022</v>
      </c>
      <c r="H649" t="str">
        <f t="shared" si="106"/>
        <v>102022</v>
      </c>
      <c r="I649">
        <f t="shared" si="107"/>
        <v>31</v>
      </c>
      <c r="J649">
        <f t="shared" si="103"/>
        <v>1490.7096774193549</v>
      </c>
      <c r="K649">
        <f t="shared" si="104"/>
        <v>1005.3548387096774</v>
      </c>
      <c r="L649">
        <f t="shared" si="105"/>
        <v>237.29032258064515</v>
      </c>
      <c r="M649" t="str">
        <f t="shared" si="108"/>
        <v>412022</v>
      </c>
      <c r="N649" t="str">
        <f t="shared" si="109"/>
        <v>41-10-2022</v>
      </c>
    </row>
    <row r="650" spans="1:14" x14ac:dyDescent="0.2">
      <c r="A650" s="1">
        <v>44845</v>
      </c>
      <c r="B650">
        <f>IFERROR(INDEX('planning dogs-n-tiger'!B$1:B$30,MATCH($H650,'planning dogs-n-tiger'!$G$1:$G$42,0)),0)</f>
        <v>46212</v>
      </c>
      <c r="C650">
        <f>IFERROR(INDEX('planning dogs-n-tiger'!C$1:C$30,MATCH($H650,'planning dogs-n-tiger'!$G$1:$G$42,0)),0)</f>
        <v>31166</v>
      </c>
      <c r="D650">
        <f>IFERROR(INDEX('planning dogs-n-tiger'!D$1:D$30,MATCH($H650,'planning dogs-n-tiger'!$G$1:$G$42,0)),0)</f>
        <v>7356</v>
      </c>
      <c r="E650">
        <f t="shared" si="100"/>
        <v>41</v>
      </c>
      <c r="F650">
        <f t="shared" si="101"/>
        <v>10</v>
      </c>
      <c r="G650">
        <f t="shared" si="102"/>
        <v>2022</v>
      </c>
      <c r="H650" t="str">
        <f t="shared" si="106"/>
        <v>102022</v>
      </c>
      <c r="I650">
        <f t="shared" si="107"/>
        <v>31</v>
      </c>
      <c r="J650">
        <f t="shared" si="103"/>
        <v>1490.7096774193549</v>
      </c>
      <c r="K650">
        <f t="shared" si="104"/>
        <v>1005.3548387096774</v>
      </c>
      <c r="L650">
        <f t="shared" si="105"/>
        <v>237.29032258064515</v>
      </c>
      <c r="M650" t="str">
        <f t="shared" si="108"/>
        <v>412022</v>
      </c>
      <c r="N650" t="str">
        <f t="shared" si="109"/>
        <v>41-10-2022</v>
      </c>
    </row>
    <row r="651" spans="1:14" x14ac:dyDescent="0.2">
      <c r="A651" s="1">
        <v>44846</v>
      </c>
      <c r="B651">
        <f>IFERROR(INDEX('planning dogs-n-tiger'!B$1:B$30,MATCH($H651,'planning dogs-n-tiger'!$G$1:$G$42,0)),0)</f>
        <v>46212</v>
      </c>
      <c r="C651">
        <f>IFERROR(INDEX('planning dogs-n-tiger'!C$1:C$30,MATCH($H651,'planning dogs-n-tiger'!$G$1:$G$42,0)),0)</f>
        <v>31166</v>
      </c>
      <c r="D651">
        <f>IFERROR(INDEX('planning dogs-n-tiger'!D$1:D$30,MATCH($H651,'planning dogs-n-tiger'!$G$1:$G$42,0)),0)</f>
        <v>7356</v>
      </c>
      <c r="E651">
        <f t="shared" si="100"/>
        <v>41</v>
      </c>
      <c r="F651">
        <f t="shared" si="101"/>
        <v>10</v>
      </c>
      <c r="G651">
        <f t="shared" si="102"/>
        <v>2022</v>
      </c>
      <c r="H651" t="str">
        <f t="shared" si="106"/>
        <v>102022</v>
      </c>
      <c r="I651">
        <f t="shared" si="107"/>
        <v>31</v>
      </c>
      <c r="J651">
        <f t="shared" si="103"/>
        <v>1490.7096774193549</v>
      </c>
      <c r="K651">
        <f t="shared" si="104"/>
        <v>1005.3548387096774</v>
      </c>
      <c r="L651">
        <f t="shared" si="105"/>
        <v>237.29032258064515</v>
      </c>
      <c r="M651" t="str">
        <f t="shared" si="108"/>
        <v>412022</v>
      </c>
      <c r="N651" t="str">
        <f t="shared" si="109"/>
        <v>41-10-2022</v>
      </c>
    </row>
    <row r="652" spans="1:14" x14ac:dyDescent="0.2">
      <c r="A652" s="1">
        <v>44847</v>
      </c>
      <c r="B652">
        <f>IFERROR(INDEX('planning dogs-n-tiger'!B$1:B$30,MATCH($H652,'planning dogs-n-tiger'!$G$1:$G$42,0)),0)</f>
        <v>46212</v>
      </c>
      <c r="C652">
        <f>IFERROR(INDEX('planning dogs-n-tiger'!C$1:C$30,MATCH($H652,'planning dogs-n-tiger'!$G$1:$G$42,0)),0)</f>
        <v>31166</v>
      </c>
      <c r="D652">
        <f>IFERROR(INDEX('planning dogs-n-tiger'!D$1:D$30,MATCH($H652,'planning dogs-n-tiger'!$G$1:$G$42,0)),0)</f>
        <v>7356</v>
      </c>
      <c r="E652">
        <f t="shared" si="100"/>
        <v>41</v>
      </c>
      <c r="F652">
        <f t="shared" si="101"/>
        <v>10</v>
      </c>
      <c r="G652">
        <f t="shared" si="102"/>
        <v>2022</v>
      </c>
      <c r="H652" t="str">
        <f t="shared" si="106"/>
        <v>102022</v>
      </c>
      <c r="I652">
        <f t="shared" si="107"/>
        <v>31</v>
      </c>
      <c r="J652">
        <f t="shared" si="103"/>
        <v>1490.7096774193549</v>
      </c>
      <c r="K652">
        <f t="shared" si="104"/>
        <v>1005.3548387096774</v>
      </c>
      <c r="L652">
        <f t="shared" si="105"/>
        <v>237.29032258064515</v>
      </c>
      <c r="M652" t="str">
        <f t="shared" si="108"/>
        <v>412022</v>
      </c>
      <c r="N652" t="str">
        <f t="shared" si="109"/>
        <v>41-10-2022</v>
      </c>
    </row>
    <row r="653" spans="1:14" x14ac:dyDescent="0.2">
      <c r="A653" s="1">
        <v>44848</v>
      </c>
      <c r="B653">
        <f>IFERROR(INDEX('planning dogs-n-tiger'!B$1:B$30,MATCH($H653,'planning dogs-n-tiger'!$G$1:$G$42,0)),0)</f>
        <v>46212</v>
      </c>
      <c r="C653">
        <f>IFERROR(INDEX('planning dogs-n-tiger'!C$1:C$30,MATCH($H653,'planning dogs-n-tiger'!$G$1:$G$42,0)),0)</f>
        <v>31166</v>
      </c>
      <c r="D653">
        <f>IFERROR(INDEX('planning dogs-n-tiger'!D$1:D$30,MATCH($H653,'planning dogs-n-tiger'!$G$1:$G$42,0)),0)</f>
        <v>7356</v>
      </c>
      <c r="E653">
        <f t="shared" si="100"/>
        <v>41</v>
      </c>
      <c r="F653">
        <f t="shared" si="101"/>
        <v>10</v>
      </c>
      <c r="G653">
        <f t="shared" si="102"/>
        <v>2022</v>
      </c>
      <c r="H653" t="str">
        <f t="shared" si="106"/>
        <v>102022</v>
      </c>
      <c r="I653">
        <f t="shared" si="107"/>
        <v>31</v>
      </c>
      <c r="J653">
        <f t="shared" si="103"/>
        <v>1490.7096774193549</v>
      </c>
      <c r="K653">
        <f t="shared" si="104"/>
        <v>1005.3548387096774</v>
      </c>
      <c r="L653">
        <f t="shared" si="105"/>
        <v>237.29032258064515</v>
      </c>
      <c r="M653" t="str">
        <f t="shared" si="108"/>
        <v>412022</v>
      </c>
      <c r="N653" t="str">
        <f t="shared" si="109"/>
        <v>41-10-2022</v>
      </c>
    </row>
    <row r="654" spans="1:14" x14ac:dyDescent="0.2">
      <c r="A654" s="1">
        <v>44849</v>
      </c>
      <c r="B654">
        <f>IFERROR(INDEX('planning dogs-n-tiger'!B$1:B$30,MATCH($H654,'planning dogs-n-tiger'!$G$1:$G$42,0)),0)</f>
        <v>46212</v>
      </c>
      <c r="C654">
        <f>IFERROR(INDEX('planning dogs-n-tiger'!C$1:C$30,MATCH($H654,'planning dogs-n-tiger'!$G$1:$G$42,0)),0)</f>
        <v>31166</v>
      </c>
      <c r="D654">
        <f>IFERROR(INDEX('planning dogs-n-tiger'!D$1:D$30,MATCH($H654,'planning dogs-n-tiger'!$G$1:$G$42,0)),0)</f>
        <v>7356</v>
      </c>
      <c r="E654">
        <f t="shared" si="100"/>
        <v>41</v>
      </c>
      <c r="F654">
        <f t="shared" si="101"/>
        <v>10</v>
      </c>
      <c r="G654">
        <f t="shared" si="102"/>
        <v>2022</v>
      </c>
      <c r="H654" t="str">
        <f t="shared" si="106"/>
        <v>102022</v>
      </c>
      <c r="I654">
        <f t="shared" si="107"/>
        <v>31</v>
      </c>
      <c r="J654">
        <f t="shared" si="103"/>
        <v>1490.7096774193549</v>
      </c>
      <c r="K654">
        <f t="shared" si="104"/>
        <v>1005.3548387096774</v>
      </c>
      <c r="L654">
        <f t="shared" si="105"/>
        <v>237.29032258064515</v>
      </c>
      <c r="M654" t="str">
        <f t="shared" si="108"/>
        <v>412022</v>
      </c>
      <c r="N654" t="str">
        <f t="shared" si="109"/>
        <v>41-10-2022</v>
      </c>
    </row>
    <row r="655" spans="1:14" x14ac:dyDescent="0.2">
      <c r="A655" s="1">
        <v>44850</v>
      </c>
      <c r="B655">
        <f>IFERROR(INDEX('planning dogs-n-tiger'!B$1:B$30,MATCH($H655,'planning dogs-n-tiger'!$G$1:$G$42,0)),0)</f>
        <v>46212</v>
      </c>
      <c r="C655">
        <f>IFERROR(INDEX('planning dogs-n-tiger'!C$1:C$30,MATCH($H655,'planning dogs-n-tiger'!$G$1:$G$42,0)),0)</f>
        <v>31166</v>
      </c>
      <c r="D655">
        <f>IFERROR(INDEX('planning dogs-n-tiger'!D$1:D$30,MATCH($H655,'planning dogs-n-tiger'!$G$1:$G$42,0)),0)</f>
        <v>7356</v>
      </c>
      <c r="E655">
        <f t="shared" si="100"/>
        <v>41</v>
      </c>
      <c r="F655">
        <f t="shared" si="101"/>
        <v>10</v>
      </c>
      <c r="G655">
        <f t="shared" si="102"/>
        <v>2022</v>
      </c>
      <c r="H655" t="str">
        <f t="shared" si="106"/>
        <v>102022</v>
      </c>
      <c r="I655">
        <f t="shared" si="107"/>
        <v>31</v>
      </c>
      <c r="J655">
        <f t="shared" si="103"/>
        <v>1490.7096774193549</v>
      </c>
      <c r="K655">
        <f t="shared" si="104"/>
        <v>1005.3548387096774</v>
      </c>
      <c r="L655">
        <f t="shared" si="105"/>
        <v>237.29032258064515</v>
      </c>
      <c r="M655" t="str">
        <f t="shared" si="108"/>
        <v>412022</v>
      </c>
      <c r="N655" t="str">
        <f t="shared" si="109"/>
        <v>41-10-2022</v>
      </c>
    </row>
    <row r="656" spans="1:14" x14ac:dyDescent="0.2">
      <c r="A656" s="1">
        <v>44851</v>
      </c>
      <c r="B656">
        <f>IFERROR(INDEX('planning dogs-n-tiger'!B$1:B$30,MATCH($H656,'planning dogs-n-tiger'!$G$1:$G$42,0)),0)</f>
        <v>46212</v>
      </c>
      <c r="C656">
        <f>IFERROR(INDEX('planning dogs-n-tiger'!C$1:C$30,MATCH($H656,'planning dogs-n-tiger'!$G$1:$G$42,0)),0)</f>
        <v>31166</v>
      </c>
      <c r="D656">
        <f>IFERROR(INDEX('planning dogs-n-tiger'!D$1:D$30,MATCH($H656,'planning dogs-n-tiger'!$G$1:$G$42,0)),0)</f>
        <v>7356</v>
      </c>
      <c r="E656">
        <f t="shared" si="100"/>
        <v>42</v>
      </c>
      <c r="F656">
        <f t="shared" si="101"/>
        <v>10</v>
      </c>
      <c r="G656">
        <f t="shared" si="102"/>
        <v>2022</v>
      </c>
      <c r="H656" t="str">
        <f t="shared" si="106"/>
        <v>102022</v>
      </c>
      <c r="I656">
        <f t="shared" si="107"/>
        <v>31</v>
      </c>
      <c r="J656">
        <f t="shared" si="103"/>
        <v>1490.7096774193549</v>
      </c>
      <c r="K656">
        <f t="shared" si="104"/>
        <v>1005.3548387096774</v>
      </c>
      <c r="L656">
        <f t="shared" si="105"/>
        <v>237.29032258064515</v>
      </c>
      <c r="M656" t="str">
        <f t="shared" si="108"/>
        <v>422022</v>
      </c>
      <c r="N656" t="str">
        <f t="shared" si="109"/>
        <v>42-10-2022</v>
      </c>
    </row>
    <row r="657" spans="1:14" x14ac:dyDescent="0.2">
      <c r="A657" s="1">
        <v>44852</v>
      </c>
      <c r="B657">
        <f>IFERROR(INDEX('planning dogs-n-tiger'!B$1:B$30,MATCH($H657,'planning dogs-n-tiger'!$G$1:$G$42,0)),0)</f>
        <v>46212</v>
      </c>
      <c r="C657">
        <f>IFERROR(INDEX('planning dogs-n-tiger'!C$1:C$30,MATCH($H657,'planning dogs-n-tiger'!$G$1:$G$42,0)),0)</f>
        <v>31166</v>
      </c>
      <c r="D657">
        <f>IFERROR(INDEX('planning dogs-n-tiger'!D$1:D$30,MATCH($H657,'planning dogs-n-tiger'!$G$1:$G$42,0)),0)</f>
        <v>7356</v>
      </c>
      <c r="E657">
        <f t="shared" si="100"/>
        <v>42</v>
      </c>
      <c r="F657">
        <f t="shared" si="101"/>
        <v>10</v>
      </c>
      <c r="G657">
        <f t="shared" si="102"/>
        <v>2022</v>
      </c>
      <c r="H657" t="str">
        <f t="shared" si="106"/>
        <v>102022</v>
      </c>
      <c r="I657">
        <f t="shared" si="107"/>
        <v>31</v>
      </c>
      <c r="J657">
        <f t="shared" si="103"/>
        <v>1490.7096774193549</v>
      </c>
      <c r="K657">
        <f t="shared" si="104"/>
        <v>1005.3548387096774</v>
      </c>
      <c r="L657">
        <f t="shared" si="105"/>
        <v>237.29032258064515</v>
      </c>
      <c r="M657" t="str">
        <f t="shared" si="108"/>
        <v>422022</v>
      </c>
      <c r="N657" t="str">
        <f t="shared" si="109"/>
        <v>42-10-2022</v>
      </c>
    </row>
    <row r="658" spans="1:14" x14ac:dyDescent="0.2">
      <c r="A658" s="1">
        <v>44853</v>
      </c>
      <c r="B658">
        <f>IFERROR(INDEX('planning dogs-n-tiger'!B$1:B$30,MATCH($H658,'planning dogs-n-tiger'!$G$1:$G$42,0)),0)</f>
        <v>46212</v>
      </c>
      <c r="C658">
        <f>IFERROR(INDEX('planning dogs-n-tiger'!C$1:C$30,MATCH($H658,'planning dogs-n-tiger'!$G$1:$G$42,0)),0)</f>
        <v>31166</v>
      </c>
      <c r="D658">
        <f>IFERROR(INDEX('planning dogs-n-tiger'!D$1:D$30,MATCH($H658,'planning dogs-n-tiger'!$G$1:$G$42,0)),0)</f>
        <v>7356</v>
      </c>
      <c r="E658">
        <f t="shared" si="100"/>
        <v>42</v>
      </c>
      <c r="F658">
        <f t="shared" si="101"/>
        <v>10</v>
      </c>
      <c r="G658">
        <f t="shared" si="102"/>
        <v>2022</v>
      </c>
      <c r="H658" t="str">
        <f t="shared" si="106"/>
        <v>102022</v>
      </c>
      <c r="I658">
        <f t="shared" si="107"/>
        <v>31</v>
      </c>
      <c r="J658">
        <f t="shared" si="103"/>
        <v>1490.7096774193549</v>
      </c>
      <c r="K658">
        <f t="shared" si="104"/>
        <v>1005.3548387096774</v>
      </c>
      <c r="L658">
        <f t="shared" si="105"/>
        <v>237.29032258064515</v>
      </c>
      <c r="M658" t="str">
        <f t="shared" si="108"/>
        <v>422022</v>
      </c>
      <c r="N658" t="str">
        <f t="shared" si="109"/>
        <v>42-10-2022</v>
      </c>
    </row>
    <row r="659" spans="1:14" x14ac:dyDescent="0.2">
      <c r="A659" s="1">
        <v>44854</v>
      </c>
      <c r="B659">
        <f>IFERROR(INDEX('planning dogs-n-tiger'!B$1:B$30,MATCH($H659,'planning dogs-n-tiger'!$G$1:$G$42,0)),0)</f>
        <v>46212</v>
      </c>
      <c r="C659">
        <f>IFERROR(INDEX('planning dogs-n-tiger'!C$1:C$30,MATCH($H659,'planning dogs-n-tiger'!$G$1:$G$42,0)),0)</f>
        <v>31166</v>
      </c>
      <c r="D659">
        <f>IFERROR(INDEX('planning dogs-n-tiger'!D$1:D$30,MATCH($H659,'planning dogs-n-tiger'!$G$1:$G$42,0)),0)</f>
        <v>7356</v>
      </c>
      <c r="E659">
        <f t="shared" si="100"/>
        <v>42</v>
      </c>
      <c r="F659">
        <f t="shared" si="101"/>
        <v>10</v>
      </c>
      <c r="G659">
        <f t="shared" si="102"/>
        <v>2022</v>
      </c>
      <c r="H659" t="str">
        <f t="shared" si="106"/>
        <v>102022</v>
      </c>
      <c r="I659">
        <f t="shared" si="107"/>
        <v>31</v>
      </c>
      <c r="J659">
        <f t="shared" si="103"/>
        <v>1490.7096774193549</v>
      </c>
      <c r="K659">
        <f t="shared" si="104"/>
        <v>1005.3548387096774</v>
      </c>
      <c r="L659">
        <f t="shared" si="105"/>
        <v>237.29032258064515</v>
      </c>
      <c r="M659" t="str">
        <f t="shared" si="108"/>
        <v>422022</v>
      </c>
      <c r="N659" t="str">
        <f t="shared" si="109"/>
        <v>42-10-2022</v>
      </c>
    </row>
    <row r="660" spans="1:14" x14ac:dyDescent="0.2">
      <c r="A660" s="1">
        <v>44855</v>
      </c>
      <c r="B660">
        <f>IFERROR(INDEX('planning dogs-n-tiger'!B$1:B$30,MATCH($H660,'planning dogs-n-tiger'!$G$1:$G$42,0)),0)</f>
        <v>46212</v>
      </c>
      <c r="C660">
        <f>IFERROR(INDEX('planning dogs-n-tiger'!C$1:C$30,MATCH($H660,'planning dogs-n-tiger'!$G$1:$G$42,0)),0)</f>
        <v>31166</v>
      </c>
      <c r="D660">
        <f>IFERROR(INDEX('planning dogs-n-tiger'!D$1:D$30,MATCH($H660,'planning dogs-n-tiger'!$G$1:$G$42,0)),0)</f>
        <v>7356</v>
      </c>
      <c r="E660">
        <f t="shared" si="100"/>
        <v>42</v>
      </c>
      <c r="F660">
        <f t="shared" si="101"/>
        <v>10</v>
      </c>
      <c r="G660">
        <f t="shared" si="102"/>
        <v>2022</v>
      </c>
      <c r="H660" t="str">
        <f t="shared" si="106"/>
        <v>102022</v>
      </c>
      <c r="I660">
        <f t="shared" si="107"/>
        <v>31</v>
      </c>
      <c r="J660">
        <f t="shared" si="103"/>
        <v>1490.7096774193549</v>
      </c>
      <c r="K660">
        <f t="shared" si="104"/>
        <v>1005.3548387096774</v>
      </c>
      <c r="L660">
        <f t="shared" si="105"/>
        <v>237.29032258064515</v>
      </c>
      <c r="M660" t="str">
        <f t="shared" si="108"/>
        <v>422022</v>
      </c>
      <c r="N660" t="str">
        <f t="shared" si="109"/>
        <v>42-10-2022</v>
      </c>
    </row>
    <row r="661" spans="1:14" x14ac:dyDescent="0.2">
      <c r="A661" s="1">
        <v>44856</v>
      </c>
      <c r="B661">
        <f>IFERROR(INDEX('planning dogs-n-tiger'!B$1:B$30,MATCH($H661,'planning dogs-n-tiger'!$G$1:$G$42,0)),0)</f>
        <v>46212</v>
      </c>
      <c r="C661">
        <f>IFERROR(INDEX('planning dogs-n-tiger'!C$1:C$30,MATCH($H661,'planning dogs-n-tiger'!$G$1:$G$42,0)),0)</f>
        <v>31166</v>
      </c>
      <c r="D661">
        <f>IFERROR(INDEX('planning dogs-n-tiger'!D$1:D$30,MATCH($H661,'planning dogs-n-tiger'!$G$1:$G$42,0)),0)</f>
        <v>7356</v>
      </c>
      <c r="E661">
        <f t="shared" si="100"/>
        <v>42</v>
      </c>
      <c r="F661">
        <f t="shared" si="101"/>
        <v>10</v>
      </c>
      <c r="G661">
        <f t="shared" si="102"/>
        <v>2022</v>
      </c>
      <c r="H661" t="str">
        <f t="shared" si="106"/>
        <v>102022</v>
      </c>
      <c r="I661">
        <f t="shared" si="107"/>
        <v>31</v>
      </c>
      <c r="J661">
        <f t="shared" si="103"/>
        <v>1490.7096774193549</v>
      </c>
      <c r="K661">
        <f t="shared" si="104"/>
        <v>1005.3548387096774</v>
      </c>
      <c r="L661">
        <f t="shared" si="105"/>
        <v>237.29032258064515</v>
      </c>
      <c r="M661" t="str">
        <f t="shared" si="108"/>
        <v>422022</v>
      </c>
      <c r="N661" t="str">
        <f t="shared" si="109"/>
        <v>42-10-2022</v>
      </c>
    </row>
    <row r="662" spans="1:14" x14ac:dyDescent="0.2">
      <c r="A662" s="1">
        <v>44857</v>
      </c>
      <c r="B662">
        <f>IFERROR(INDEX('planning dogs-n-tiger'!B$1:B$30,MATCH($H662,'planning dogs-n-tiger'!$G$1:$G$42,0)),0)</f>
        <v>46212</v>
      </c>
      <c r="C662">
        <f>IFERROR(INDEX('planning dogs-n-tiger'!C$1:C$30,MATCH($H662,'planning dogs-n-tiger'!$G$1:$G$42,0)),0)</f>
        <v>31166</v>
      </c>
      <c r="D662">
        <f>IFERROR(INDEX('planning dogs-n-tiger'!D$1:D$30,MATCH($H662,'planning dogs-n-tiger'!$G$1:$G$42,0)),0)</f>
        <v>7356</v>
      </c>
      <c r="E662">
        <f t="shared" si="100"/>
        <v>42</v>
      </c>
      <c r="F662">
        <f t="shared" si="101"/>
        <v>10</v>
      </c>
      <c r="G662">
        <f t="shared" si="102"/>
        <v>2022</v>
      </c>
      <c r="H662" t="str">
        <f t="shared" si="106"/>
        <v>102022</v>
      </c>
      <c r="I662">
        <f t="shared" si="107"/>
        <v>31</v>
      </c>
      <c r="J662">
        <f t="shared" si="103"/>
        <v>1490.7096774193549</v>
      </c>
      <c r="K662">
        <f t="shared" si="104"/>
        <v>1005.3548387096774</v>
      </c>
      <c r="L662">
        <f t="shared" si="105"/>
        <v>237.29032258064515</v>
      </c>
      <c r="M662" t="str">
        <f t="shared" si="108"/>
        <v>422022</v>
      </c>
      <c r="N662" t="str">
        <f t="shared" si="109"/>
        <v>42-10-2022</v>
      </c>
    </row>
    <row r="663" spans="1:14" x14ac:dyDescent="0.2">
      <c r="A663" s="1">
        <v>44858</v>
      </c>
      <c r="B663">
        <f>IFERROR(INDEX('planning dogs-n-tiger'!B$1:B$30,MATCH($H663,'planning dogs-n-tiger'!$G$1:$G$42,0)),0)</f>
        <v>46212</v>
      </c>
      <c r="C663">
        <f>IFERROR(INDEX('planning dogs-n-tiger'!C$1:C$30,MATCH($H663,'planning dogs-n-tiger'!$G$1:$G$42,0)),0)</f>
        <v>31166</v>
      </c>
      <c r="D663">
        <f>IFERROR(INDEX('planning dogs-n-tiger'!D$1:D$30,MATCH($H663,'planning dogs-n-tiger'!$G$1:$G$42,0)),0)</f>
        <v>7356</v>
      </c>
      <c r="E663">
        <f t="shared" si="100"/>
        <v>43</v>
      </c>
      <c r="F663">
        <f t="shared" si="101"/>
        <v>10</v>
      </c>
      <c r="G663">
        <f t="shared" si="102"/>
        <v>2022</v>
      </c>
      <c r="H663" t="str">
        <f t="shared" si="106"/>
        <v>102022</v>
      </c>
      <c r="I663">
        <f t="shared" si="107"/>
        <v>31</v>
      </c>
      <c r="J663">
        <f t="shared" si="103"/>
        <v>1490.7096774193549</v>
      </c>
      <c r="K663">
        <f t="shared" si="104"/>
        <v>1005.3548387096774</v>
      </c>
      <c r="L663">
        <f t="shared" si="105"/>
        <v>237.29032258064515</v>
      </c>
      <c r="M663" t="str">
        <f t="shared" si="108"/>
        <v>432022</v>
      </c>
      <c r="N663" t="str">
        <f t="shared" si="109"/>
        <v>43-10-2022</v>
      </c>
    </row>
    <row r="664" spans="1:14" x14ac:dyDescent="0.2">
      <c r="A664" s="1">
        <v>44859</v>
      </c>
      <c r="B664">
        <f>IFERROR(INDEX('planning dogs-n-tiger'!B$1:B$30,MATCH($H664,'planning dogs-n-tiger'!$G$1:$G$42,0)),0)</f>
        <v>46212</v>
      </c>
      <c r="C664">
        <f>IFERROR(INDEX('planning dogs-n-tiger'!C$1:C$30,MATCH($H664,'planning dogs-n-tiger'!$G$1:$G$42,0)),0)</f>
        <v>31166</v>
      </c>
      <c r="D664">
        <f>IFERROR(INDEX('planning dogs-n-tiger'!D$1:D$30,MATCH($H664,'planning dogs-n-tiger'!$G$1:$G$42,0)),0)</f>
        <v>7356</v>
      </c>
      <c r="E664">
        <f t="shared" si="100"/>
        <v>43</v>
      </c>
      <c r="F664">
        <f t="shared" si="101"/>
        <v>10</v>
      </c>
      <c r="G664">
        <f t="shared" si="102"/>
        <v>2022</v>
      </c>
      <c r="H664" t="str">
        <f t="shared" si="106"/>
        <v>102022</v>
      </c>
      <c r="I664">
        <f t="shared" si="107"/>
        <v>31</v>
      </c>
      <c r="J664">
        <f t="shared" si="103"/>
        <v>1490.7096774193549</v>
      </c>
      <c r="K664">
        <f t="shared" si="104"/>
        <v>1005.3548387096774</v>
      </c>
      <c r="L664">
        <f t="shared" si="105"/>
        <v>237.29032258064515</v>
      </c>
      <c r="M664" t="str">
        <f t="shared" si="108"/>
        <v>432022</v>
      </c>
      <c r="N664" t="str">
        <f t="shared" si="109"/>
        <v>43-10-2022</v>
      </c>
    </row>
    <row r="665" spans="1:14" x14ac:dyDescent="0.2">
      <c r="A665" s="1">
        <v>44860</v>
      </c>
      <c r="B665">
        <f>IFERROR(INDEX('planning dogs-n-tiger'!B$1:B$30,MATCH($H665,'planning dogs-n-tiger'!$G$1:$G$42,0)),0)</f>
        <v>46212</v>
      </c>
      <c r="C665">
        <f>IFERROR(INDEX('planning dogs-n-tiger'!C$1:C$30,MATCH($H665,'planning dogs-n-tiger'!$G$1:$G$42,0)),0)</f>
        <v>31166</v>
      </c>
      <c r="D665">
        <f>IFERROR(INDEX('planning dogs-n-tiger'!D$1:D$30,MATCH($H665,'planning dogs-n-tiger'!$G$1:$G$42,0)),0)</f>
        <v>7356</v>
      </c>
      <c r="E665">
        <f t="shared" si="100"/>
        <v>43</v>
      </c>
      <c r="F665">
        <f t="shared" si="101"/>
        <v>10</v>
      </c>
      <c r="G665">
        <f t="shared" si="102"/>
        <v>2022</v>
      </c>
      <c r="H665" t="str">
        <f t="shared" si="106"/>
        <v>102022</v>
      </c>
      <c r="I665">
        <f t="shared" si="107"/>
        <v>31</v>
      </c>
      <c r="J665">
        <f t="shared" si="103"/>
        <v>1490.7096774193549</v>
      </c>
      <c r="K665">
        <f t="shared" si="104"/>
        <v>1005.3548387096774</v>
      </c>
      <c r="L665">
        <f t="shared" si="105"/>
        <v>237.29032258064515</v>
      </c>
      <c r="M665" t="str">
        <f t="shared" si="108"/>
        <v>432022</v>
      </c>
      <c r="N665" t="str">
        <f t="shared" si="109"/>
        <v>43-10-2022</v>
      </c>
    </row>
    <row r="666" spans="1:14" x14ac:dyDescent="0.2">
      <c r="A666" s="1">
        <v>44861</v>
      </c>
      <c r="B666">
        <f>IFERROR(INDEX('planning dogs-n-tiger'!B$1:B$30,MATCH($H666,'planning dogs-n-tiger'!$G$1:$G$42,0)),0)</f>
        <v>46212</v>
      </c>
      <c r="C666">
        <f>IFERROR(INDEX('planning dogs-n-tiger'!C$1:C$30,MATCH($H666,'planning dogs-n-tiger'!$G$1:$G$42,0)),0)</f>
        <v>31166</v>
      </c>
      <c r="D666">
        <f>IFERROR(INDEX('planning dogs-n-tiger'!D$1:D$30,MATCH($H666,'planning dogs-n-tiger'!$G$1:$G$42,0)),0)</f>
        <v>7356</v>
      </c>
      <c r="E666">
        <f t="shared" si="100"/>
        <v>43</v>
      </c>
      <c r="F666">
        <f t="shared" si="101"/>
        <v>10</v>
      </c>
      <c r="G666">
        <f t="shared" si="102"/>
        <v>2022</v>
      </c>
      <c r="H666" t="str">
        <f t="shared" si="106"/>
        <v>102022</v>
      </c>
      <c r="I666">
        <f t="shared" si="107"/>
        <v>31</v>
      </c>
      <c r="J666">
        <f t="shared" si="103"/>
        <v>1490.7096774193549</v>
      </c>
      <c r="K666">
        <f t="shared" si="104"/>
        <v>1005.3548387096774</v>
      </c>
      <c r="L666">
        <f t="shared" si="105"/>
        <v>237.29032258064515</v>
      </c>
      <c r="M666" t="str">
        <f t="shared" si="108"/>
        <v>432022</v>
      </c>
      <c r="N666" t="str">
        <f t="shared" si="109"/>
        <v>43-10-2022</v>
      </c>
    </row>
    <row r="667" spans="1:14" x14ac:dyDescent="0.2">
      <c r="A667" s="1">
        <v>44862</v>
      </c>
      <c r="B667">
        <f>IFERROR(INDEX('planning dogs-n-tiger'!B$1:B$30,MATCH($H667,'planning dogs-n-tiger'!$G$1:$G$42,0)),0)</f>
        <v>46212</v>
      </c>
      <c r="C667">
        <f>IFERROR(INDEX('planning dogs-n-tiger'!C$1:C$30,MATCH($H667,'planning dogs-n-tiger'!$G$1:$G$42,0)),0)</f>
        <v>31166</v>
      </c>
      <c r="D667">
        <f>IFERROR(INDEX('planning dogs-n-tiger'!D$1:D$30,MATCH($H667,'planning dogs-n-tiger'!$G$1:$G$42,0)),0)</f>
        <v>7356</v>
      </c>
      <c r="E667">
        <f t="shared" si="100"/>
        <v>43</v>
      </c>
      <c r="F667">
        <f t="shared" si="101"/>
        <v>10</v>
      </c>
      <c r="G667">
        <f t="shared" si="102"/>
        <v>2022</v>
      </c>
      <c r="H667" t="str">
        <f t="shared" si="106"/>
        <v>102022</v>
      </c>
      <c r="I667">
        <f t="shared" si="107"/>
        <v>31</v>
      </c>
      <c r="J667">
        <f t="shared" si="103"/>
        <v>1490.7096774193549</v>
      </c>
      <c r="K667">
        <f t="shared" si="104"/>
        <v>1005.3548387096774</v>
      </c>
      <c r="L667">
        <f t="shared" si="105"/>
        <v>237.29032258064515</v>
      </c>
      <c r="M667" t="str">
        <f t="shared" si="108"/>
        <v>432022</v>
      </c>
      <c r="N667" t="str">
        <f t="shared" si="109"/>
        <v>43-10-2022</v>
      </c>
    </row>
    <row r="668" spans="1:14" x14ac:dyDescent="0.2">
      <c r="A668" s="1">
        <v>44863</v>
      </c>
      <c r="B668">
        <f>IFERROR(INDEX('planning dogs-n-tiger'!B$1:B$30,MATCH($H668,'planning dogs-n-tiger'!$G$1:$G$42,0)),0)</f>
        <v>46212</v>
      </c>
      <c r="C668">
        <f>IFERROR(INDEX('planning dogs-n-tiger'!C$1:C$30,MATCH($H668,'planning dogs-n-tiger'!$G$1:$G$42,0)),0)</f>
        <v>31166</v>
      </c>
      <c r="D668">
        <f>IFERROR(INDEX('planning dogs-n-tiger'!D$1:D$30,MATCH($H668,'planning dogs-n-tiger'!$G$1:$G$42,0)),0)</f>
        <v>7356</v>
      </c>
      <c r="E668">
        <f t="shared" si="100"/>
        <v>43</v>
      </c>
      <c r="F668">
        <f t="shared" si="101"/>
        <v>10</v>
      </c>
      <c r="G668">
        <f t="shared" si="102"/>
        <v>2022</v>
      </c>
      <c r="H668" t="str">
        <f t="shared" si="106"/>
        <v>102022</v>
      </c>
      <c r="I668">
        <f t="shared" si="107"/>
        <v>31</v>
      </c>
      <c r="J668">
        <f t="shared" si="103"/>
        <v>1490.7096774193549</v>
      </c>
      <c r="K668">
        <f t="shared" si="104"/>
        <v>1005.3548387096774</v>
      </c>
      <c r="L668">
        <f t="shared" si="105"/>
        <v>237.29032258064515</v>
      </c>
      <c r="M668" t="str">
        <f t="shared" si="108"/>
        <v>432022</v>
      </c>
      <c r="N668" t="str">
        <f t="shared" si="109"/>
        <v>43-10-2022</v>
      </c>
    </row>
    <row r="669" spans="1:14" x14ac:dyDescent="0.2">
      <c r="A669" s="1">
        <v>44864</v>
      </c>
      <c r="B669">
        <f>IFERROR(INDEX('planning dogs-n-tiger'!B$1:B$30,MATCH($H669,'planning dogs-n-tiger'!$G$1:$G$42,0)),0)</f>
        <v>46212</v>
      </c>
      <c r="C669">
        <f>IFERROR(INDEX('planning dogs-n-tiger'!C$1:C$30,MATCH($H669,'planning dogs-n-tiger'!$G$1:$G$42,0)),0)</f>
        <v>31166</v>
      </c>
      <c r="D669">
        <f>IFERROR(INDEX('planning dogs-n-tiger'!D$1:D$30,MATCH($H669,'planning dogs-n-tiger'!$G$1:$G$42,0)),0)</f>
        <v>7356</v>
      </c>
      <c r="E669">
        <f t="shared" si="100"/>
        <v>43</v>
      </c>
      <c r="F669">
        <f t="shared" si="101"/>
        <v>10</v>
      </c>
      <c r="G669">
        <f t="shared" si="102"/>
        <v>2022</v>
      </c>
      <c r="H669" t="str">
        <f t="shared" si="106"/>
        <v>102022</v>
      </c>
      <c r="I669">
        <f t="shared" si="107"/>
        <v>31</v>
      </c>
      <c r="J669">
        <f t="shared" si="103"/>
        <v>1490.7096774193549</v>
      </c>
      <c r="K669">
        <f t="shared" si="104"/>
        <v>1005.3548387096774</v>
      </c>
      <c r="L669">
        <f t="shared" si="105"/>
        <v>237.29032258064515</v>
      </c>
      <c r="M669" t="str">
        <f t="shared" si="108"/>
        <v>432022</v>
      </c>
      <c r="N669" t="str">
        <f t="shared" si="109"/>
        <v>43-10-2022</v>
      </c>
    </row>
    <row r="670" spans="1:14" x14ac:dyDescent="0.2">
      <c r="A670" s="1">
        <v>44865</v>
      </c>
      <c r="B670">
        <f>IFERROR(INDEX('planning dogs-n-tiger'!B$1:B$30,MATCH($H670,'planning dogs-n-tiger'!$G$1:$G$42,0)),0)</f>
        <v>46212</v>
      </c>
      <c r="C670">
        <f>IFERROR(INDEX('planning dogs-n-tiger'!C$1:C$30,MATCH($H670,'planning dogs-n-tiger'!$G$1:$G$42,0)),0)</f>
        <v>31166</v>
      </c>
      <c r="D670">
        <f>IFERROR(INDEX('planning dogs-n-tiger'!D$1:D$30,MATCH($H670,'planning dogs-n-tiger'!$G$1:$G$42,0)),0)</f>
        <v>7356</v>
      </c>
      <c r="E670">
        <f t="shared" si="100"/>
        <v>44</v>
      </c>
      <c r="F670">
        <f t="shared" si="101"/>
        <v>10</v>
      </c>
      <c r="G670">
        <f t="shared" si="102"/>
        <v>2022</v>
      </c>
      <c r="H670" t="str">
        <f t="shared" si="106"/>
        <v>102022</v>
      </c>
      <c r="I670">
        <f t="shared" si="107"/>
        <v>31</v>
      </c>
      <c r="J670">
        <f t="shared" si="103"/>
        <v>1490.7096774193549</v>
      </c>
      <c r="K670">
        <f t="shared" si="104"/>
        <v>1005.3548387096774</v>
      </c>
      <c r="L670">
        <f t="shared" si="105"/>
        <v>237.29032258064515</v>
      </c>
      <c r="M670" t="str">
        <f t="shared" si="108"/>
        <v>442022</v>
      </c>
      <c r="N670" t="str">
        <f t="shared" si="109"/>
        <v>44-10-2022</v>
      </c>
    </row>
    <row r="671" spans="1:14" x14ac:dyDescent="0.2">
      <c r="A671" s="1">
        <v>44866</v>
      </c>
      <c r="B671">
        <f>IFERROR(INDEX('planning dogs-n-tiger'!B$1:B$30,MATCH($H671,'planning dogs-n-tiger'!$G$1:$G$42,0)),0)</f>
        <v>41590</v>
      </c>
      <c r="C671">
        <f>IFERROR(INDEX('planning dogs-n-tiger'!C$1:C$30,MATCH($H671,'planning dogs-n-tiger'!$G$1:$G$42,0)),0)</f>
        <v>18382</v>
      </c>
      <c r="D671">
        <f>IFERROR(INDEX('planning dogs-n-tiger'!D$1:D$30,MATCH($H671,'planning dogs-n-tiger'!$G$1:$G$42,0)),0)</f>
        <v>9600</v>
      </c>
      <c r="E671">
        <f t="shared" si="100"/>
        <v>44</v>
      </c>
      <c r="F671">
        <f t="shared" si="101"/>
        <v>11</v>
      </c>
      <c r="G671">
        <f t="shared" si="102"/>
        <v>2022</v>
      </c>
      <c r="H671" t="str">
        <f t="shared" si="106"/>
        <v>112022</v>
      </c>
      <c r="I671">
        <f t="shared" si="107"/>
        <v>30</v>
      </c>
      <c r="J671">
        <f t="shared" si="103"/>
        <v>1386.3333333333333</v>
      </c>
      <c r="K671">
        <f t="shared" si="104"/>
        <v>612.73333333333335</v>
      </c>
      <c r="L671">
        <f t="shared" si="105"/>
        <v>320</v>
      </c>
      <c r="M671" t="str">
        <f t="shared" si="108"/>
        <v>442022</v>
      </c>
      <c r="N671" t="str">
        <f t="shared" si="109"/>
        <v>44-11-2022</v>
      </c>
    </row>
    <row r="672" spans="1:14" x14ac:dyDescent="0.2">
      <c r="A672" s="1">
        <v>44867</v>
      </c>
      <c r="B672">
        <f>IFERROR(INDEX('planning dogs-n-tiger'!B$1:B$30,MATCH($H672,'planning dogs-n-tiger'!$G$1:$G$42,0)),0)</f>
        <v>41590</v>
      </c>
      <c r="C672">
        <f>IFERROR(INDEX('planning dogs-n-tiger'!C$1:C$30,MATCH($H672,'planning dogs-n-tiger'!$G$1:$G$42,0)),0)</f>
        <v>18382</v>
      </c>
      <c r="D672">
        <f>IFERROR(INDEX('planning dogs-n-tiger'!D$1:D$30,MATCH($H672,'planning dogs-n-tiger'!$G$1:$G$42,0)),0)</f>
        <v>9600</v>
      </c>
      <c r="E672">
        <f t="shared" si="100"/>
        <v>44</v>
      </c>
      <c r="F672">
        <f t="shared" si="101"/>
        <v>11</v>
      </c>
      <c r="G672">
        <f t="shared" si="102"/>
        <v>2022</v>
      </c>
      <c r="H672" t="str">
        <f t="shared" si="106"/>
        <v>112022</v>
      </c>
      <c r="I672">
        <f t="shared" si="107"/>
        <v>30</v>
      </c>
      <c r="J672">
        <f t="shared" si="103"/>
        <v>1386.3333333333333</v>
      </c>
      <c r="K672">
        <f t="shared" si="104"/>
        <v>612.73333333333335</v>
      </c>
      <c r="L672">
        <f t="shared" si="105"/>
        <v>320</v>
      </c>
      <c r="M672" t="str">
        <f t="shared" si="108"/>
        <v>442022</v>
      </c>
      <c r="N672" t="str">
        <f t="shared" si="109"/>
        <v>44-11-2022</v>
      </c>
    </row>
    <row r="673" spans="1:14" x14ac:dyDescent="0.2">
      <c r="A673" s="1">
        <v>44868</v>
      </c>
      <c r="B673">
        <f>IFERROR(INDEX('planning dogs-n-tiger'!B$1:B$30,MATCH($H673,'planning dogs-n-tiger'!$G$1:$G$42,0)),0)</f>
        <v>41590</v>
      </c>
      <c r="C673">
        <f>IFERROR(INDEX('planning dogs-n-tiger'!C$1:C$30,MATCH($H673,'planning dogs-n-tiger'!$G$1:$G$42,0)),0)</f>
        <v>18382</v>
      </c>
      <c r="D673">
        <f>IFERROR(INDEX('planning dogs-n-tiger'!D$1:D$30,MATCH($H673,'planning dogs-n-tiger'!$G$1:$G$42,0)),0)</f>
        <v>9600</v>
      </c>
      <c r="E673">
        <f t="shared" si="100"/>
        <v>44</v>
      </c>
      <c r="F673">
        <f t="shared" si="101"/>
        <v>11</v>
      </c>
      <c r="G673">
        <f t="shared" si="102"/>
        <v>2022</v>
      </c>
      <c r="H673" t="str">
        <f t="shared" si="106"/>
        <v>112022</v>
      </c>
      <c r="I673">
        <f t="shared" si="107"/>
        <v>30</v>
      </c>
      <c r="J673">
        <f t="shared" si="103"/>
        <v>1386.3333333333333</v>
      </c>
      <c r="K673">
        <f t="shared" si="104"/>
        <v>612.73333333333335</v>
      </c>
      <c r="L673">
        <f t="shared" si="105"/>
        <v>320</v>
      </c>
      <c r="M673" t="str">
        <f t="shared" si="108"/>
        <v>442022</v>
      </c>
      <c r="N673" t="str">
        <f t="shared" si="109"/>
        <v>44-11-2022</v>
      </c>
    </row>
    <row r="674" spans="1:14" x14ac:dyDescent="0.2">
      <c r="A674" s="1">
        <v>44869</v>
      </c>
      <c r="B674">
        <f>IFERROR(INDEX('planning dogs-n-tiger'!B$1:B$30,MATCH($H674,'planning dogs-n-tiger'!$G$1:$G$42,0)),0)</f>
        <v>41590</v>
      </c>
      <c r="C674">
        <f>IFERROR(INDEX('planning dogs-n-tiger'!C$1:C$30,MATCH($H674,'planning dogs-n-tiger'!$G$1:$G$42,0)),0)</f>
        <v>18382</v>
      </c>
      <c r="D674">
        <f>IFERROR(INDEX('planning dogs-n-tiger'!D$1:D$30,MATCH($H674,'planning dogs-n-tiger'!$G$1:$G$42,0)),0)</f>
        <v>9600</v>
      </c>
      <c r="E674">
        <f t="shared" si="100"/>
        <v>44</v>
      </c>
      <c r="F674">
        <f t="shared" si="101"/>
        <v>11</v>
      </c>
      <c r="G674">
        <f t="shared" si="102"/>
        <v>2022</v>
      </c>
      <c r="H674" t="str">
        <f t="shared" si="106"/>
        <v>112022</v>
      </c>
      <c r="I674">
        <f t="shared" si="107"/>
        <v>30</v>
      </c>
      <c r="J674">
        <f t="shared" si="103"/>
        <v>1386.3333333333333</v>
      </c>
      <c r="K674">
        <f t="shared" si="104"/>
        <v>612.73333333333335</v>
      </c>
      <c r="L674">
        <f t="shared" si="105"/>
        <v>320</v>
      </c>
      <c r="M674" t="str">
        <f t="shared" si="108"/>
        <v>442022</v>
      </c>
      <c r="N674" t="str">
        <f t="shared" si="109"/>
        <v>44-11-2022</v>
      </c>
    </row>
    <row r="675" spans="1:14" x14ac:dyDescent="0.2">
      <c r="A675" s="1">
        <v>44870</v>
      </c>
      <c r="B675">
        <f>IFERROR(INDEX('planning dogs-n-tiger'!B$1:B$30,MATCH($H675,'planning dogs-n-tiger'!$G$1:$G$42,0)),0)</f>
        <v>41590</v>
      </c>
      <c r="C675">
        <f>IFERROR(INDEX('planning dogs-n-tiger'!C$1:C$30,MATCH($H675,'planning dogs-n-tiger'!$G$1:$G$42,0)),0)</f>
        <v>18382</v>
      </c>
      <c r="D675">
        <f>IFERROR(INDEX('planning dogs-n-tiger'!D$1:D$30,MATCH($H675,'planning dogs-n-tiger'!$G$1:$G$42,0)),0)</f>
        <v>9600</v>
      </c>
      <c r="E675">
        <f t="shared" si="100"/>
        <v>44</v>
      </c>
      <c r="F675">
        <f t="shared" si="101"/>
        <v>11</v>
      </c>
      <c r="G675">
        <f t="shared" si="102"/>
        <v>2022</v>
      </c>
      <c r="H675" t="str">
        <f t="shared" si="106"/>
        <v>112022</v>
      </c>
      <c r="I675">
        <f t="shared" si="107"/>
        <v>30</v>
      </c>
      <c r="J675">
        <f t="shared" si="103"/>
        <v>1386.3333333333333</v>
      </c>
      <c r="K675">
        <f t="shared" si="104"/>
        <v>612.73333333333335</v>
      </c>
      <c r="L675">
        <f t="shared" si="105"/>
        <v>320</v>
      </c>
      <c r="M675" t="str">
        <f t="shared" si="108"/>
        <v>442022</v>
      </c>
      <c r="N675" t="str">
        <f t="shared" si="109"/>
        <v>44-11-2022</v>
      </c>
    </row>
    <row r="676" spans="1:14" x14ac:dyDescent="0.2">
      <c r="A676" s="1">
        <v>44871</v>
      </c>
      <c r="B676">
        <f>IFERROR(INDEX('planning dogs-n-tiger'!B$1:B$30,MATCH($H676,'planning dogs-n-tiger'!$G$1:$G$42,0)),0)</f>
        <v>41590</v>
      </c>
      <c r="C676">
        <f>IFERROR(INDEX('planning dogs-n-tiger'!C$1:C$30,MATCH($H676,'planning dogs-n-tiger'!$G$1:$G$42,0)),0)</f>
        <v>18382</v>
      </c>
      <c r="D676">
        <f>IFERROR(INDEX('planning dogs-n-tiger'!D$1:D$30,MATCH($H676,'planning dogs-n-tiger'!$G$1:$G$42,0)),0)</f>
        <v>9600</v>
      </c>
      <c r="E676">
        <f t="shared" si="100"/>
        <v>44</v>
      </c>
      <c r="F676">
        <f t="shared" si="101"/>
        <v>11</v>
      </c>
      <c r="G676">
        <f t="shared" si="102"/>
        <v>2022</v>
      </c>
      <c r="H676" t="str">
        <f t="shared" si="106"/>
        <v>112022</v>
      </c>
      <c r="I676">
        <f t="shared" si="107"/>
        <v>30</v>
      </c>
      <c r="J676">
        <f t="shared" si="103"/>
        <v>1386.3333333333333</v>
      </c>
      <c r="K676">
        <f t="shared" si="104"/>
        <v>612.73333333333335</v>
      </c>
      <c r="L676">
        <f t="shared" si="105"/>
        <v>320</v>
      </c>
      <c r="M676" t="str">
        <f t="shared" si="108"/>
        <v>442022</v>
      </c>
      <c r="N676" t="str">
        <f t="shared" si="109"/>
        <v>44-11-2022</v>
      </c>
    </row>
    <row r="677" spans="1:14" x14ac:dyDescent="0.2">
      <c r="A677" s="1">
        <v>44872</v>
      </c>
      <c r="B677">
        <f>IFERROR(INDEX('planning dogs-n-tiger'!B$1:B$30,MATCH($H677,'planning dogs-n-tiger'!$G$1:$G$42,0)),0)</f>
        <v>41590</v>
      </c>
      <c r="C677">
        <f>IFERROR(INDEX('planning dogs-n-tiger'!C$1:C$30,MATCH($H677,'planning dogs-n-tiger'!$G$1:$G$42,0)),0)</f>
        <v>18382</v>
      </c>
      <c r="D677">
        <f>IFERROR(INDEX('planning dogs-n-tiger'!D$1:D$30,MATCH($H677,'planning dogs-n-tiger'!$G$1:$G$42,0)),0)</f>
        <v>9600</v>
      </c>
      <c r="E677">
        <f t="shared" si="100"/>
        <v>45</v>
      </c>
      <c r="F677">
        <f t="shared" si="101"/>
        <v>11</v>
      </c>
      <c r="G677">
        <f t="shared" si="102"/>
        <v>2022</v>
      </c>
      <c r="H677" t="str">
        <f t="shared" si="106"/>
        <v>112022</v>
      </c>
      <c r="I677">
        <f t="shared" si="107"/>
        <v>30</v>
      </c>
      <c r="J677">
        <f t="shared" si="103"/>
        <v>1386.3333333333333</v>
      </c>
      <c r="K677">
        <f t="shared" si="104"/>
        <v>612.73333333333335</v>
      </c>
      <c r="L677">
        <f t="shared" si="105"/>
        <v>320</v>
      </c>
      <c r="M677" t="str">
        <f t="shared" si="108"/>
        <v>452022</v>
      </c>
      <c r="N677" t="str">
        <f t="shared" si="109"/>
        <v>45-11-2022</v>
      </c>
    </row>
    <row r="678" spans="1:14" x14ac:dyDescent="0.2">
      <c r="A678" s="1">
        <v>44873</v>
      </c>
      <c r="B678">
        <f>IFERROR(INDEX('planning dogs-n-tiger'!B$1:B$30,MATCH($H678,'planning dogs-n-tiger'!$G$1:$G$42,0)),0)</f>
        <v>41590</v>
      </c>
      <c r="C678">
        <f>IFERROR(INDEX('planning dogs-n-tiger'!C$1:C$30,MATCH($H678,'planning dogs-n-tiger'!$G$1:$G$42,0)),0)</f>
        <v>18382</v>
      </c>
      <c r="D678">
        <f>IFERROR(INDEX('planning dogs-n-tiger'!D$1:D$30,MATCH($H678,'planning dogs-n-tiger'!$G$1:$G$42,0)),0)</f>
        <v>9600</v>
      </c>
      <c r="E678">
        <f t="shared" si="100"/>
        <v>45</v>
      </c>
      <c r="F678">
        <f t="shared" si="101"/>
        <v>11</v>
      </c>
      <c r="G678">
        <f t="shared" si="102"/>
        <v>2022</v>
      </c>
      <c r="H678" t="str">
        <f t="shared" si="106"/>
        <v>112022</v>
      </c>
      <c r="I678">
        <f t="shared" si="107"/>
        <v>30</v>
      </c>
      <c r="J678">
        <f t="shared" si="103"/>
        <v>1386.3333333333333</v>
      </c>
      <c r="K678">
        <f t="shared" si="104"/>
        <v>612.73333333333335</v>
      </c>
      <c r="L678">
        <f t="shared" si="105"/>
        <v>320</v>
      </c>
      <c r="M678" t="str">
        <f t="shared" si="108"/>
        <v>452022</v>
      </c>
      <c r="N678" t="str">
        <f t="shared" si="109"/>
        <v>45-11-2022</v>
      </c>
    </row>
    <row r="679" spans="1:14" x14ac:dyDescent="0.2">
      <c r="A679" s="1">
        <v>44874</v>
      </c>
      <c r="B679">
        <f>IFERROR(INDEX('planning dogs-n-tiger'!B$1:B$30,MATCH($H679,'planning dogs-n-tiger'!$G$1:$G$42,0)),0)</f>
        <v>41590</v>
      </c>
      <c r="C679">
        <f>IFERROR(INDEX('planning dogs-n-tiger'!C$1:C$30,MATCH($H679,'planning dogs-n-tiger'!$G$1:$G$42,0)),0)</f>
        <v>18382</v>
      </c>
      <c r="D679">
        <f>IFERROR(INDEX('planning dogs-n-tiger'!D$1:D$30,MATCH($H679,'planning dogs-n-tiger'!$G$1:$G$42,0)),0)</f>
        <v>9600</v>
      </c>
      <c r="E679">
        <f t="shared" si="100"/>
        <v>45</v>
      </c>
      <c r="F679">
        <f t="shared" si="101"/>
        <v>11</v>
      </c>
      <c r="G679">
        <f t="shared" si="102"/>
        <v>2022</v>
      </c>
      <c r="H679" t="str">
        <f t="shared" si="106"/>
        <v>112022</v>
      </c>
      <c r="I679">
        <f t="shared" si="107"/>
        <v>30</v>
      </c>
      <c r="J679">
        <f t="shared" si="103"/>
        <v>1386.3333333333333</v>
      </c>
      <c r="K679">
        <f t="shared" si="104"/>
        <v>612.73333333333335</v>
      </c>
      <c r="L679">
        <f t="shared" si="105"/>
        <v>320</v>
      </c>
      <c r="M679" t="str">
        <f t="shared" si="108"/>
        <v>452022</v>
      </c>
      <c r="N679" t="str">
        <f t="shared" si="109"/>
        <v>45-11-2022</v>
      </c>
    </row>
    <row r="680" spans="1:14" x14ac:dyDescent="0.2">
      <c r="A680" s="1">
        <v>44875</v>
      </c>
      <c r="B680">
        <f>IFERROR(INDEX('planning dogs-n-tiger'!B$1:B$30,MATCH($H680,'planning dogs-n-tiger'!$G$1:$G$42,0)),0)</f>
        <v>41590</v>
      </c>
      <c r="C680">
        <f>IFERROR(INDEX('planning dogs-n-tiger'!C$1:C$30,MATCH($H680,'planning dogs-n-tiger'!$G$1:$G$42,0)),0)</f>
        <v>18382</v>
      </c>
      <c r="D680">
        <f>IFERROR(INDEX('planning dogs-n-tiger'!D$1:D$30,MATCH($H680,'planning dogs-n-tiger'!$G$1:$G$42,0)),0)</f>
        <v>9600</v>
      </c>
      <c r="E680">
        <f t="shared" si="100"/>
        <v>45</v>
      </c>
      <c r="F680">
        <f t="shared" si="101"/>
        <v>11</v>
      </c>
      <c r="G680">
        <f t="shared" si="102"/>
        <v>2022</v>
      </c>
      <c r="H680" t="str">
        <f t="shared" si="106"/>
        <v>112022</v>
      </c>
      <c r="I680">
        <f t="shared" si="107"/>
        <v>30</v>
      </c>
      <c r="J680">
        <f t="shared" si="103"/>
        <v>1386.3333333333333</v>
      </c>
      <c r="K680">
        <f t="shared" si="104"/>
        <v>612.73333333333335</v>
      </c>
      <c r="L680">
        <f t="shared" si="105"/>
        <v>320</v>
      </c>
      <c r="M680" t="str">
        <f t="shared" si="108"/>
        <v>452022</v>
      </c>
      <c r="N680" t="str">
        <f t="shared" si="109"/>
        <v>45-11-2022</v>
      </c>
    </row>
    <row r="681" spans="1:14" x14ac:dyDescent="0.2">
      <c r="A681" s="1">
        <v>44876</v>
      </c>
      <c r="B681">
        <f>IFERROR(INDEX('planning dogs-n-tiger'!B$1:B$30,MATCH($H681,'planning dogs-n-tiger'!$G$1:$G$42,0)),0)</f>
        <v>41590</v>
      </c>
      <c r="C681">
        <f>IFERROR(INDEX('planning dogs-n-tiger'!C$1:C$30,MATCH($H681,'planning dogs-n-tiger'!$G$1:$G$42,0)),0)</f>
        <v>18382</v>
      </c>
      <c r="D681">
        <f>IFERROR(INDEX('planning dogs-n-tiger'!D$1:D$30,MATCH($H681,'planning dogs-n-tiger'!$G$1:$G$42,0)),0)</f>
        <v>9600</v>
      </c>
      <c r="E681">
        <f t="shared" si="100"/>
        <v>45</v>
      </c>
      <c r="F681">
        <f t="shared" si="101"/>
        <v>11</v>
      </c>
      <c r="G681">
        <f t="shared" si="102"/>
        <v>2022</v>
      </c>
      <c r="H681" t="str">
        <f t="shared" si="106"/>
        <v>112022</v>
      </c>
      <c r="I681">
        <f t="shared" si="107"/>
        <v>30</v>
      </c>
      <c r="J681">
        <f t="shared" si="103"/>
        <v>1386.3333333333333</v>
      </c>
      <c r="K681">
        <f t="shared" si="104"/>
        <v>612.73333333333335</v>
      </c>
      <c r="L681">
        <f t="shared" si="105"/>
        <v>320</v>
      </c>
      <c r="M681" t="str">
        <f t="shared" si="108"/>
        <v>452022</v>
      </c>
      <c r="N681" t="str">
        <f t="shared" si="109"/>
        <v>45-11-2022</v>
      </c>
    </row>
    <row r="682" spans="1:14" x14ac:dyDescent="0.2">
      <c r="A682" s="1">
        <v>44877</v>
      </c>
      <c r="B682">
        <f>IFERROR(INDEX('planning dogs-n-tiger'!B$1:B$30,MATCH($H682,'planning dogs-n-tiger'!$G$1:$G$42,0)),0)</f>
        <v>41590</v>
      </c>
      <c r="C682">
        <f>IFERROR(INDEX('planning dogs-n-tiger'!C$1:C$30,MATCH($H682,'planning dogs-n-tiger'!$G$1:$G$42,0)),0)</f>
        <v>18382</v>
      </c>
      <c r="D682">
        <f>IFERROR(INDEX('planning dogs-n-tiger'!D$1:D$30,MATCH($H682,'planning dogs-n-tiger'!$G$1:$G$42,0)),0)</f>
        <v>9600</v>
      </c>
      <c r="E682">
        <f t="shared" si="100"/>
        <v>45</v>
      </c>
      <c r="F682">
        <f t="shared" si="101"/>
        <v>11</v>
      </c>
      <c r="G682">
        <f t="shared" si="102"/>
        <v>2022</v>
      </c>
      <c r="H682" t="str">
        <f t="shared" si="106"/>
        <v>112022</v>
      </c>
      <c r="I682">
        <f t="shared" si="107"/>
        <v>30</v>
      </c>
      <c r="J682">
        <f t="shared" si="103"/>
        <v>1386.3333333333333</v>
      </c>
      <c r="K682">
        <f t="shared" si="104"/>
        <v>612.73333333333335</v>
      </c>
      <c r="L682">
        <f t="shared" si="105"/>
        <v>320</v>
      </c>
      <c r="M682" t="str">
        <f t="shared" si="108"/>
        <v>452022</v>
      </c>
      <c r="N682" t="str">
        <f t="shared" si="109"/>
        <v>45-11-2022</v>
      </c>
    </row>
    <row r="683" spans="1:14" x14ac:dyDescent="0.2">
      <c r="A683" s="1">
        <v>44878</v>
      </c>
      <c r="B683">
        <f>IFERROR(INDEX('planning dogs-n-tiger'!B$1:B$30,MATCH($H683,'planning dogs-n-tiger'!$G$1:$G$42,0)),0)</f>
        <v>41590</v>
      </c>
      <c r="C683">
        <f>IFERROR(INDEX('planning dogs-n-tiger'!C$1:C$30,MATCH($H683,'planning dogs-n-tiger'!$G$1:$G$42,0)),0)</f>
        <v>18382</v>
      </c>
      <c r="D683">
        <f>IFERROR(INDEX('planning dogs-n-tiger'!D$1:D$30,MATCH($H683,'planning dogs-n-tiger'!$G$1:$G$42,0)),0)</f>
        <v>9600</v>
      </c>
      <c r="E683">
        <f t="shared" si="100"/>
        <v>45</v>
      </c>
      <c r="F683">
        <f t="shared" si="101"/>
        <v>11</v>
      </c>
      <c r="G683">
        <f t="shared" si="102"/>
        <v>2022</v>
      </c>
      <c r="H683" t="str">
        <f t="shared" si="106"/>
        <v>112022</v>
      </c>
      <c r="I683">
        <f t="shared" si="107"/>
        <v>30</v>
      </c>
      <c r="J683">
        <f t="shared" si="103"/>
        <v>1386.3333333333333</v>
      </c>
      <c r="K683">
        <f t="shared" si="104"/>
        <v>612.73333333333335</v>
      </c>
      <c r="L683">
        <f t="shared" si="105"/>
        <v>320</v>
      </c>
      <c r="M683" t="str">
        <f t="shared" si="108"/>
        <v>452022</v>
      </c>
      <c r="N683" t="str">
        <f t="shared" si="109"/>
        <v>45-11-2022</v>
      </c>
    </row>
    <row r="684" spans="1:14" x14ac:dyDescent="0.2">
      <c r="A684" s="1">
        <v>44879</v>
      </c>
      <c r="B684">
        <f>IFERROR(INDEX('planning dogs-n-tiger'!B$1:B$30,MATCH($H684,'planning dogs-n-tiger'!$G$1:$G$42,0)),0)</f>
        <v>41590</v>
      </c>
      <c r="C684">
        <f>IFERROR(INDEX('planning dogs-n-tiger'!C$1:C$30,MATCH($H684,'planning dogs-n-tiger'!$G$1:$G$42,0)),0)</f>
        <v>18382</v>
      </c>
      <c r="D684">
        <f>IFERROR(INDEX('planning dogs-n-tiger'!D$1:D$30,MATCH($H684,'planning dogs-n-tiger'!$G$1:$G$42,0)),0)</f>
        <v>9600</v>
      </c>
      <c r="E684">
        <f t="shared" si="100"/>
        <v>46</v>
      </c>
      <c r="F684">
        <f t="shared" si="101"/>
        <v>11</v>
      </c>
      <c r="G684">
        <f t="shared" si="102"/>
        <v>2022</v>
      </c>
      <c r="H684" t="str">
        <f t="shared" si="106"/>
        <v>112022</v>
      </c>
      <c r="I684">
        <f t="shared" si="107"/>
        <v>30</v>
      </c>
      <c r="J684">
        <f t="shared" si="103"/>
        <v>1386.3333333333333</v>
      </c>
      <c r="K684">
        <f t="shared" si="104"/>
        <v>612.73333333333335</v>
      </c>
      <c r="L684">
        <f t="shared" si="105"/>
        <v>320</v>
      </c>
      <c r="M684" t="str">
        <f t="shared" si="108"/>
        <v>462022</v>
      </c>
      <c r="N684" t="str">
        <f t="shared" si="109"/>
        <v>46-11-2022</v>
      </c>
    </row>
    <row r="685" spans="1:14" x14ac:dyDescent="0.2">
      <c r="A685" s="1">
        <v>44880</v>
      </c>
      <c r="B685">
        <f>IFERROR(INDEX('planning dogs-n-tiger'!B$1:B$30,MATCH($H685,'planning dogs-n-tiger'!$G$1:$G$42,0)),0)</f>
        <v>41590</v>
      </c>
      <c r="C685">
        <f>IFERROR(INDEX('planning dogs-n-tiger'!C$1:C$30,MATCH($H685,'planning dogs-n-tiger'!$G$1:$G$42,0)),0)</f>
        <v>18382</v>
      </c>
      <c r="D685">
        <f>IFERROR(INDEX('planning dogs-n-tiger'!D$1:D$30,MATCH($H685,'planning dogs-n-tiger'!$G$1:$G$42,0)),0)</f>
        <v>9600</v>
      </c>
      <c r="E685">
        <f t="shared" si="100"/>
        <v>46</v>
      </c>
      <c r="F685">
        <f t="shared" si="101"/>
        <v>11</v>
      </c>
      <c r="G685">
        <f t="shared" si="102"/>
        <v>2022</v>
      </c>
      <c r="H685" t="str">
        <f t="shared" si="106"/>
        <v>112022</v>
      </c>
      <c r="I685">
        <f t="shared" si="107"/>
        <v>30</v>
      </c>
      <c r="J685">
        <f t="shared" si="103"/>
        <v>1386.3333333333333</v>
      </c>
      <c r="K685">
        <f t="shared" si="104"/>
        <v>612.73333333333335</v>
      </c>
      <c r="L685">
        <f t="shared" si="105"/>
        <v>320</v>
      </c>
      <c r="M685" t="str">
        <f t="shared" si="108"/>
        <v>462022</v>
      </c>
      <c r="N685" t="str">
        <f t="shared" si="109"/>
        <v>46-11-2022</v>
      </c>
    </row>
    <row r="686" spans="1:14" x14ac:dyDescent="0.2">
      <c r="A686" s="1">
        <v>44881</v>
      </c>
      <c r="B686">
        <f>IFERROR(INDEX('planning dogs-n-tiger'!B$1:B$30,MATCH($H686,'planning dogs-n-tiger'!$G$1:$G$42,0)),0)</f>
        <v>41590</v>
      </c>
      <c r="C686">
        <f>IFERROR(INDEX('planning dogs-n-tiger'!C$1:C$30,MATCH($H686,'planning dogs-n-tiger'!$G$1:$G$42,0)),0)</f>
        <v>18382</v>
      </c>
      <c r="D686">
        <f>IFERROR(INDEX('planning dogs-n-tiger'!D$1:D$30,MATCH($H686,'planning dogs-n-tiger'!$G$1:$G$42,0)),0)</f>
        <v>9600</v>
      </c>
      <c r="E686">
        <f t="shared" si="100"/>
        <v>46</v>
      </c>
      <c r="F686">
        <f t="shared" si="101"/>
        <v>11</v>
      </c>
      <c r="G686">
        <f t="shared" si="102"/>
        <v>2022</v>
      </c>
      <c r="H686" t="str">
        <f t="shared" si="106"/>
        <v>112022</v>
      </c>
      <c r="I686">
        <f t="shared" si="107"/>
        <v>30</v>
      </c>
      <c r="J686">
        <f t="shared" si="103"/>
        <v>1386.3333333333333</v>
      </c>
      <c r="K686">
        <f t="shared" si="104"/>
        <v>612.73333333333335</v>
      </c>
      <c r="L686">
        <f t="shared" si="105"/>
        <v>320</v>
      </c>
      <c r="M686" t="str">
        <f t="shared" si="108"/>
        <v>462022</v>
      </c>
      <c r="N686" t="str">
        <f t="shared" si="109"/>
        <v>46-11-2022</v>
      </c>
    </row>
    <row r="687" spans="1:14" x14ac:dyDescent="0.2">
      <c r="A687" s="1">
        <v>44882</v>
      </c>
      <c r="B687">
        <f>IFERROR(INDEX('planning dogs-n-tiger'!B$1:B$30,MATCH($H687,'planning dogs-n-tiger'!$G$1:$G$42,0)),0)</f>
        <v>41590</v>
      </c>
      <c r="C687">
        <f>IFERROR(INDEX('planning dogs-n-tiger'!C$1:C$30,MATCH($H687,'planning dogs-n-tiger'!$G$1:$G$42,0)),0)</f>
        <v>18382</v>
      </c>
      <c r="D687">
        <f>IFERROR(INDEX('planning dogs-n-tiger'!D$1:D$30,MATCH($H687,'planning dogs-n-tiger'!$G$1:$G$42,0)),0)</f>
        <v>9600</v>
      </c>
      <c r="E687">
        <f t="shared" si="100"/>
        <v>46</v>
      </c>
      <c r="F687">
        <f t="shared" si="101"/>
        <v>11</v>
      </c>
      <c r="G687">
        <f t="shared" si="102"/>
        <v>2022</v>
      </c>
      <c r="H687" t="str">
        <f t="shared" si="106"/>
        <v>112022</v>
      </c>
      <c r="I687">
        <f t="shared" si="107"/>
        <v>30</v>
      </c>
      <c r="J687">
        <f t="shared" si="103"/>
        <v>1386.3333333333333</v>
      </c>
      <c r="K687">
        <f t="shared" si="104"/>
        <v>612.73333333333335</v>
      </c>
      <c r="L687">
        <f t="shared" si="105"/>
        <v>320</v>
      </c>
      <c r="M687" t="str">
        <f t="shared" si="108"/>
        <v>462022</v>
      </c>
      <c r="N687" t="str">
        <f t="shared" si="109"/>
        <v>46-11-2022</v>
      </c>
    </row>
    <row r="688" spans="1:14" x14ac:dyDescent="0.2">
      <c r="A688" s="1">
        <v>44883</v>
      </c>
      <c r="B688">
        <f>IFERROR(INDEX('planning dogs-n-tiger'!B$1:B$30,MATCH($H688,'planning dogs-n-tiger'!$G$1:$G$42,0)),0)</f>
        <v>41590</v>
      </c>
      <c r="C688">
        <f>IFERROR(INDEX('planning dogs-n-tiger'!C$1:C$30,MATCH($H688,'planning dogs-n-tiger'!$G$1:$G$42,0)),0)</f>
        <v>18382</v>
      </c>
      <c r="D688">
        <f>IFERROR(INDEX('planning dogs-n-tiger'!D$1:D$30,MATCH($H688,'planning dogs-n-tiger'!$G$1:$G$42,0)),0)</f>
        <v>9600</v>
      </c>
      <c r="E688">
        <f t="shared" si="100"/>
        <v>46</v>
      </c>
      <c r="F688">
        <f t="shared" si="101"/>
        <v>11</v>
      </c>
      <c r="G688">
        <f t="shared" si="102"/>
        <v>2022</v>
      </c>
      <c r="H688" t="str">
        <f t="shared" si="106"/>
        <v>112022</v>
      </c>
      <c r="I688">
        <f t="shared" si="107"/>
        <v>30</v>
      </c>
      <c r="J688">
        <f t="shared" si="103"/>
        <v>1386.3333333333333</v>
      </c>
      <c r="K688">
        <f t="shared" si="104"/>
        <v>612.73333333333335</v>
      </c>
      <c r="L688">
        <f t="shared" si="105"/>
        <v>320</v>
      </c>
      <c r="M688" t="str">
        <f t="shared" si="108"/>
        <v>462022</v>
      </c>
      <c r="N688" t="str">
        <f t="shared" si="109"/>
        <v>46-11-2022</v>
      </c>
    </row>
    <row r="689" spans="1:14" x14ac:dyDescent="0.2">
      <c r="A689" s="1">
        <v>44884</v>
      </c>
      <c r="B689">
        <f>IFERROR(INDEX('planning dogs-n-tiger'!B$1:B$30,MATCH($H689,'planning dogs-n-tiger'!$G$1:$G$42,0)),0)</f>
        <v>41590</v>
      </c>
      <c r="C689">
        <f>IFERROR(INDEX('planning dogs-n-tiger'!C$1:C$30,MATCH($H689,'planning dogs-n-tiger'!$G$1:$G$42,0)),0)</f>
        <v>18382</v>
      </c>
      <c r="D689">
        <f>IFERROR(INDEX('planning dogs-n-tiger'!D$1:D$30,MATCH($H689,'planning dogs-n-tiger'!$G$1:$G$42,0)),0)</f>
        <v>9600</v>
      </c>
      <c r="E689">
        <f t="shared" si="100"/>
        <v>46</v>
      </c>
      <c r="F689">
        <f t="shared" si="101"/>
        <v>11</v>
      </c>
      <c r="G689">
        <f t="shared" si="102"/>
        <v>2022</v>
      </c>
      <c r="H689" t="str">
        <f t="shared" si="106"/>
        <v>112022</v>
      </c>
      <c r="I689">
        <f t="shared" si="107"/>
        <v>30</v>
      </c>
      <c r="J689">
        <f t="shared" si="103"/>
        <v>1386.3333333333333</v>
      </c>
      <c r="K689">
        <f t="shared" si="104"/>
        <v>612.73333333333335</v>
      </c>
      <c r="L689">
        <f t="shared" si="105"/>
        <v>320</v>
      </c>
      <c r="M689" t="str">
        <f t="shared" si="108"/>
        <v>462022</v>
      </c>
      <c r="N689" t="str">
        <f t="shared" si="109"/>
        <v>46-11-2022</v>
      </c>
    </row>
    <row r="690" spans="1:14" x14ac:dyDescent="0.2">
      <c r="A690" s="1">
        <v>44885</v>
      </c>
      <c r="B690">
        <f>IFERROR(INDEX('planning dogs-n-tiger'!B$1:B$30,MATCH($H690,'planning dogs-n-tiger'!$G$1:$G$42,0)),0)</f>
        <v>41590</v>
      </c>
      <c r="C690">
        <f>IFERROR(INDEX('planning dogs-n-tiger'!C$1:C$30,MATCH($H690,'planning dogs-n-tiger'!$G$1:$G$42,0)),0)</f>
        <v>18382</v>
      </c>
      <c r="D690">
        <f>IFERROR(INDEX('planning dogs-n-tiger'!D$1:D$30,MATCH($H690,'planning dogs-n-tiger'!$G$1:$G$42,0)),0)</f>
        <v>9600</v>
      </c>
      <c r="E690">
        <f t="shared" si="100"/>
        <v>46</v>
      </c>
      <c r="F690">
        <f t="shared" si="101"/>
        <v>11</v>
      </c>
      <c r="G690">
        <f t="shared" si="102"/>
        <v>2022</v>
      </c>
      <c r="H690" t="str">
        <f t="shared" si="106"/>
        <v>112022</v>
      </c>
      <c r="I690">
        <f t="shared" si="107"/>
        <v>30</v>
      </c>
      <c r="J690">
        <f t="shared" si="103"/>
        <v>1386.3333333333333</v>
      </c>
      <c r="K690">
        <f t="shared" si="104"/>
        <v>612.73333333333335</v>
      </c>
      <c r="L690">
        <f t="shared" si="105"/>
        <v>320</v>
      </c>
      <c r="M690" t="str">
        <f t="shared" si="108"/>
        <v>462022</v>
      </c>
      <c r="N690" t="str">
        <f t="shared" si="109"/>
        <v>46-11-2022</v>
      </c>
    </row>
    <row r="691" spans="1:14" x14ac:dyDescent="0.2">
      <c r="A691" s="1">
        <v>44886</v>
      </c>
      <c r="B691">
        <f>IFERROR(INDEX('planning dogs-n-tiger'!B$1:B$30,MATCH($H691,'planning dogs-n-tiger'!$G$1:$G$42,0)),0)</f>
        <v>41590</v>
      </c>
      <c r="C691">
        <f>IFERROR(INDEX('planning dogs-n-tiger'!C$1:C$30,MATCH($H691,'planning dogs-n-tiger'!$G$1:$G$42,0)),0)</f>
        <v>18382</v>
      </c>
      <c r="D691">
        <f>IFERROR(INDEX('planning dogs-n-tiger'!D$1:D$30,MATCH($H691,'planning dogs-n-tiger'!$G$1:$G$42,0)),0)</f>
        <v>9600</v>
      </c>
      <c r="E691">
        <f t="shared" si="100"/>
        <v>47</v>
      </c>
      <c r="F691">
        <f t="shared" si="101"/>
        <v>11</v>
      </c>
      <c r="G691">
        <f t="shared" si="102"/>
        <v>2022</v>
      </c>
      <c r="H691" t="str">
        <f t="shared" si="106"/>
        <v>112022</v>
      </c>
      <c r="I691">
        <f t="shared" si="107"/>
        <v>30</v>
      </c>
      <c r="J691">
        <f t="shared" si="103"/>
        <v>1386.3333333333333</v>
      </c>
      <c r="K691">
        <f t="shared" si="104"/>
        <v>612.73333333333335</v>
      </c>
      <c r="L691">
        <f t="shared" si="105"/>
        <v>320</v>
      </c>
      <c r="M691" t="str">
        <f t="shared" si="108"/>
        <v>472022</v>
      </c>
      <c r="N691" t="str">
        <f t="shared" si="109"/>
        <v>47-11-2022</v>
      </c>
    </row>
    <row r="692" spans="1:14" x14ac:dyDescent="0.2">
      <c r="A692" s="1">
        <v>44887</v>
      </c>
      <c r="B692">
        <f>IFERROR(INDEX('planning dogs-n-tiger'!B$1:B$30,MATCH($H692,'planning dogs-n-tiger'!$G$1:$G$42,0)),0)</f>
        <v>41590</v>
      </c>
      <c r="C692">
        <f>IFERROR(INDEX('planning dogs-n-tiger'!C$1:C$30,MATCH($H692,'planning dogs-n-tiger'!$G$1:$G$42,0)),0)</f>
        <v>18382</v>
      </c>
      <c r="D692">
        <f>IFERROR(INDEX('planning dogs-n-tiger'!D$1:D$30,MATCH($H692,'planning dogs-n-tiger'!$G$1:$G$42,0)),0)</f>
        <v>9600</v>
      </c>
      <c r="E692">
        <f t="shared" si="100"/>
        <v>47</v>
      </c>
      <c r="F692">
        <f t="shared" si="101"/>
        <v>11</v>
      </c>
      <c r="G692">
        <f t="shared" si="102"/>
        <v>2022</v>
      </c>
      <c r="H692" t="str">
        <f t="shared" si="106"/>
        <v>112022</v>
      </c>
      <c r="I692">
        <f t="shared" si="107"/>
        <v>30</v>
      </c>
      <c r="J692">
        <f t="shared" si="103"/>
        <v>1386.3333333333333</v>
      </c>
      <c r="K692">
        <f t="shared" si="104"/>
        <v>612.73333333333335</v>
      </c>
      <c r="L692">
        <f t="shared" si="105"/>
        <v>320</v>
      </c>
      <c r="M692" t="str">
        <f t="shared" si="108"/>
        <v>472022</v>
      </c>
      <c r="N692" t="str">
        <f t="shared" si="109"/>
        <v>47-11-2022</v>
      </c>
    </row>
    <row r="693" spans="1:14" x14ac:dyDescent="0.2">
      <c r="A693" s="1">
        <v>44888</v>
      </c>
      <c r="B693">
        <f>IFERROR(INDEX('planning dogs-n-tiger'!B$1:B$30,MATCH($H693,'planning dogs-n-tiger'!$G$1:$G$42,0)),0)</f>
        <v>41590</v>
      </c>
      <c r="C693">
        <f>IFERROR(INDEX('planning dogs-n-tiger'!C$1:C$30,MATCH($H693,'planning dogs-n-tiger'!$G$1:$G$42,0)),0)</f>
        <v>18382</v>
      </c>
      <c r="D693">
        <f>IFERROR(INDEX('planning dogs-n-tiger'!D$1:D$30,MATCH($H693,'planning dogs-n-tiger'!$G$1:$G$42,0)),0)</f>
        <v>9600</v>
      </c>
      <c r="E693">
        <f t="shared" si="100"/>
        <v>47</v>
      </c>
      <c r="F693">
        <f t="shared" si="101"/>
        <v>11</v>
      </c>
      <c r="G693">
        <f t="shared" si="102"/>
        <v>2022</v>
      </c>
      <c r="H693" t="str">
        <f t="shared" si="106"/>
        <v>112022</v>
      </c>
      <c r="I693">
        <f t="shared" si="107"/>
        <v>30</v>
      </c>
      <c r="J693">
        <f t="shared" si="103"/>
        <v>1386.3333333333333</v>
      </c>
      <c r="K693">
        <f t="shared" si="104"/>
        <v>612.73333333333335</v>
      </c>
      <c r="L693">
        <f t="shared" si="105"/>
        <v>320</v>
      </c>
      <c r="M693" t="str">
        <f t="shared" si="108"/>
        <v>472022</v>
      </c>
      <c r="N693" t="str">
        <f t="shared" si="109"/>
        <v>47-11-2022</v>
      </c>
    </row>
    <row r="694" spans="1:14" x14ac:dyDescent="0.2">
      <c r="A694" s="1">
        <v>44889</v>
      </c>
      <c r="B694">
        <f>IFERROR(INDEX('planning dogs-n-tiger'!B$1:B$30,MATCH($H694,'planning dogs-n-tiger'!$G$1:$G$42,0)),0)</f>
        <v>41590</v>
      </c>
      <c r="C694">
        <f>IFERROR(INDEX('planning dogs-n-tiger'!C$1:C$30,MATCH($H694,'planning dogs-n-tiger'!$G$1:$G$42,0)),0)</f>
        <v>18382</v>
      </c>
      <c r="D694">
        <f>IFERROR(INDEX('planning dogs-n-tiger'!D$1:D$30,MATCH($H694,'planning dogs-n-tiger'!$G$1:$G$42,0)),0)</f>
        <v>9600</v>
      </c>
      <c r="E694">
        <f t="shared" si="100"/>
        <v>47</v>
      </c>
      <c r="F694">
        <f t="shared" si="101"/>
        <v>11</v>
      </c>
      <c r="G694">
        <f t="shared" si="102"/>
        <v>2022</v>
      </c>
      <c r="H694" t="str">
        <f t="shared" si="106"/>
        <v>112022</v>
      </c>
      <c r="I694">
        <f t="shared" si="107"/>
        <v>30</v>
      </c>
      <c r="J694">
        <f t="shared" si="103"/>
        <v>1386.3333333333333</v>
      </c>
      <c r="K694">
        <f t="shared" si="104"/>
        <v>612.73333333333335</v>
      </c>
      <c r="L694">
        <f t="shared" si="105"/>
        <v>320</v>
      </c>
      <c r="M694" t="str">
        <f t="shared" si="108"/>
        <v>472022</v>
      </c>
      <c r="N694" t="str">
        <f t="shared" si="109"/>
        <v>47-11-2022</v>
      </c>
    </row>
    <row r="695" spans="1:14" x14ac:dyDescent="0.2">
      <c r="A695" s="1">
        <v>44890</v>
      </c>
      <c r="B695">
        <f>IFERROR(INDEX('planning dogs-n-tiger'!B$1:B$30,MATCH($H695,'planning dogs-n-tiger'!$G$1:$G$42,0)),0)</f>
        <v>41590</v>
      </c>
      <c r="C695">
        <f>IFERROR(INDEX('planning dogs-n-tiger'!C$1:C$30,MATCH($H695,'planning dogs-n-tiger'!$G$1:$G$42,0)),0)</f>
        <v>18382</v>
      </c>
      <c r="D695">
        <f>IFERROR(INDEX('planning dogs-n-tiger'!D$1:D$30,MATCH($H695,'planning dogs-n-tiger'!$G$1:$G$42,0)),0)</f>
        <v>9600</v>
      </c>
      <c r="E695">
        <f t="shared" si="100"/>
        <v>47</v>
      </c>
      <c r="F695">
        <f t="shared" si="101"/>
        <v>11</v>
      </c>
      <c r="G695">
        <f t="shared" si="102"/>
        <v>2022</v>
      </c>
      <c r="H695" t="str">
        <f t="shared" si="106"/>
        <v>112022</v>
      </c>
      <c r="I695">
        <f t="shared" si="107"/>
        <v>30</v>
      </c>
      <c r="J695">
        <f t="shared" si="103"/>
        <v>1386.3333333333333</v>
      </c>
      <c r="K695">
        <f t="shared" si="104"/>
        <v>612.73333333333335</v>
      </c>
      <c r="L695">
        <f t="shared" si="105"/>
        <v>320</v>
      </c>
      <c r="M695" t="str">
        <f t="shared" si="108"/>
        <v>472022</v>
      </c>
      <c r="N695" t="str">
        <f t="shared" si="109"/>
        <v>47-11-2022</v>
      </c>
    </row>
    <row r="696" spans="1:14" x14ac:dyDescent="0.2">
      <c r="A696" s="1">
        <v>44891</v>
      </c>
      <c r="B696">
        <f>IFERROR(INDEX('planning dogs-n-tiger'!B$1:B$30,MATCH($H696,'planning dogs-n-tiger'!$G$1:$G$42,0)),0)</f>
        <v>41590</v>
      </c>
      <c r="C696">
        <f>IFERROR(INDEX('planning dogs-n-tiger'!C$1:C$30,MATCH($H696,'planning dogs-n-tiger'!$G$1:$G$42,0)),0)</f>
        <v>18382</v>
      </c>
      <c r="D696">
        <f>IFERROR(INDEX('planning dogs-n-tiger'!D$1:D$30,MATCH($H696,'planning dogs-n-tiger'!$G$1:$G$42,0)),0)</f>
        <v>9600</v>
      </c>
      <c r="E696">
        <f t="shared" si="100"/>
        <v>47</v>
      </c>
      <c r="F696">
        <f t="shared" si="101"/>
        <v>11</v>
      </c>
      <c r="G696">
        <f t="shared" si="102"/>
        <v>2022</v>
      </c>
      <c r="H696" t="str">
        <f t="shared" si="106"/>
        <v>112022</v>
      </c>
      <c r="I696">
        <f t="shared" si="107"/>
        <v>30</v>
      </c>
      <c r="J696">
        <f t="shared" si="103"/>
        <v>1386.3333333333333</v>
      </c>
      <c r="K696">
        <f t="shared" si="104"/>
        <v>612.73333333333335</v>
      </c>
      <c r="L696">
        <f t="shared" si="105"/>
        <v>320</v>
      </c>
      <c r="M696" t="str">
        <f t="shared" si="108"/>
        <v>472022</v>
      </c>
      <c r="N696" t="str">
        <f t="shared" si="109"/>
        <v>47-11-2022</v>
      </c>
    </row>
    <row r="697" spans="1:14" x14ac:dyDescent="0.2">
      <c r="A697" s="1">
        <v>44892</v>
      </c>
      <c r="B697">
        <f>IFERROR(INDEX('planning dogs-n-tiger'!B$1:B$30,MATCH($H697,'planning dogs-n-tiger'!$G$1:$G$42,0)),0)</f>
        <v>41590</v>
      </c>
      <c r="C697">
        <f>IFERROR(INDEX('planning dogs-n-tiger'!C$1:C$30,MATCH($H697,'planning dogs-n-tiger'!$G$1:$G$42,0)),0)</f>
        <v>18382</v>
      </c>
      <c r="D697">
        <f>IFERROR(INDEX('planning dogs-n-tiger'!D$1:D$30,MATCH($H697,'planning dogs-n-tiger'!$G$1:$G$42,0)),0)</f>
        <v>9600</v>
      </c>
      <c r="E697">
        <f t="shared" si="100"/>
        <v>47</v>
      </c>
      <c r="F697">
        <f t="shared" si="101"/>
        <v>11</v>
      </c>
      <c r="G697">
        <f t="shared" si="102"/>
        <v>2022</v>
      </c>
      <c r="H697" t="str">
        <f t="shared" si="106"/>
        <v>112022</v>
      </c>
      <c r="I697">
        <f t="shared" si="107"/>
        <v>30</v>
      </c>
      <c r="J697">
        <f t="shared" si="103"/>
        <v>1386.3333333333333</v>
      </c>
      <c r="K697">
        <f t="shared" si="104"/>
        <v>612.73333333333335</v>
      </c>
      <c r="L697">
        <f t="shared" si="105"/>
        <v>320</v>
      </c>
      <c r="M697" t="str">
        <f t="shared" si="108"/>
        <v>472022</v>
      </c>
      <c r="N697" t="str">
        <f t="shared" si="109"/>
        <v>47-11-2022</v>
      </c>
    </row>
    <row r="698" spans="1:14" x14ac:dyDescent="0.2">
      <c r="A698" s="1">
        <v>44893</v>
      </c>
      <c r="B698">
        <f>IFERROR(INDEX('planning dogs-n-tiger'!B$1:B$30,MATCH($H698,'planning dogs-n-tiger'!$G$1:$G$42,0)),0)</f>
        <v>41590</v>
      </c>
      <c r="C698">
        <f>IFERROR(INDEX('planning dogs-n-tiger'!C$1:C$30,MATCH($H698,'planning dogs-n-tiger'!$G$1:$G$42,0)),0)</f>
        <v>18382</v>
      </c>
      <c r="D698">
        <f>IFERROR(INDEX('planning dogs-n-tiger'!D$1:D$30,MATCH($H698,'planning dogs-n-tiger'!$G$1:$G$42,0)),0)</f>
        <v>9600</v>
      </c>
      <c r="E698">
        <f t="shared" si="100"/>
        <v>48</v>
      </c>
      <c r="F698">
        <f t="shared" si="101"/>
        <v>11</v>
      </c>
      <c r="G698">
        <f t="shared" si="102"/>
        <v>2022</v>
      </c>
      <c r="H698" t="str">
        <f t="shared" si="106"/>
        <v>112022</v>
      </c>
      <c r="I698">
        <f t="shared" si="107"/>
        <v>30</v>
      </c>
      <c r="J698">
        <f t="shared" si="103"/>
        <v>1386.3333333333333</v>
      </c>
      <c r="K698">
        <f t="shared" si="104"/>
        <v>612.73333333333335</v>
      </c>
      <c r="L698">
        <f t="shared" si="105"/>
        <v>320</v>
      </c>
      <c r="M698" t="str">
        <f t="shared" si="108"/>
        <v>482022</v>
      </c>
      <c r="N698" t="str">
        <f t="shared" si="109"/>
        <v>48-11-2022</v>
      </c>
    </row>
    <row r="699" spans="1:14" x14ac:dyDescent="0.2">
      <c r="A699" s="1">
        <v>44894</v>
      </c>
      <c r="B699">
        <f>IFERROR(INDEX('planning dogs-n-tiger'!B$1:B$30,MATCH($H699,'planning dogs-n-tiger'!$G$1:$G$42,0)),0)</f>
        <v>41590</v>
      </c>
      <c r="C699">
        <f>IFERROR(INDEX('planning dogs-n-tiger'!C$1:C$30,MATCH($H699,'planning dogs-n-tiger'!$G$1:$G$42,0)),0)</f>
        <v>18382</v>
      </c>
      <c r="D699">
        <f>IFERROR(INDEX('planning dogs-n-tiger'!D$1:D$30,MATCH($H699,'planning dogs-n-tiger'!$G$1:$G$42,0)),0)</f>
        <v>9600</v>
      </c>
      <c r="E699">
        <f t="shared" si="100"/>
        <v>48</v>
      </c>
      <c r="F699">
        <f t="shared" si="101"/>
        <v>11</v>
      </c>
      <c r="G699">
        <f t="shared" si="102"/>
        <v>2022</v>
      </c>
      <c r="H699" t="str">
        <f t="shared" si="106"/>
        <v>112022</v>
      </c>
      <c r="I699">
        <f t="shared" si="107"/>
        <v>30</v>
      </c>
      <c r="J699">
        <f t="shared" si="103"/>
        <v>1386.3333333333333</v>
      </c>
      <c r="K699">
        <f t="shared" si="104"/>
        <v>612.73333333333335</v>
      </c>
      <c r="L699">
        <f t="shared" si="105"/>
        <v>320</v>
      </c>
      <c r="M699" t="str">
        <f t="shared" si="108"/>
        <v>482022</v>
      </c>
      <c r="N699" t="str">
        <f t="shared" si="109"/>
        <v>48-11-2022</v>
      </c>
    </row>
    <row r="700" spans="1:14" x14ac:dyDescent="0.2">
      <c r="A700" s="1">
        <v>44895</v>
      </c>
      <c r="B700">
        <f>IFERROR(INDEX('planning dogs-n-tiger'!B$1:B$30,MATCH($H700,'planning dogs-n-tiger'!$G$1:$G$42,0)),0)</f>
        <v>41590</v>
      </c>
      <c r="C700">
        <f>IFERROR(INDEX('planning dogs-n-tiger'!C$1:C$30,MATCH($H700,'planning dogs-n-tiger'!$G$1:$G$42,0)),0)</f>
        <v>18382</v>
      </c>
      <c r="D700">
        <f>IFERROR(INDEX('planning dogs-n-tiger'!D$1:D$30,MATCH($H700,'planning dogs-n-tiger'!$G$1:$G$42,0)),0)</f>
        <v>9600</v>
      </c>
      <c r="E700">
        <f t="shared" si="100"/>
        <v>48</v>
      </c>
      <c r="F700">
        <f t="shared" si="101"/>
        <v>11</v>
      </c>
      <c r="G700">
        <f t="shared" si="102"/>
        <v>2022</v>
      </c>
      <c r="H700" t="str">
        <f t="shared" si="106"/>
        <v>112022</v>
      </c>
      <c r="I700">
        <f t="shared" si="107"/>
        <v>30</v>
      </c>
      <c r="J700">
        <f t="shared" si="103"/>
        <v>1386.3333333333333</v>
      </c>
      <c r="K700">
        <f t="shared" si="104"/>
        <v>612.73333333333335</v>
      </c>
      <c r="L700">
        <f t="shared" si="105"/>
        <v>320</v>
      </c>
      <c r="M700" t="str">
        <f t="shared" si="108"/>
        <v>482022</v>
      </c>
      <c r="N700" t="str">
        <f t="shared" si="109"/>
        <v>48-11-2022</v>
      </c>
    </row>
    <row r="701" spans="1:14" x14ac:dyDescent="0.2">
      <c r="A701" s="1">
        <v>44896</v>
      </c>
      <c r="B701">
        <f>IFERROR(INDEX('planning dogs-n-tiger'!B$1:B$30,MATCH($H701,'planning dogs-n-tiger'!$G$1:$G$42,0)),0)</f>
        <v>45828.98</v>
      </c>
      <c r="C701">
        <f>IFERROR(INDEX('planning dogs-n-tiger'!C$1:C$30,MATCH($H701,'planning dogs-n-tiger'!$G$1:$G$42,0)),0)</f>
        <v>17640</v>
      </c>
      <c r="D701">
        <f>IFERROR(INDEX('planning dogs-n-tiger'!D$1:D$30,MATCH($H701,'planning dogs-n-tiger'!$G$1:$G$42,0)),0)</f>
        <v>10176</v>
      </c>
      <c r="E701">
        <f t="shared" si="100"/>
        <v>48</v>
      </c>
      <c r="F701">
        <f t="shared" si="101"/>
        <v>12</v>
      </c>
      <c r="G701">
        <f t="shared" si="102"/>
        <v>2022</v>
      </c>
      <c r="H701" t="str">
        <f t="shared" si="106"/>
        <v>122022</v>
      </c>
      <c r="I701">
        <f t="shared" si="107"/>
        <v>31</v>
      </c>
      <c r="J701">
        <f t="shared" si="103"/>
        <v>1478.3541935483872</v>
      </c>
      <c r="K701">
        <f t="shared" si="104"/>
        <v>569.0322580645161</v>
      </c>
      <c r="L701">
        <f t="shared" si="105"/>
        <v>328.25806451612902</v>
      </c>
      <c r="M701" t="str">
        <f t="shared" si="108"/>
        <v>482022</v>
      </c>
      <c r="N701" t="str">
        <f t="shared" si="109"/>
        <v>48-12-2022</v>
      </c>
    </row>
    <row r="702" spans="1:14" x14ac:dyDescent="0.2">
      <c r="A702" s="1">
        <v>44897</v>
      </c>
      <c r="B702">
        <f>IFERROR(INDEX('planning dogs-n-tiger'!B$1:B$30,MATCH($H702,'planning dogs-n-tiger'!$G$1:$G$42,0)),0)</f>
        <v>45828.98</v>
      </c>
      <c r="C702">
        <f>IFERROR(INDEX('planning dogs-n-tiger'!C$1:C$30,MATCH($H702,'planning dogs-n-tiger'!$G$1:$G$42,0)),0)</f>
        <v>17640</v>
      </c>
      <c r="D702">
        <f>IFERROR(INDEX('planning dogs-n-tiger'!D$1:D$30,MATCH($H702,'planning dogs-n-tiger'!$G$1:$G$42,0)),0)</f>
        <v>10176</v>
      </c>
      <c r="E702">
        <f t="shared" si="100"/>
        <v>48</v>
      </c>
      <c r="F702">
        <f t="shared" si="101"/>
        <v>12</v>
      </c>
      <c r="G702">
        <f t="shared" si="102"/>
        <v>2022</v>
      </c>
      <c r="H702" t="str">
        <f t="shared" si="106"/>
        <v>122022</v>
      </c>
      <c r="I702">
        <f t="shared" si="107"/>
        <v>31</v>
      </c>
      <c r="J702">
        <f t="shared" si="103"/>
        <v>1478.3541935483872</v>
      </c>
      <c r="K702">
        <f t="shared" si="104"/>
        <v>569.0322580645161</v>
      </c>
      <c r="L702">
        <f t="shared" si="105"/>
        <v>328.25806451612902</v>
      </c>
      <c r="M702" t="str">
        <f t="shared" si="108"/>
        <v>482022</v>
      </c>
      <c r="N702" t="str">
        <f t="shared" si="109"/>
        <v>48-12-2022</v>
      </c>
    </row>
    <row r="703" spans="1:14" x14ac:dyDescent="0.2">
      <c r="A703" s="1">
        <v>44898</v>
      </c>
      <c r="B703">
        <f>IFERROR(INDEX('planning dogs-n-tiger'!B$1:B$30,MATCH($H703,'planning dogs-n-tiger'!$G$1:$G$42,0)),0)</f>
        <v>45828.98</v>
      </c>
      <c r="C703">
        <f>IFERROR(INDEX('planning dogs-n-tiger'!C$1:C$30,MATCH($H703,'planning dogs-n-tiger'!$G$1:$G$42,0)),0)</f>
        <v>17640</v>
      </c>
      <c r="D703">
        <f>IFERROR(INDEX('planning dogs-n-tiger'!D$1:D$30,MATCH($H703,'planning dogs-n-tiger'!$G$1:$G$42,0)),0)</f>
        <v>10176</v>
      </c>
      <c r="E703">
        <f t="shared" si="100"/>
        <v>48</v>
      </c>
      <c r="F703">
        <f t="shared" si="101"/>
        <v>12</v>
      </c>
      <c r="G703">
        <f t="shared" si="102"/>
        <v>2022</v>
      </c>
      <c r="H703" t="str">
        <f t="shared" si="106"/>
        <v>122022</v>
      </c>
      <c r="I703">
        <f t="shared" si="107"/>
        <v>31</v>
      </c>
      <c r="J703">
        <f t="shared" si="103"/>
        <v>1478.3541935483872</v>
      </c>
      <c r="K703">
        <f t="shared" si="104"/>
        <v>569.0322580645161</v>
      </c>
      <c r="L703">
        <f t="shared" si="105"/>
        <v>328.25806451612902</v>
      </c>
      <c r="M703" t="str">
        <f t="shared" si="108"/>
        <v>482022</v>
      </c>
      <c r="N703" t="str">
        <f t="shared" si="109"/>
        <v>48-12-2022</v>
      </c>
    </row>
    <row r="704" spans="1:14" x14ac:dyDescent="0.2">
      <c r="A704" s="1">
        <v>44899</v>
      </c>
      <c r="B704">
        <f>IFERROR(INDEX('planning dogs-n-tiger'!B$1:B$30,MATCH($H704,'planning dogs-n-tiger'!$G$1:$G$42,0)),0)</f>
        <v>45828.98</v>
      </c>
      <c r="C704">
        <f>IFERROR(INDEX('planning dogs-n-tiger'!C$1:C$30,MATCH($H704,'planning dogs-n-tiger'!$G$1:$G$42,0)),0)</f>
        <v>17640</v>
      </c>
      <c r="D704">
        <f>IFERROR(INDEX('planning dogs-n-tiger'!D$1:D$30,MATCH($H704,'planning dogs-n-tiger'!$G$1:$G$42,0)),0)</f>
        <v>10176</v>
      </c>
      <c r="E704">
        <f t="shared" si="100"/>
        <v>48</v>
      </c>
      <c r="F704">
        <f t="shared" si="101"/>
        <v>12</v>
      </c>
      <c r="G704">
        <f t="shared" si="102"/>
        <v>2022</v>
      </c>
      <c r="H704" t="str">
        <f t="shared" si="106"/>
        <v>122022</v>
      </c>
      <c r="I704">
        <f t="shared" si="107"/>
        <v>31</v>
      </c>
      <c r="J704">
        <f t="shared" si="103"/>
        <v>1478.3541935483872</v>
      </c>
      <c r="K704">
        <f t="shared" si="104"/>
        <v>569.0322580645161</v>
      </c>
      <c r="L704">
        <f t="shared" si="105"/>
        <v>328.25806451612902</v>
      </c>
      <c r="M704" t="str">
        <f t="shared" si="108"/>
        <v>482022</v>
      </c>
      <c r="N704" t="str">
        <f t="shared" si="109"/>
        <v>48-12-2022</v>
      </c>
    </row>
    <row r="705" spans="1:14" x14ac:dyDescent="0.2">
      <c r="A705" s="1">
        <v>44900</v>
      </c>
      <c r="B705">
        <f>IFERROR(INDEX('planning dogs-n-tiger'!B$1:B$30,MATCH($H705,'planning dogs-n-tiger'!$G$1:$G$42,0)),0)</f>
        <v>45828.98</v>
      </c>
      <c r="C705">
        <f>IFERROR(INDEX('planning dogs-n-tiger'!C$1:C$30,MATCH($H705,'planning dogs-n-tiger'!$G$1:$G$42,0)),0)</f>
        <v>17640</v>
      </c>
      <c r="D705">
        <f>IFERROR(INDEX('planning dogs-n-tiger'!D$1:D$30,MATCH($H705,'planning dogs-n-tiger'!$G$1:$G$42,0)),0)</f>
        <v>10176</v>
      </c>
      <c r="E705">
        <f t="shared" si="100"/>
        <v>49</v>
      </c>
      <c r="F705">
        <f t="shared" si="101"/>
        <v>12</v>
      </c>
      <c r="G705">
        <f t="shared" si="102"/>
        <v>2022</v>
      </c>
      <c r="H705" t="str">
        <f t="shared" si="106"/>
        <v>122022</v>
      </c>
      <c r="I705">
        <f t="shared" si="107"/>
        <v>31</v>
      </c>
      <c r="J705">
        <f t="shared" si="103"/>
        <v>1478.3541935483872</v>
      </c>
      <c r="K705">
        <f t="shared" si="104"/>
        <v>569.0322580645161</v>
      </c>
      <c r="L705">
        <f t="shared" si="105"/>
        <v>328.25806451612902</v>
      </c>
      <c r="M705" t="str">
        <f t="shared" si="108"/>
        <v>492022</v>
      </c>
      <c r="N705" t="str">
        <f t="shared" si="109"/>
        <v>49-12-2022</v>
      </c>
    </row>
    <row r="706" spans="1:14" x14ac:dyDescent="0.2">
      <c r="A706" s="1">
        <v>44901</v>
      </c>
      <c r="B706">
        <f>IFERROR(INDEX('planning dogs-n-tiger'!B$1:B$30,MATCH($H706,'planning dogs-n-tiger'!$G$1:$G$42,0)),0)</f>
        <v>45828.98</v>
      </c>
      <c r="C706">
        <f>IFERROR(INDEX('planning dogs-n-tiger'!C$1:C$30,MATCH($H706,'planning dogs-n-tiger'!$G$1:$G$42,0)),0)</f>
        <v>17640</v>
      </c>
      <c r="D706">
        <f>IFERROR(INDEX('planning dogs-n-tiger'!D$1:D$30,MATCH($H706,'planning dogs-n-tiger'!$G$1:$G$42,0)),0)</f>
        <v>10176</v>
      </c>
      <c r="E706">
        <f t="shared" ref="E706:E769" si="110">_xlfn.ISOWEEKNUM(A706)</f>
        <v>49</v>
      </c>
      <c r="F706">
        <f t="shared" ref="F706:F769" si="111">MONTH(A706)</f>
        <v>12</v>
      </c>
      <c r="G706">
        <f t="shared" ref="G706:G769" si="112">YEAR(A706)</f>
        <v>2022</v>
      </c>
      <c r="H706" t="str">
        <f t="shared" si="106"/>
        <v>122022</v>
      </c>
      <c r="I706">
        <f t="shared" si="107"/>
        <v>31</v>
      </c>
      <c r="J706">
        <f t="shared" ref="J706:J769" si="113">B706/$I706</f>
        <v>1478.3541935483872</v>
      </c>
      <c r="K706">
        <f t="shared" ref="K706:K769" si="114">C706/$I706</f>
        <v>569.0322580645161</v>
      </c>
      <c r="L706">
        <f t="shared" ref="L706:L769" si="115">D706/$I706</f>
        <v>328.25806451612902</v>
      </c>
      <c r="M706" t="str">
        <f t="shared" si="108"/>
        <v>492022</v>
      </c>
      <c r="N706" t="str">
        <f t="shared" si="109"/>
        <v>49-12-2022</v>
      </c>
    </row>
    <row r="707" spans="1:14" x14ac:dyDescent="0.2">
      <c r="A707" s="1">
        <v>44902</v>
      </c>
      <c r="B707">
        <f>IFERROR(INDEX('planning dogs-n-tiger'!B$1:B$30,MATCH($H707,'planning dogs-n-tiger'!$G$1:$G$42,0)),0)</f>
        <v>45828.98</v>
      </c>
      <c r="C707">
        <f>IFERROR(INDEX('planning dogs-n-tiger'!C$1:C$30,MATCH($H707,'planning dogs-n-tiger'!$G$1:$G$42,0)),0)</f>
        <v>17640</v>
      </c>
      <c r="D707">
        <f>IFERROR(INDEX('planning dogs-n-tiger'!D$1:D$30,MATCH($H707,'planning dogs-n-tiger'!$G$1:$G$42,0)),0)</f>
        <v>10176</v>
      </c>
      <c r="E707">
        <f t="shared" si="110"/>
        <v>49</v>
      </c>
      <c r="F707">
        <f t="shared" si="111"/>
        <v>12</v>
      </c>
      <c r="G707">
        <f t="shared" si="112"/>
        <v>2022</v>
      </c>
      <c r="H707" t="str">
        <f t="shared" ref="H707:H770" si="116">F707&amp;G707</f>
        <v>122022</v>
      </c>
      <c r="I707">
        <f t="shared" ref="I707:I770" si="117">DAY(EOMONTH(DATE(G707,F707,0),1))</f>
        <v>31</v>
      </c>
      <c r="J707">
        <f t="shared" si="113"/>
        <v>1478.3541935483872</v>
      </c>
      <c r="K707">
        <f t="shared" si="114"/>
        <v>569.0322580645161</v>
      </c>
      <c r="L707">
        <f t="shared" si="115"/>
        <v>328.25806451612902</v>
      </c>
      <c r="M707" t="str">
        <f t="shared" ref="M707:M770" si="118">E707&amp;G707</f>
        <v>492022</v>
      </c>
      <c r="N707" t="str">
        <f t="shared" ref="N707:N770" si="119">E707&amp;"-"&amp;F707&amp;"-"&amp;G707</f>
        <v>49-12-2022</v>
      </c>
    </row>
    <row r="708" spans="1:14" x14ac:dyDescent="0.2">
      <c r="A708" s="1">
        <v>44903</v>
      </c>
      <c r="B708">
        <f>IFERROR(INDEX('planning dogs-n-tiger'!B$1:B$30,MATCH($H708,'planning dogs-n-tiger'!$G$1:$G$42,0)),0)</f>
        <v>45828.98</v>
      </c>
      <c r="C708">
        <f>IFERROR(INDEX('planning dogs-n-tiger'!C$1:C$30,MATCH($H708,'planning dogs-n-tiger'!$G$1:$G$42,0)),0)</f>
        <v>17640</v>
      </c>
      <c r="D708">
        <f>IFERROR(INDEX('planning dogs-n-tiger'!D$1:D$30,MATCH($H708,'planning dogs-n-tiger'!$G$1:$G$42,0)),0)</f>
        <v>10176</v>
      </c>
      <c r="E708">
        <f t="shared" si="110"/>
        <v>49</v>
      </c>
      <c r="F708">
        <f t="shared" si="111"/>
        <v>12</v>
      </c>
      <c r="G708">
        <f t="shared" si="112"/>
        <v>2022</v>
      </c>
      <c r="H708" t="str">
        <f t="shared" si="116"/>
        <v>122022</v>
      </c>
      <c r="I708">
        <f t="shared" si="117"/>
        <v>31</v>
      </c>
      <c r="J708">
        <f t="shared" si="113"/>
        <v>1478.3541935483872</v>
      </c>
      <c r="K708">
        <f t="shared" si="114"/>
        <v>569.0322580645161</v>
      </c>
      <c r="L708">
        <f t="shared" si="115"/>
        <v>328.25806451612902</v>
      </c>
      <c r="M708" t="str">
        <f t="shared" si="118"/>
        <v>492022</v>
      </c>
      <c r="N708" t="str">
        <f t="shared" si="119"/>
        <v>49-12-2022</v>
      </c>
    </row>
    <row r="709" spans="1:14" x14ac:dyDescent="0.2">
      <c r="A709" s="1">
        <v>44904</v>
      </c>
      <c r="B709">
        <f>IFERROR(INDEX('planning dogs-n-tiger'!B$1:B$30,MATCH($H709,'planning dogs-n-tiger'!$G$1:$G$42,0)),0)</f>
        <v>45828.98</v>
      </c>
      <c r="C709">
        <f>IFERROR(INDEX('planning dogs-n-tiger'!C$1:C$30,MATCH($H709,'planning dogs-n-tiger'!$G$1:$G$42,0)),0)</f>
        <v>17640</v>
      </c>
      <c r="D709">
        <f>IFERROR(INDEX('planning dogs-n-tiger'!D$1:D$30,MATCH($H709,'planning dogs-n-tiger'!$G$1:$G$42,0)),0)</f>
        <v>10176</v>
      </c>
      <c r="E709">
        <f t="shared" si="110"/>
        <v>49</v>
      </c>
      <c r="F709">
        <f t="shared" si="111"/>
        <v>12</v>
      </c>
      <c r="G709">
        <f t="shared" si="112"/>
        <v>2022</v>
      </c>
      <c r="H709" t="str">
        <f t="shared" si="116"/>
        <v>122022</v>
      </c>
      <c r="I709">
        <f t="shared" si="117"/>
        <v>31</v>
      </c>
      <c r="J709">
        <f t="shared" si="113"/>
        <v>1478.3541935483872</v>
      </c>
      <c r="K709">
        <f t="shared" si="114"/>
        <v>569.0322580645161</v>
      </c>
      <c r="L709">
        <f t="shared" si="115"/>
        <v>328.25806451612902</v>
      </c>
      <c r="M709" t="str">
        <f t="shared" si="118"/>
        <v>492022</v>
      </c>
      <c r="N709" t="str">
        <f t="shared" si="119"/>
        <v>49-12-2022</v>
      </c>
    </row>
    <row r="710" spans="1:14" x14ac:dyDescent="0.2">
      <c r="A710" s="1">
        <v>44905</v>
      </c>
      <c r="B710">
        <f>IFERROR(INDEX('planning dogs-n-tiger'!B$1:B$30,MATCH($H710,'planning dogs-n-tiger'!$G$1:$G$42,0)),0)</f>
        <v>45828.98</v>
      </c>
      <c r="C710">
        <f>IFERROR(INDEX('planning dogs-n-tiger'!C$1:C$30,MATCH($H710,'planning dogs-n-tiger'!$G$1:$G$42,0)),0)</f>
        <v>17640</v>
      </c>
      <c r="D710">
        <f>IFERROR(INDEX('planning dogs-n-tiger'!D$1:D$30,MATCH($H710,'planning dogs-n-tiger'!$G$1:$G$42,0)),0)</f>
        <v>10176</v>
      </c>
      <c r="E710">
        <f t="shared" si="110"/>
        <v>49</v>
      </c>
      <c r="F710">
        <f t="shared" si="111"/>
        <v>12</v>
      </c>
      <c r="G710">
        <f t="shared" si="112"/>
        <v>2022</v>
      </c>
      <c r="H710" t="str">
        <f t="shared" si="116"/>
        <v>122022</v>
      </c>
      <c r="I710">
        <f t="shared" si="117"/>
        <v>31</v>
      </c>
      <c r="J710">
        <f t="shared" si="113"/>
        <v>1478.3541935483872</v>
      </c>
      <c r="K710">
        <f t="shared" si="114"/>
        <v>569.0322580645161</v>
      </c>
      <c r="L710">
        <f t="shared" si="115"/>
        <v>328.25806451612902</v>
      </c>
      <c r="M710" t="str">
        <f t="shared" si="118"/>
        <v>492022</v>
      </c>
      <c r="N710" t="str">
        <f t="shared" si="119"/>
        <v>49-12-2022</v>
      </c>
    </row>
    <row r="711" spans="1:14" x14ac:dyDescent="0.2">
      <c r="A711" s="1">
        <v>44906</v>
      </c>
      <c r="B711">
        <f>IFERROR(INDEX('planning dogs-n-tiger'!B$1:B$30,MATCH($H711,'planning dogs-n-tiger'!$G$1:$G$42,0)),0)</f>
        <v>45828.98</v>
      </c>
      <c r="C711">
        <f>IFERROR(INDEX('planning dogs-n-tiger'!C$1:C$30,MATCH($H711,'planning dogs-n-tiger'!$G$1:$G$42,0)),0)</f>
        <v>17640</v>
      </c>
      <c r="D711">
        <f>IFERROR(INDEX('planning dogs-n-tiger'!D$1:D$30,MATCH($H711,'planning dogs-n-tiger'!$G$1:$G$42,0)),0)</f>
        <v>10176</v>
      </c>
      <c r="E711">
        <f t="shared" si="110"/>
        <v>49</v>
      </c>
      <c r="F711">
        <f t="shared" si="111"/>
        <v>12</v>
      </c>
      <c r="G711">
        <f t="shared" si="112"/>
        <v>2022</v>
      </c>
      <c r="H711" t="str">
        <f t="shared" si="116"/>
        <v>122022</v>
      </c>
      <c r="I711">
        <f t="shared" si="117"/>
        <v>31</v>
      </c>
      <c r="J711">
        <f t="shared" si="113"/>
        <v>1478.3541935483872</v>
      </c>
      <c r="K711">
        <f t="shared" si="114"/>
        <v>569.0322580645161</v>
      </c>
      <c r="L711">
        <f t="shared" si="115"/>
        <v>328.25806451612902</v>
      </c>
      <c r="M711" t="str">
        <f t="shared" si="118"/>
        <v>492022</v>
      </c>
      <c r="N711" t="str">
        <f t="shared" si="119"/>
        <v>49-12-2022</v>
      </c>
    </row>
    <row r="712" spans="1:14" x14ac:dyDescent="0.2">
      <c r="A712" s="1">
        <v>44907</v>
      </c>
      <c r="B712">
        <f>IFERROR(INDEX('planning dogs-n-tiger'!B$1:B$30,MATCH($H712,'planning dogs-n-tiger'!$G$1:$G$42,0)),0)</f>
        <v>45828.98</v>
      </c>
      <c r="C712">
        <f>IFERROR(INDEX('planning dogs-n-tiger'!C$1:C$30,MATCH($H712,'planning dogs-n-tiger'!$G$1:$G$42,0)),0)</f>
        <v>17640</v>
      </c>
      <c r="D712">
        <f>IFERROR(INDEX('planning dogs-n-tiger'!D$1:D$30,MATCH($H712,'planning dogs-n-tiger'!$G$1:$G$42,0)),0)</f>
        <v>10176</v>
      </c>
      <c r="E712">
        <f t="shared" si="110"/>
        <v>50</v>
      </c>
      <c r="F712">
        <f t="shared" si="111"/>
        <v>12</v>
      </c>
      <c r="G712">
        <f t="shared" si="112"/>
        <v>2022</v>
      </c>
      <c r="H712" t="str">
        <f t="shared" si="116"/>
        <v>122022</v>
      </c>
      <c r="I712">
        <f t="shared" si="117"/>
        <v>31</v>
      </c>
      <c r="J712">
        <f t="shared" si="113"/>
        <v>1478.3541935483872</v>
      </c>
      <c r="K712">
        <f t="shared" si="114"/>
        <v>569.0322580645161</v>
      </c>
      <c r="L712">
        <f t="shared" si="115"/>
        <v>328.25806451612902</v>
      </c>
      <c r="M712" t="str">
        <f t="shared" si="118"/>
        <v>502022</v>
      </c>
      <c r="N712" t="str">
        <f t="shared" si="119"/>
        <v>50-12-2022</v>
      </c>
    </row>
    <row r="713" spans="1:14" x14ac:dyDescent="0.2">
      <c r="A713" s="1">
        <v>44908</v>
      </c>
      <c r="B713">
        <f>IFERROR(INDEX('planning dogs-n-tiger'!B$1:B$30,MATCH($H713,'planning dogs-n-tiger'!$G$1:$G$42,0)),0)</f>
        <v>45828.98</v>
      </c>
      <c r="C713">
        <f>IFERROR(INDEX('planning dogs-n-tiger'!C$1:C$30,MATCH($H713,'planning dogs-n-tiger'!$G$1:$G$42,0)),0)</f>
        <v>17640</v>
      </c>
      <c r="D713">
        <f>IFERROR(INDEX('planning dogs-n-tiger'!D$1:D$30,MATCH($H713,'planning dogs-n-tiger'!$G$1:$G$42,0)),0)</f>
        <v>10176</v>
      </c>
      <c r="E713">
        <f t="shared" si="110"/>
        <v>50</v>
      </c>
      <c r="F713">
        <f t="shared" si="111"/>
        <v>12</v>
      </c>
      <c r="G713">
        <f t="shared" si="112"/>
        <v>2022</v>
      </c>
      <c r="H713" t="str">
        <f t="shared" si="116"/>
        <v>122022</v>
      </c>
      <c r="I713">
        <f t="shared" si="117"/>
        <v>31</v>
      </c>
      <c r="J713">
        <f t="shared" si="113"/>
        <v>1478.3541935483872</v>
      </c>
      <c r="K713">
        <f t="shared" si="114"/>
        <v>569.0322580645161</v>
      </c>
      <c r="L713">
        <f t="shared" si="115"/>
        <v>328.25806451612902</v>
      </c>
      <c r="M713" t="str">
        <f t="shared" si="118"/>
        <v>502022</v>
      </c>
      <c r="N713" t="str">
        <f t="shared" si="119"/>
        <v>50-12-2022</v>
      </c>
    </row>
    <row r="714" spans="1:14" x14ac:dyDescent="0.2">
      <c r="A714" s="1">
        <v>44909</v>
      </c>
      <c r="B714">
        <f>IFERROR(INDEX('planning dogs-n-tiger'!B$1:B$30,MATCH($H714,'planning dogs-n-tiger'!$G$1:$G$42,0)),0)</f>
        <v>45828.98</v>
      </c>
      <c r="C714">
        <f>IFERROR(INDEX('planning dogs-n-tiger'!C$1:C$30,MATCH($H714,'planning dogs-n-tiger'!$G$1:$G$42,0)),0)</f>
        <v>17640</v>
      </c>
      <c r="D714">
        <f>IFERROR(INDEX('planning dogs-n-tiger'!D$1:D$30,MATCH($H714,'planning dogs-n-tiger'!$G$1:$G$42,0)),0)</f>
        <v>10176</v>
      </c>
      <c r="E714">
        <f t="shared" si="110"/>
        <v>50</v>
      </c>
      <c r="F714">
        <f t="shared" si="111"/>
        <v>12</v>
      </c>
      <c r="G714">
        <f t="shared" si="112"/>
        <v>2022</v>
      </c>
      <c r="H714" t="str">
        <f t="shared" si="116"/>
        <v>122022</v>
      </c>
      <c r="I714">
        <f t="shared" si="117"/>
        <v>31</v>
      </c>
      <c r="J714">
        <f t="shared" si="113"/>
        <v>1478.3541935483872</v>
      </c>
      <c r="K714">
        <f t="shared" si="114"/>
        <v>569.0322580645161</v>
      </c>
      <c r="L714">
        <f t="shared" si="115"/>
        <v>328.25806451612902</v>
      </c>
      <c r="M714" t="str">
        <f t="shared" si="118"/>
        <v>502022</v>
      </c>
      <c r="N714" t="str">
        <f t="shared" si="119"/>
        <v>50-12-2022</v>
      </c>
    </row>
    <row r="715" spans="1:14" x14ac:dyDescent="0.2">
      <c r="A715" s="1">
        <v>44910</v>
      </c>
      <c r="B715">
        <f>IFERROR(INDEX('planning dogs-n-tiger'!B$1:B$30,MATCH($H715,'planning dogs-n-tiger'!$G$1:$G$42,0)),0)</f>
        <v>45828.98</v>
      </c>
      <c r="C715">
        <f>IFERROR(INDEX('planning dogs-n-tiger'!C$1:C$30,MATCH($H715,'planning dogs-n-tiger'!$G$1:$G$42,0)),0)</f>
        <v>17640</v>
      </c>
      <c r="D715">
        <f>IFERROR(INDEX('planning dogs-n-tiger'!D$1:D$30,MATCH($H715,'planning dogs-n-tiger'!$G$1:$G$42,0)),0)</f>
        <v>10176</v>
      </c>
      <c r="E715">
        <f t="shared" si="110"/>
        <v>50</v>
      </c>
      <c r="F715">
        <f t="shared" si="111"/>
        <v>12</v>
      </c>
      <c r="G715">
        <f t="shared" si="112"/>
        <v>2022</v>
      </c>
      <c r="H715" t="str">
        <f t="shared" si="116"/>
        <v>122022</v>
      </c>
      <c r="I715">
        <f t="shared" si="117"/>
        <v>31</v>
      </c>
      <c r="J715">
        <f t="shared" si="113"/>
        <v>1478.3541935483872</v>
      </c>
      <c r="K715">
        <f t="shared" si="114"/>
        <v>569.0322580645161</v>
      </c>
      <c r="L715">
        <f t="shared" si="115"/>
        <v>328.25806451612902</v>
      </c>
      <c r="M715" t="str">
        <f t="shared" si="118"/>
        <v>502022</v>
      </c>
      <c r="N715" t="str">
        <f t="shared" si="119"/>
        <v>50-12-2022</v>
      </c>
    </row>
    <row r="716" spans="1:14" x14ac:dyDescent="0.2">
      <c r="A716" s="1">
        <v>44911</v>
      </c>
      <c r="B716">
        <f>IFERROR(INDEX('planning dogs-n-tiger'!B$1:B$30,MATCH($H716,'planning dogs-n-tiger'!$G$1:$G$42,0)),0)</f>
        <v>45828.98</v>
      </c>
      <c r="C716">
        <f>IFERROR(INDEX('planning dogs-n-tiger'!C$1:C$30,MATCH($H716,'planning dogs-n-tiger'!$G$1:$G$42,0)),0)</f>
        <v>17640</v>
      </c>
      <c r="D716">
        <f>IFERROR(INDEX('planning dogs-n-tiger'!D$1:D$30,MATCH($H716,'planning dogs-n-tiger'!$G$1:$G$42,0)),0)</f>
        <v>10176</v>
      </c>
      <c r="E716">
        <f t="shared" si="110"/>
        <v>50</v>
      </c>
      <c r="F716">
        <f t="shared" si="111"/>
        <v>12</v>
      </c>
      <c r="G716">
        <f t="shared" si="112"/>
        <v>2022</v>
      </c>
      <c r="H716" t="str">
        <f t="shared" si="116"/>
        <v>122022</v>
      </c>
      <c r="I716">
        <f t="shared" si="117"/>
        <v>31</v>
      </c>
      <c r="J716">
        <f t="shared" si="113"/>
        <v>1478.3541935483872</v>
      </c>
      <c r="K716">
        <f t="shared" si="114"/>
        <v>569.0322580645161</v>
      </c>
      <c r="L716">
        <f t="shared" si="115"/>
        <v>328.25806451612902</v>
      </c>
      <c r="M716" t="str">
        <f t="shared" si="118"/>
        <v>502022</v>
      </c>
      <c r="N716" t="str">
        <f t="shared" si="119"/>
        <v>50-12-2022</v>
      </c>
    </row>
    <row r="717" spans="1:14" x14ac:dyDescent="0.2">
      <c r="A717" s="1">
        <v>44912</v>
      </c>
      <c r="B717">
        <f>IFERROR(INDEX('planning dogs-n-tiger'!B$1:B$30,MATCH($H717,'planning dogs-n-tiger'!$G$1:$G$42,0)),0)</f>
        <v>45828.98</v>
      </c>
      <c r="C717">
        <f>IFERROR(INDEX('planning dogs-n-tiger'!C$1:C$30,MATCH($H717,'planning dogs-n-tiger'!$G$1:$G$42,0)),0)</f>
        <v>17640</v>
      </c>
      <c r="D717">
        <f>IFERROR(INDEX('planning dogs-n-tiger'!D$1:D$30,MATCH($H717,'planning dogs-n-tiger'!$G$1:$G$42,0)),0)</f>
        <v>10176</v>
      </c>
      <c r="E717">
        <f t="shared" si="110"/>
        <v>50</v>
      </c>
      <c r="F717">
        <f t="shared" si="111"/>
        <v>12</v>
      </c>
      <c r="G717">
        <f t="shared" si="112"/>
        <v>2022</v>
      </c>
      <c r="H717" t="str">
        <f t="shared" si="116"/>
        <v>122022</v>
      </c>
      <c r="I717">
        <f t="shared" si="117"/>
        <v>31</v>
      </c>
      <c r="J717">
        <f t="shared" si="113"/>
        <v>1478.3541935483872</v>
      </c>
      <c r="K717">
        <f t="shared" si="114"/>
        <v>569.0322580645161</v>
      </c>
      <c r="L717">
        <f t="shared" si="115"/>
        <v>328.25806451612902</v>
      </c>
      <c r="M717" t="str">
        <f t="shared" si="118"/>
        <v>502022</v>
      </c>
      <c r="N717" t="str">
        <f t="shared" si="119"/>
        <v>50-12-2022</v>
      </c>
    </row>
    <row r="718" spans="1:14" x14ac:dyDescent="0.2">
      <c r="A718" s="1">
        <v>44913</v>
      </c>
      <c r="B718">
        <f>IFERROR(INDEX('planning dogs-n-tiger'!B$1:B$30,MATCH($H718,'planning dogs-n-tiger'!$G$1:$G$42,0)),0)</f>
        <v>45828.98</v>
      </c>
      <c r="C718">
        <f>IFERROR(INDEX('planning dogs-n-tiger'!C$1:C$30,MATCH($H718,'planning dogs-n-tiger'!$G$1:$G$42,0)),0)</f>
        <v>17640</v>
      </c>
      <c r="D718">
        <f>IFERROR(INDEX('planning dogs-n-tiger'!D$1:D$30,MATCH($H718,'planning dogs-n-tiger'!$G$1:$G$42,0)),0)</f>
        <v>10176</v>
      </c>
      <c r="E718">
        <f t="shared" si="110"/>
        <v>50</v>
      </c>
      <c r="F718">
        <f t="shared" si="111"/>
        <v>12</v>
      </c>
      <c r="G718">
        <f t="shared" si="112"/>
        <v>2022</v>
      </c>
      <c r="H718" t="str">
        <f t="shared" si="116"/>
        <v>122022</v>
      </c>
      <c r="I718">
        <f t="shared" si="117"/>
        <v>31</v>
      </c>
      <c r="J718">
        <f t="shared" si="113"/>
        <v>1478.3541935483872</v>
      </c>
      <c r="K718">
        <f t="shared" si="114"/>
        <v>569.0322580645161</v>
      </c>
      <c r="L718">
        <f t="shared" si="115"/>
        <v>328.25806451612902</v>
      </c>
      <c r="M718" t="str">
        <f t="shared" si="118"/>
        <v>502022</v>
      </c>
      <c r="N718" t="str">
        <f t="shared" si="119"/>
        <v>50-12-2022</v>
      </c>
    </row>
    <row r="719" spans="1:14" x14ac:dyDescent="0.2">
      <c r="A719" s="1">
        <v>44914</v>
      </c>
      <c r="B719">
        <f>IFERROR(INDEX('planning dogs-n-tiger'!B$1:B$30,MATCH($H719,'planning dogs-n-tiger'!$G$1:$G$42,0)),0)</f>
        <v>45828.98</v>
      </c>
      <c r="C719">
        <f>IFERROR(INDEX('planning dogs-n-tiger'!C$1:C$30,MATCH($H719,'planning dogs-n-tiger'!$G$1:$G$42,0)),0)</f>
        <v>17640</v>
      </c>
      <c r="D719">
        <f>IFERROR(INDEX('planning dogs-n-tiger'!D$1:D$30,MATCH($H719,'planning dogs-n-tiger'!$G$1:$G$42,0)),0)</f>
        <v>10176</v>
      </c>
      <c r="E719">
        <f t="shared" si="110"/>
        <v>51</v>
      </c>
      <c r="F719">
        <f t="shared" si="111"/>
        <v>12</v>
      </c>
      <c r="G719">
        <f t="shared" si="112"/>
        <v>2022</v>
      </c>
      <c r="H719" t="str">
        <f t="shared" si="116"/>
        <v>122022</v>
      </c>
      <c r="I719">
        <f t="shared" si="117"/>
        <v>31</v>
      </c>
      <c r="J719">
        <f t="shared" si="113"/>
        <v>1478.3541935483872</v>
      </c>
      <c r="K719">
        <f t="shared" si="114"/>
        <v>569.0322580645161</v>
      </c>
      <c r="L719">
        <f t="shared" si="115"/>
        <v>328.25806451612902</v>
      </c>
      <c r="M719" t="str">
        <f t="shared" si="118"/>
        <v>512022</v>
      </c>
      <c r="N719" t="str">
        <f t="shared" si="119"/>
        <v>51-12-2022</v>
      </c>
    </row>
    <row r="720" spans="1:14" x14ac:dyDescent="0.2">
      <c r="A720" s="1">
        <v>44915</v>
      </c>
      <c r="B720">
        <f>IFERROR(INDEX('planning dogs-n-tiger'!B$1:B$30,MATCH($H720,'planning dogs-n-tiger'!$G$1:$G$42,0)),0)</f>
        <v>45828.98</v>
      </c>
      <c r="C720">
        <f>IFERROR(INDEX('planning dogs-n-tiger'!C$1:C$30,MATCH($H720,'planning dogs-n-tiger'!$G$1:$G$42,0)),0)</f>
        <v>17640</v>
      </c>
      <c r="D720">
        <f>IFERROR(INDEX('planning dogs-n-tiger'!D$1:D$30,MATCH($H720,'planning dogs-n-tiger'!$G$1:$G$42,0)),0)</f>
        <v>10176</v>
      </c>
      <c r="E720">
        <f t="shared" si="110"/>
        <v>51</v>
      </c>
      <c r="F720">
        <f t="shared" si="111"/>
        <v>12</v>
      </c>
      <c r="G720">
        <f t="shared" si="112"/>
        <v>2022</v>
      </c>
      <c r="H720" t="str">
        <f t="shared" si="116"/>
        <v>122022</v>
      </c>
      <c r="I720">
        <f t="shared" si="117"/>
        <v>31</v>
      </c>
      <c r="J720">
        <f t="shared" si="113"/>
        <v>1478.3541935483872</v>
      </c>
      <c r="K720">
        <f t="shared" si="114"/>
        <v>569.0322580645161</v>
      </c>
      <c r="L720">
        <f t="shared" si="115"/>
        <v>328.25806451612902</v>
      </c>
      <c r="M720" t="str">
        <f t="shared" si="118"/>
        <v>512022</v>
      </c>
      <c r="N720" t="str">
        <f t="shared" si="119"/>
        <v>51-12-2022</v>
      </c>
    </row>
    <row r="721" spans="1:14" x14ac:dyDescent="0.2">
      <c r="A721" s="1">
        <v>44916</v>
      </c>
      <c r="B721">
        <f>IFERROR(INDEX('planning dogs-n-tiger'!B$1:B$30,MATCH($H721,'planning dogs-n-tiger'!$G$1:$G$42,0)),0)</f>
        <v>45828.98</v>
      </c>
      <c r="C721">
        <f>IFERROR(INDEX('planning dogs-n-tiger'!C$1:C$30,MATCH($H721,'planning dogs-n-tiger'!$G$1:$G$42,0)),0)</f>
        <v>17640</v>
      </c>
      <c r="D721">
        <f>IFERROR(INDEX('planning dogs-n-tiger'!D$1:D$30,MATCH($H721,'planning dogs-n-tiger'!$G$1:$G$42,0)),0)</f>
        <v>10176</v>
      </c>
      <c r="E721">
        <f t="shared" si="110"/>
        <v>51</v>
      </c>
      <c r="F721">
        <f t="shared" si="111"/>
        <v>12</v>
      </c>
      <c r="G721">
        <f t="shared" si="112"/>
        <v>2022</v>
      </c>
      <c r="H721" t="str">
        <f t="shared" si="116"/>
        <v>122022</v>
      </c>
      <c r="I721">
        <f t="shared" si="117"/>
        <v>31</v>
      </c>
      <c r="J721">
        <f t="shared" si="113"/>
        <v>1478.3541935483872</v>
      </c>
      <c r="K721">
        <f t="shared" si="114"/>
        <v>569.0322580645161</v>
      </c>
      <c r="L721">
        <f t="shared" si="115"/>
        <v>328.25806451612902</v>
      </c>
      <c r="M721" t="str">
        <f t="shared" si="118"/>
        <v>512022</v>
      </c>
      <c r="N721" t="str">
        <f t="shared" si="119"/>
        <v>51-12-2022</v>
      </c>
    </row>
    <row r="722" spans="1:14" x14ac:dyDescent="0.2">
      <c r="A722" s="1">
        <v>44917</v>
      </c>
      <c r="B722">
        <f>IFERROR(INDEX('planning dogs-n-tiger'!B$1:B$30,MATCH($H722,'planning dogs-n-tiger'!$G$1:$G$42,0)),0)</f>
        <v>45828.98</v>
      </c>
      <c r="C722">
        <f>IFERROR(INDEX('planning dogs-n-tiger'!C$1:C$30,MATCH($H722,'planning dogs-n-tiger'!$G$1:$G$42,0)),0)</f>
        <v>17640</v>
      </c>
      <c r="D722">
        <f>IFERROR(INDEX('planning dogs-n-tiger'!D$1:D$30,MATCH($H722,'planning dogs-n-tiger'!$G$1:$G$42,0)),0)</f>
        <v>10176</v>
      </c>
      <c r="E722">
        <f t="shared" si="110"/>
        <v>51</v>
      </c>
      <c r="F722">
        <f t="shared" si="111"/>
        <v>12</v>
      </c>
      <c r="G722">
        <f t="shared" si="112"/>
        <v>2022</v>
      </c>
      <c r="H722" t="str">
        <f t="shared" si="116"/>
        <v>122022</v>
      </c>
      <c r="I722">
        <f t="shared" si="117"/>
        <v>31</v>
      </c>
      <c r="J722">
        <f t="shared" si="113"/>
        <v>1478.3541935483872</v>
      </c>
      <c r="K722">
        <f t="shared" si="114"/>
        <v>569.0322580645161</v>
      </c>
      <c r="L722">
        <f t="shared" si="115"/>
        <v>328.25806451612902</v>
      </c>
      <c r="M722" t="str">
        <f t="shared" si="118"/>
        <v>512022</v>
      </c>
      <c r="N722" t="str">
        <f t="shared" si="119"/>
        <v>51-12-2022</v>
      </c>
    </row>
    <row r="723" spans="1:14" x14ac:dyDescent="0.2">
      <c r="A723" s="1">
        <v>44918</v>
      </c>
      <c r="B723">
        <f>IFERROR(INDEX('planning dogs-n-tiger'!B$1:B$30,MATCH($H723,'planning dogs-n-tiger'!$G$1:$G$42,0)),0)</f>
        <v>45828.98</v>
      </c>
      <c r="C723">
        <f>IFERROR(INDEX('planning dogs-n-tiger'!C$1:C$30,MATCH($H723,'planning dogs-n-tiger'!$G$1:$G$42,0)),0)</f>
        <v>17640</v>
      </c>
      <c r="D723">
        <f>IFERROR(INDEX('planning dogs-n-tiger'!D$1:D$30,MATCH($H723,'planning dogs-n-tiger'!$G$1:$G$42,0)),0)</f>
        <v>10176</v>
      </c>
      <c r="E723">
        <f t="shared" si="110"/>
        <v>51</v>
      </c>
      <c r="F723">
        <f t="shared" si="111"/>
        <v>12</v>
      </c>
      <c r="G723">
        <f t="shared" si="112"/>
        <v>2022</v>
      </c>
      <c r="H723" t="str">
        <f t="shared" si="116"/>
        <v>122022</v>
      </c>
      <c r="I723">
        <f t="shared" si="117"/>
        <v>31</v>
      </c>
      <c r="J723">
        <f t="shared" si="113"/>
        <v>1478.3541935483872</v>
      </c>
      <c r="K723">
        <f t="shared" si="114"/>
        <v>569.0322580645161</v>
      </c>
      <c r="L723">
        <f t="shared" si="115"/>
        <v>328.25806451612902</v>
      </c>
      <c r="M723" t="str">
        <f t="shared" si="118"/>
        <v>512022</v>
      </c>
      <c r="N723" t="str">
        <f t="shared" si="119"/>
        <v>51-12-2022</v>
      </c>
    </row>
    <row r="724" spans="1:14" x14ac:dyDescent="0.2">
      <c r="A724" s="1">
        <v>44919</v>
      </c>
      <c r="B724">
        <f>IFERROR(INDEX('planning dogs-n-tiger'!B$1:B$30,MATCH($H724,'planning dogs-n-tiger'!$G$1:$G$42,0)),0)</f>
        <v>45828.98</v>
      </c>
      <c r="C724">
        <f>IFERROR(INDEX('planning dogs-n-tiger'!C$1:C$30,MATCH($H724,'planning dogs-n-tiger'!$G$1:$G$42,0)),0)</f>
        <v>17640</v>
      </c>
      <c r="D724">
        <f>IFERROR(INDEX('planning dogs-n-tiger'!D$1:D$30,MATCH($H724,'planning dogs-n-tiger'!$G$1:$G$42,0)),0)</f>
        <v>10176</v>
      </c>
      <c r="E724">
        <f t="shared" si="110"/>
        <v>51</v>
      </c>
      <c r="F724">
        <f t="shared" si="111"/>
        <v>12</v>
      </c>
      <c r="G724">
        <f t="shared" si="112"/>
        <v>2022</v>
      </c>
      <c r="H724" t="str">
        <f t="shared" si="116"/>
        <v>122022</v>
      </c>
      <c r="I724">
        <f t="shared" si="117"/>
        <v>31</v>
      </c>
      <c r="J724">
        <f t="shared" si="113"/>
        <v>1478.3541935483872</v>
      </c>
      <c r="K724">
        <f t="shared" si="114"/>
        <v>569.0322580645161</v>
      </c>
      <c r="L724">
        <f t="shared" si="115"/>
        <v>328.25806451612902</v>
      </c>
      <c r="M724" t="str">
        <f t="shared" si="118"/>
        <v>512022</v>
      </c>
      <c r="N724" t="str">
        <f t="shared" si="119"/>
        <v>51-12-2022</v>
      </c>
    </row>
    <row r="725" spans="1:14" x14ac:dyDescent="0.2">
      <c r="A725" s="1">
        <v>44920</v>
      </c>
      <c r="B725">
        <f>IFERROR(INDEX('planning dogs-n-tiger'!B$1:B$30,MATCH($H725,'planning dogs-n-tiger'!$G$1:$G$42,0)),0)</f>
        <v>45828.98</v>
      </c>
      <c r="C725">
        <f>IFERROR(INDEX('planning dogs-n-tiger'!C$1:C$30,MATCH($H725,'planning dogs-n-tiger'!$G$1:$G$42,0)),0)</f>
        <v>17640</v>
      </c>
      <c r="D725">
        <f>IFERROR(INDEX('planning dogs-n-tiger'!D$1:D$30,MATCH($H725,'planning dogs-n-tiger'!$G$1:$G$42,0)),0)</f>
        <v>10176</v>
      </c>
      <c r="E725">
        <f t="shared" si="110"/>
        <v>51</v>
      </c>
      <c r="F725">
        <f t="shared" si="111"/>
        <v>12</v>
      </c>
      <c r="G725">
        <f t="shared" si="112"/>
        <v>2022</v>
      </c>
      <c r="H725" t="str">
        <f t="shared" si="116"/>
        <v>122022</v>
      </c>
      <c r="I725">
        <f t="shared" si="117"/>
        <v>31</v>
      </c>
      <c r="J725">
        <f t="shared" si="113"/>
        <v>1478.3541935483872</v>
      </c>
      <c r="K725">
        <f t="shared" si="114"/>
        <v>569.0322580645161</v>
      </c>
      <c r="L725">
        <f t="shared" si="115"/>
        <v>328.25806451612902</v>
      </c>
      <c r="M725" t="str">
        <f t="shared" si="118"/>
        <v>512022</v>
      </c>
      <c r="N725" t="str">
        <f t="shared" si="119"/>
        <v>51-12-2022</v>
      </c>
    </row>
    <row r="726" spans="1:14" x14ac:dyDescent="0.2">
      <c r="A726" s="1">
        <v>44921</v>
      </c>
      <c r="B726">
        <f>IFERROR(INDEX('planning dogs-n-tiger'!B$1:B$30,MATCH($H726,'planning dogs-n-tiger'!$G$1:$G$42,0)),0)</f>
        <v>45828.98</v>
      </c>
      <c r="C726">
        <f>IFERROR(INDEX('planning dogs-n-tiger'!C$1:C$30,MATCH($H726,'planning dogs-n-tiger'!$G$1:$G$42,0)),0)</f>
        <v>17640</v>
      </c>
      <c r="D726">
        <f>IFERROR(INDEX('planning dogs-n-tiger'!D$1:D$30,MATCH($H726,'planning dogs-n-tiger'!$G$1:$G$42,0)),0)</f>
        <v>10176</v>
      </c>
      <c r="E726">
        <f t="shared" si="110"/>
        <v>52</v>
      </c>
      <c r="F726">
        <f t="shared" si="111"/>
        <v>12</v>
      </c>
      <c r="G726">
        <f t="shared" si="112"/>
        <v>2022</v>
      </c>
      <c r="H726" t="str">
        <f t="shared" si="116"/>
        <v>122022</v>
      </c>
      <c r="I726">
        <f t="shared" si="117"/>
        <v>31</v>
      </c>
      <c r="J726">
        <f t="shared" si="113"/>
        <v>1478.3541935483872</v>
      </c>
      <c r="K726">
        <f t="shared" si="114"/>
        <v>569.0322580645161</v>
      </c>
      <c r="L726">
        <f t="shared" si="115"/>
        <v>328.25806451612902</v>
      </c>
      <c r="M726" t="str">
        <f t="shared" si="118"/>
        <v>522022</v>
      </c>
      <c r="N726" t="str">
        <f t="shared" si="119"/>
        <v>52-12-2022</v>
      </c>
    </row>
    <row r="727" spans="1:14" x14ac:dyDescent="0.2">
      <c r="A727" s="1">
        <v>44922</v>
      </c>
      <c r="B727">
        <f>IFERROR(INDEX('planning dogs-n-tiger'!B$1:B$30,MATCH($H727,'planning dogs-n-tiger'!$G$1:$G$42,0)),0)</f>
        <v>45828.98</v>
      </c>
      <c r="C727">
        <f>IFERROR(INDEX('planning dogs-n-tiger'!C$1:C$30,MATCH($H727,'planning dogs-n-tiger'!$G$1:$G$42,0)),0)</f>
        <v>17640</v>
      </c>
      <c r="D727">
        <f>IFERROR(INDEX('planning dogs-n-tiger'!D$1:D$30,MATCH($H727,'planning dogs-n-tiger'!$G$1:$G$42,0)),0)</f>
        <v>10176</v>
      </c>
      <c r="E727">
        <f t="shared" si="110"/>
        <v>52</v>
      </c>
      <c r="F727">
        <f t="shared" si="111"/>
        <v>12</v>
      </c>
      <c r="G727">
        <f t="shared" si="112"/>
        <v>2022</v>
      </c>
      <c r="H727" t="str">
        <f t="shared" si="116"/>
        <v>122022</v>
      </c>
      <c r="I727">
        <f t="shared" si="117"/>
        <v>31</v>
      </c>
      <c r="J727">
        <f t="shared" si="113"/>
        <v>1478.3541935483872</v>
      </c>
      <c r="K727">
        <f t="shared" si="114"/>
        <v>569.0322580645161</v>
      </c>
      <c r="L727">
        <f t="shared" si="115"/>
        <v>328.25806451612902</v>
      </c>
      <c r="M727" t="str">
        <f t="shared" si="118"/>
        <v>522022</v>
      </c>
      <c r="N727" t="str">
        <f t="shared" si="119"/>
        <v>52-12-2022</v>
      </c>
    </row>
    <row r="728" spans="1:14" x14ac:dyDescent="0.2">
      <c r="A728" s="1">
        <v>44923</v>
      </c>
      <c r="B728">
        <f>IFERROR(INDEX('planning dogs-n-tiger'!B$1:B$30,MATCH($H728,'planning dogs-n-tiger'!$G$1:$G$42,0)),0)</f>
        <v>45828.98</v>
      </c>
      <c r="C728">
        <f>IFERROR(INDEX('planning dogs-n-tiger'!C$1:C$30,MATCH($H728,'planning dogs-n-tiger'!$G$1:$G$42,0)),0)</f>
        <v>17640</v>
      </c>
      <c r="D728">
        <f>IFERROR(INDEX('planning dogs-n-tiger'!D$1:D$30,MATCH($H728,'planning dogs-n-tiger'!$G$1:$G$42,0)),0)</f>
        <v>10176</v>
      </c>
      <c r="E728">
        <f t="shared" si="110"/>
        <v>52</v>
      </c>
      <c r="F728">
        <f t="shared" si="111"/>
        <v>12</v>
      </c>
      <c r="G728">
        <f t="shared" si="112"/>
        <v>2022</v>
      </c>
      <c r="H728" t="str">
        <f t="shared" si="116"/>
        <v>122022</v>
      </c>
      <c r="I728">
        <f t="shared" si="117"/>
        <v>31</v>
      </c>
      <c r="J728">
        <f t="shared" si="113"/>
        <v>1478.3541935483872</v>
      </c>
      <c r="K728">
        <f t="shared" si="114"/>
        <v>569.0322580645161</v>
      </c>
      <c r="L728">
        <f t="shared" si="115"/>
        <v>328.25806451612902</v>
      </c>
      <c r="M728" t="str">
        <f t="shared" si="118"/>
        <v>522022</v>
      </c>
      <c r="N728" t="str">
        <f t="shared" si="119"/>
        <v>52-12-2022</v>
      </c>
    </row>
    <row r="729" spans="1:14" x14ac:dyDescent="0.2">
      <c r="A729" s="1">
        <v>44924</v>
      </c>
      <c r="B729">
        <f>IFERROR(INDEX('planning dogs-n-tiger'!B$1:B$30,MATCH($H729,'planning dogs-n-tiger'!$G$1:$G$42,0)),0)</f>
        <v>45828.98</v>
      </c>
      <c r="C729">
        <f>IFERROR(INDEX('planning dogs-n-tiger'!C$1:C$30,MATCH($H729,'planning dogs-n-tiger'!$G$1:$G$42,0)),0)</f>
        <v>17640</v>
      </c>
      <c r="D729">
        <f>IFERROR(INDEX('planning dogs-n-tiger'!D$1:D$30,MATCH($H729,'planning dogs-n-tiger'!$G$1:$G$42,0)),0)</f>
        <v>10176</v>
      </c>
      <c r="E729">
        <f t="shared" si="110"/>
        <v>52</v>
      </c>
      <c r="F729">
        <f t="shared" si="111"/>
        <v>12</v>
      </c>
      <c r="G729">
        <f t="shared" si="112"/>
        <v>2022</v>
      </c>
      <c r="H729" t="str">
        <f t="shared" si="116"/>
        <v>122022</v>
      </c>
      <c r="I729">
        <f t="shared" si="117"/>
        <v>31</v>
      </c>
      <c r="J729">
        <f t="shared" si="113"/>
        <v>1478.3541935483872</v>
      </c>
      <c r="K729">
        <f t="shared" si="114"/>
        <v>569.0322580645161</v>
      </c>
      <c r="L729">
        <f t="shared" si="115"/>
        <v>328.25806451612902</v>
      </c>
      <c r="M729" t="str">
        <f t="shared" si="118"/>
        <v>522022</v>
      </c>
      <c r="N729" t="str">
        <f t="shared" si="119"/>
        <v>52-12-2022</v>
      </c>
    </row>
    <row r="730" spans="1:14" x14ac:dyDescent="0.2">
      <c r="A730" s="1">
        <v>44925</v>
      </c>
      <c r="B730">
        <f>IFERROR(INDEX('planning dogs-n-tiger'!B$1:B$30,MATCH($H730,'planning dogs-n-tiger'!$G$1:$G$42,0)),0)</f>
        <v>45828.98</v>
      </c>
      <c r="C730">
        <f>IFERROR(INDEX('planning dogs-n-tiger'!C$1:C$30,MATCH($H730,'planning dogs-n-tiger'!$G$1:$G$42,0)),0)</f>
        <v>17640</v>
      </c>
      <c r="D730">
        <f>IFERROR(INDEX('planning dogs-n-tiger'!D$1:D$30,MATCH($H730,'planning dogs-n-tiger'!$G$1:$G$42,0)),0)</f>
        <v>10176</v>
      </c>
      <c r="E730">
        <f t="shared" si="110"/>
        <v>52</v>
      </c>
      <c r="F730">
        <f t="shared" si="111"/>
        <v>12</v>
      </c>
      <c r="G730">
        <f t="shared" si="112"/>
        <v>2022</v>
      </c>
      <c r="H730" t="str">
        <f t="shared" si="116"/>
        <v>122022</v>
      </c>
      <c r="I730">
        <f t="shared" si="117"/>
        <v>31</v>
      </c>
      <c r="J730">
        <f t="shared" si="113"/>
        <v>1478.3541935483872</v>
      </c>
      <c r="K730">
        <f t="shared" si="114"/>
        <v>569.0322580645161</v>
      </c>
      <c r="L730">
        <f t="shared" si="115"/>
        <v>328.25806451612902</v>
      </c>
      <c r="M730" t="str">
        <f t="shared" si="118"/>
        <v>522022</v>
      </c>
      <c r="N730" t="str">
        <f t="shared" si="119"/>
        <v>52-12-2022</v>
      </c>
    </row>
    <row r="731" spans="1:14" x14ac:dyDescent="0.2">
      <c r="A731" s="1">
        <v>44926</v>
      </c>
      <c r="B731">
        <f>IFERROR(INDEX('planning dogs-n-tiger'!B$1:B$30,MATCH($H731,'planning dogs-n-tiger'!$G$1:$G$42,0)),0)</f>
        <v>45828.98</v>
      </c>
      <c r="C731">
        <f>IFERROR(INDEX('planning dogs-n-tiger'!C$1:C$30,MATCH($H731,'planning dogs-n-tiger'!$G$1:$G$42,0)),0)</f>
        <v>17640</v>
      </c>
      <c r="D731">
        <f>IFERROR(INDEX('planning dogs-n-tiger'!D$1:D$30,MATCH($H731,'planning dogs-n-tiger'!$G$1:$G$42,0)),0)</f>
        <v>10176</v>
      </c>
      <c r="E731">
        <f t="shared" si="110"/>
        <v>52</v>
      </c>
      <c r="F731">
        <f t="shared" si="111"/>
        <v>12</v>
      </c>
      <c r="G731">
        <f t="shared" si="112"/>
        <v>2022</v>
      </c>
      <c r="H731" t="str">
        <f t="shared" si="116"/>
        <v>122022</v>
      </c>
      <c r="I731">
        <f t="shared" si="117"/>
        <v>31</v>
      </c>
      <c r="J731">
        <f t="shared" si="113"/>
        <v>1478.3541935483872</v>
      </c>
      <c r="K731">
        <f t="shared" si="114"/>
        <v>569.0322580645161</v>
      </c>
      <c r="L731">
        <f t="shared" si="115"/>
        <v>328.25806451612902</v>
      </c>
      <c r="M731" t="str">
        <f t="shared" si="118"/>
        <v>522022</v>
      </c>
      <c r="N731" t="str">
        <f t="shared" si="119"/>
        <v>52-12-2022</v>
      </c>
    </row>
    <row r="732" spans="1:14" x14ac:dyDescent="0.2">
      <c r="A732" s="1">
        <v>44927</v>
      </c>
      <c r="B732">
        <f>IFERROR(INDEX('planning dogs-n-tiger'!B$1:B$30,MATCH($H732,'planning dogs-n-tiger'!$G$1:$G$42,0)),0)</f>
        <v>53298.52</v>
      </c>
      <c r="C732">
        <f>IFERROR(INDEX('planning dogs-n-tiger'!C$1:C$30,MATCH($H732,'planning dogs-n-tiger'!$G$1:$G$42,0)),0)</f>
        <v>24795.26</v>
      </c>
      <c r="D732">
        <f>IFERROR(INDEX('planning dogs-n-tiger'!D$1:D$30,MATCH($H732,'planning dogs-n-tiger'!$G$1:$G$42,0)),0)</f>
        <v>29466</v>
      </c>
      <c r="E732">
        <f t="shared" si="110"/>
        <v>52</v>
      </c>
      <c r="F732">
        <f t="shared" si="111"/>
        <v>1</v>
      </c>
      <c r="G732">
        <f t="shared" si="112"/>
        <v>2023</v>
      </c>
      <c r="H732" t="str">
        <f t="shared" si="116"/>
        <v>12023</v>
      </c>
      <c r="I732">
        <f t="shared" si="117"/>
        <v>31</v>
      </c>
      <c r="J732">
        <f t="shared" si="113"/>
        <v>1719.3070967741935</v>
      </c>
      <c r="K732">
        <f t="shared" si="114"/>
        <v>799.84709677419346</v>
      </c>
      <c r="L732">
        <f t="shared" si="115"/>
        <v>950.51612903225805</v>
      </c>
      <c r="M732" t="str">
        <f t="shared" si="118"/>
        <v>522023</v>
      </c>
      <c r="N732" t="str">
        <f t="shared" si="119"/>
        <v>52-1-2023</v>
      </c>
    </row>
    <row r="733" spans="1:14" x14ac:dyDescent="0.2">
      <c r="A733" s="1">
        <v>44928</v>
      </c>
      <c r="B733">
        <f>IFERROR(INDEX('planning dogs-n-tiger'!B$1:B$30,MATCH($H733,'planning dogs-n-tiger'!$G$1:$G$42,0)),0)</f>
        <v>53298.52</v>
      </c>
      <c r="C733">
        <f>IFERROR(INDEX('planning dogs-n-tiger'!C$1:C$30,MATCH($H733,'planning dogs-n-tiger'!$G$1:$G$42,0)),0)</f>
        <v>24795.26</v>
      </c>
      <c r="D733">
        <f>IFERROR(INDEX('planning dogs-n-tiger'!D$1:D$30,MATCH($H733,'planning dogs-n-tiger'!$G$1:$G$42,0)),0)</f>
        <v>29466</v>
      </c>
      <c r="E733">
        <f t="shared" si="110"/>
        <v>1</v>
      </c>
      <c r="F733">
        <f t="shared" si="111"/>
        <v>1</v>
      </c>
      <c r="G733">
        <f t="shared" si="112"/>
        <v>2023</v>
      </c>
      <c r="H733" t="str">
        <f t="shared" si="116"/>
        <v>12023</v>
      </c>
      <c r="I733">
        <f t="shared" si="117"/>
        <v>31</v>
      </c>
      <c r="J733">
        <f t="shared" si="113"/>
        <v>1719.3070967741935</v>
      </c>
      <c r="K733">
        <f t="shared" si="114"/>
        <v>799.84709677419346</v>
      </c>
      <c r="L733">
        <f t="shared" si="115"/>
        <v>950.51612903225805</v>
      </c>
      <c r="M733" t="str">
        <f t="shared" si="118"/>
        <v>12023</v>
      </c>
      <c r="N733" t="str">
        <f t="shared" si="119"/>
        <v>1-1-2023</v>
      </c>
    </row>
    <row r="734" spans="1:14" x14ac:dyDescent="0.2">
      <c r="A734" s="1">
        <v>44929</v>
      </c>
      <c r="B734">
        <f>IFERROR(INDEX('planning dogs-n-tiger'!B$1:B$30,MATCH($H734,'planning dogs-n-tiger'!$G$1:$G$42,0)),0)</f>
        <v>53298.52</v>
      </c>
      <c r="C734">
        <f>IFERROR(INDEX('planning dogs-n-tiger'!C$1:C$30,MATCH($H734,'planning dogs-n-tiger'!$G$1:$G$42,0)),0)</f>
        <v>24795.26</v>
      </c>
      <c r="D734">
        <f>IFERROR(INDEX('planning dogs-n-tiger'!D$1:D$30,MATCH($H734,'planning dogs-n-tiger'!$G$1:$G$42,0)),0)</f>
        <v>29466</v>
      </c>
      <c r="E734">
        <f t="shared" si="110"/>
        <v>1</v>
      </c>
      <c r="F734">
        <f t="shared" si="111"/>
        <v>1</v>
      </c>
      <c r="G734">
        <f t="shared" si="112"/>
        <v>2023</v>
      </c>
      <c r="H734" t="str">
        <f t="shared" si="116"/>
        <v>12023</v>
      </c>
      <c r="I734">
        <f t="shared" si="117"/>
        <v>31</v>
      </c>
      <c r="J734">
        <f t="shared" si="113"/>
        <v>1719.3070967741935</v>
      </c>
      <c r="K734">
        <f t="shared" si="114"/>
        <v>799.84709677419346</v>
      </c>
      <c r="L734">
        <f t="shared" si="115"/>
        <v>950.51612903225805</v>
      </c>
      <c r="M734" t="str">
        <f t="shared" si="118"/>
        <v>12023</v>
      </c>
      <c r="N734" t="str">
        <f t="shared" si="119"/>
        <v>1-1-2023</v>
      </c>
    </row>
    <row r="735" spans="1:14" x14ac:dyDescent="0.2">
      <c r="A735" s="1">
        <v>44930</v>
      </c>
      <c r="B735">
        <f>IFERROR(INDEX('planning dogs-n-tiger'!B$1:B$30,MATCH($H735,'planning dogs-n-tiger'!$G$1:$G$42,0)),0)</f>
        <v>53298.52</v>
      </c>
      <c r="C735">
        <f>IFERROR(INDEX('planning dogs-n-tiger'!C$1:C$30,MATCH($H735,'planning dogs-n-tiger'!$G$1:$G$42,0)),0)</f>
        <v>24795.26</v>
      </c>
      <c r="D735">
        <f>IFERROR(INDEX('planning dogs-n-tiger'!D$1:D$30,MATCH($H735,'planning dogs-n-tiger'!$G$1:$G$42,0)),0)</f>
        <v>29466</v>
      </c>
      <c r="E735">
        <f t="shared" si="110"/>
        <v>1</v>
      </c>
      <c r="F735">
        <f t="shared" si="111"/>
        <v>1</v>
      </c>
      <c r="G735">
        <f t="shared" si="112"/>
        <v>2023</v>
      </c>
      <c r="H735" t="str">
        <f t="shared" si="116"/>
        <v>12023</v>
      </c>
      <c r="I735">
        <f t="shared" si="117"/>
        <v>31</v>
      </c>
      <c r="J735">
        <f t="shared" si="113"/>
        <v>1719.3070967741935</v>
      </c>
      <c r="K735">
        <f t="shared" si="114"/>
        <v>799.84709677419346</v>
      </c>
      <c r="L735">
        <f t="shared" si="115"/>
        <v>950.51612903225805</v>
      </c>
      <c r="M735" t="str">
        <f t="shared" si="118"/>
        <v>12023</v>
      </c>
      <c r="N735" t="str">
        <f t="shared" si="119"/>
        <v>1-1-2023</v>
      </c>
    </row>
    <row r="736" spans="1:14" x14ac:dyDescent="0.2">
      <c r="A736" s="1">
        <v>44931</v>
      </c>
      <c r="B736">
        <f>IFERROR(INDEX('planning dogs-n-tiger'!B$1:B$30,MATCH($H736,'planning dogs-n-tiger'!$G$1:$G$42,0)),0)</f>
        <v>53298.52</v>
      </c>
      <c r="C736">
        <f>IFERROR(INDEX('planning dogs-n-tiger'!C$1:C$30,MATCH($H736,'planning dogs-n-tiger'!$G$1:$G$42,0)),0)</f>
        <v>24795.26</v>
      </c>
      <c r="D736">
        <f>IFERROR(INDEX('planning dogs-n-tiger'!D$1:D$30,MATCH($H736,'planning dogs-n-tiger'!$G$1:$G$42,0)),0)</f>
        <v>29466</v>
      </c>
      <c r="E736">
        <f t="shared" si="110"/>
        <v>1</v>
      </c>
      <c r="F736">
        <f t="shared" si="111"/>
        <v>1</v>
      </c>
      <c r="G736">
        <f t="shared" si="112"/>
        <v>2023</v>
      </c>
      <c r="H736" t="str">
        <f t="shared" si="116"/>
        <v>12023</v>
      </c>
      <c r="I736">
        <f t="shared" si="117"/>
        <v>31</v>
      </c>
      <c r="J736">
        <f t="shared" si="113"/>
        <v>1719.3070967741935</v>
      </c>
      <c r="K736">
        <f t="shared" si="114"/>
        <v>799.84709677419346</v>
      </c>
      <c r="L736">
        <f t="shared" si="115"/>
        <v>950.51612903225805</v>
      </c>
      <c r="M736" t="str">
        <f t="shared" si="118"/>
        <v>12023</v>
      </c>
      <c r="N736" t="str">
        <f t="shared" si="119"/>
        <v>1-1-2023</v>
      </c>
    </row>
    <row r="737" spans="1:14" x14ac:dyDescent="0.2">
      <c r="A737" s="1">
        <v>44932</v>
      </c>
      <c r="B737">
        <f>IFERROR(INDEX('planning dogs-n-tiger'!B$1:B$30,MATCH($H737,'planning dogs-n-tiger'!$G$1:$G$42,0)),0)</f>
        <v>53298.52</v>
      </c>
      <c r="C737">
        <f>IFERROR(INDEX('planning dogs-n-tiger'!C$1:C$30,MATCH($H737,'planning dogs-n-tiger'!$G$1:$G$42,0)),0)</f>
        <v>24795.26</v>
      </c>
      <c r="D737">
        <f>IFERROR(INDEX('planning dogs-n-tiger'!D$1:D$30,MATCH($H737,'planning dogs-n-tiger'!$G$1:$G$42,0)),0)</f>
        <v>29466</v>
      </c>
      <c r="E737">
        <f t="shared" si="110"/>
        <v>1</v>
      </c>
      <c r="F737">
        <f t="shared" si="111"/>
        <v>1</v>
      </c>
      <c r="G737">
        <f t="shared" si="112"/>
        <v>2023</v>
      </c>
      <c r="H737" t="str">
        <f t="shared" si="116"/>
        <v>12023</v>
      </c>
      <c r="I737">
        <f t="shared" si="117"/>
        <v>31</v>
      </c>
      <c r="J737">
        <f t="shared" si="113"/>
        <v>1719.3070967741935</v>
      </c>
      <c r="K737">
        <f t="shared" si="114"/>
        <v>799.84709677419346</v>
      </c>
      <c r="L737">
        <f t="shared" si="115"/>
        <v>950.51612903225805</v>
      </c>
      <c r="M737" t="str">
        <f t="shared" si="118"/>
        <v>12023</v>
      </c>
      <c r="N737" t="str">
        <f t="shared" si="119"/>
        <v>1-1-2023</v>
      </c>
    </row>
    <row r="738" spans="1:14" x14ac:dyDescent="0.2">
      <c r="A738" s="1">
        <v>44933</v>
      </c>
      <c r="B738">
        <f>IFERROR(INDEX('planning dogs-n-tiger'!B$1:B$30,MATCH($H738,'planning dogs-n-tiger'!$G$1:$G$42,0)),0)</f>
        <v>53298.52</v>
      </c>
      <c r="C738">
        <f>IFERROR(INDEX('planning dogs-n-tiger'!C$1:C$30,MATCH($H738,'planning dogs-n-tiger'!$G$1:$G$42,0)),0)</f>
        <v>24795.26</v>
      </c>
      <c r="D738">
        <f>IFERROR(INDEX('planning dogs-n-tiger'!D$1:D$30,MATCH($H738,'planning dogs-n-tiger'!$G$1:$G$42,0)),0)</f>
        <v>29466</v>
      </c>
      <c r="E738">
        <f t="shared" si="110"/>
        <v>1</v>
      </c>
      <c r="F738">
        <f t="shared" si="111"/>
        <v>1</v>
      </c>
      <c r="G738">
        <f t="shared" si="112"/>
        <v>2023</v>
      </c>
      <c r="H738" t="str">
        <f t="shared" si="116"/>
        <v>12023</v>
      </c>
      <c r="I738">
        <f t="shared" si="117"/>
        <v>31</v>
      </c>
      <c r="J738">
        <f t="shared" si="113"/>
        <v>1719.3070967741935</v>
      </c>
      <c r="K738">
        <f t="shared" si="114"/>
        <v>799.84709677419346</v>
      </c>
      <c r="L738">
        <f t="shared" si="115"/>
        <v>950.51612903225805</v>
      </c>
      <c r="M738" t="str">
        <f t="shared" si="118"/>
        <v>12023</v>
      </c>
      <c r="N738" t="str">
        <f t="shared" si="119"/>
        <v>1-1-2023</v>
      </c>
    </row>
    <row r="739" spans="1:14" x14ac:dyDescent="0.2">
      <c r="A739" s="1">
        <v>44934</v>
      </c>
      <c r="B739">
        <f>IFERROR(INDEX('planning dogs-n-tiger'!B$1:B$30,MATCH($H739,'planning dogs-n-tiger'!$G$1:$G$42,0)),0)</f>
        <v>53298.52</v>
      </c>
      <c r="C739">
        <f>IFERROR(INDEX('planning dogs-n-tiger'!C$1:C$30,MATCH($H739,'planning dogs-n-tiger'!$G$1:$G$42,0)),0)</f>
        <v>24795.26</v>
      </c>
      <c r="D739">
        <f>IFERROR(INDEX('planning dogs-n-tiger'!D$1:D$30,MATCH($H739,'planning dogs-n-tiger'!$G$1:$G$42,0)),0)</f>
        <v>29466</v>
      </c>
      <c r="E739">
        <f t="shared" si="110"/>
        <v>1</v>
      </c>
      <c r="F739">
        <f t="shared" si="111"/>
        <v>1</v>
      </c>
      <c r="G739">
        <f t="shared" si="112"/>
        <v>2023</v>
      </c>
      <c r="H739" t="str">
        <f t="shared" si="116"/>
        <v>12023</v>
      </c>
      <c r="I739">
        <f t="shared" si="117"/>
        <v>31</v>
      </c>
      <c r="J739">
        <f t="shared" si="113"/>
        <v>1719.3070967741935</v>
      </c>
      <c r="K739">
        <f t="shared" si="114"/>
        <v>799.84709677419346</v>
      </c>
      <c r="L739">
        <f t="shared" si="115"/>
        <v>950.51612903225805</v>
      </c>
      <c r="M739" t="str">
        <f t="shared" si="118"/>
        <v>12023</v>
      </c>
      <c r="N739" t="str">
        <f t="shared" si="119"/>
        <v>1-1-2023</v>
      </c>
    </row>
    <row r="740" spans="1:14" x14ac:dyDescent="0.2">
      <c r="A740" s="1">
        <v>44935</v>
      </c>
      <c r="B740">
        <f>IFERROR(INDEX('planning dogs-n-tiger'!B$1:B$30,MATCH($H740,'planning dogs-n-tiger'!$G$1:$G$42,0)),0)</f>
        <v>53298.52</v>
      </c>
      <c r="C740">
        <f>IFERROR(INDEX('planning dogs-n-tiger'!C$1:C$30,MATCH($H740,'planning dogs-n-tiger'!$G$1:$G$42,0)),0)</f>
        <v>24795.26</v>
      </c>
      <c r="D740">
        <f>IFERROR(INDEX('planning dogs-n-tiger'!D$1:D$30,MATCH($H740,'planning dogs-n-tiger'!$G$1:$G$42,0)),0)</f>
        <v>29466</v>
      </c>
      <c r="E740">
        <f t="shared" si="110"/>
        <v>2</v>
      </c>
      <c r="F740">
        <f t="shared" si="111"/>
        <v>1</v>
      </c>
      <c r="G740">
        <f t="shared" si="112"/>
        <v>2023</v>
      </c>
      <c r="H740" t="str">
        <f t="shared" si="116"/>
        <v>12023</v>
      </c>
      <c r="I740">
        <f t="shared" si="117"/>
        <v>31</v>
      </c>
      <c r="J740">
        <f t="shared" si="113"/>
        <v>1719.3070967741935</v>
      </c>
      <c r="K740">
        <f t="shared" si="114"/>
        <v>799.84709677419346</v>
      </c>
      <c r="L740">
        <f t="shared" si="115"/>
        <v>950.51612903225805</v>
      </c>
      <c r="M740" t="str">
        <f t="shared" si="118"/>
        <v>22023</v>
      </c>
      <c r="N740" t="str">
        <f t="shared" si="119"/>
        <v>2-1-2023</v>
      </c>
    </row>
    <row r="741" spans="1:14" x14ac:dyDescent="0.2">
      <c r="A741" s="1">
        <v>44936</v>
      </c>
      <c r="B741">
        <f>IFERROR(INDEX('planning dogs-n-tiger'!B$1:B$30,MATCH($H741,'planning dogs-n-tiger'!$G$1:$G$42,0)),0)</f>
        <v>53298.52</v>
      </c>
      <c r="C741">
        <f>IFERROR(INDEX('planning dogs-n-tiger'!C$1:C$30,MATCH($H741,'planning dogs-n-tiger'!$G$1:$G$42,0)),0)</f>
        <v>24795.26</v>
      </c>
      <c r="D741">
        <f>IFERROR(INDEX('planning dogs-n-tiger'!D$1:D$30,MATCH($H741,'planning dogs-n-tiger'!$G$1:$G$42,0)),0)</f>
        <v>29466</v>
      </c>
      <c r="E741">
        <f t="shared" si="110"/>
        <v>2</v>
      </c>
      <c r="F741">
        <f t="shared" si="111"/>
        <v>1</v>
      </c>
      <c r="G741">
        <f t="shared" si="112"/>
        <v>2023</v>
      </c>
      <c r="H741" t="str">
        <f t="shared" si="116"/>
        <v>12023</v>
      </c>
      <c r="I741">
        <f t="shared" si="117"/>
        <v>31</v>
      </c>
      <c r="J741">
        <f t="shared" si="113"/>
        <v>1719.3070967741935</v>
      </c>
      <c r="K741">
        <f t="shared" si="114"/>
        <v>799.84709677419346</v>
      </c>
      <c r="L741">
        <f t="shared" si="115"/>
        <v>950.51612903225805</v>
      </c>
      <c r="M741" t="str">
        <f t="shared" si="118"/>
        <v>22023</v>
      </c>
      <c r="N741" t="str">
        <f t="shared" si="119"/>
        <v>2-1-2023</v>
      </c>
    </row>
    <row r="742" spans="1:14" x14ac:dyDescent="0.2">
      <c r="A742" s="1">
        <v>44937</v>
      </c>
      <c r="B742">
        <f>IFERROR(INDEX('planning dogs-n-tiger'!B$1:B$30,MATCH($H742,'planning dogs-n-tiger'!$G$1:$G$42,0)),0)</f>
        <v>53298.52</v>
      </c>
      <c r="C742">
        <f>IFERROR(INDEX('planning dogs-n-tiger'!C$1:C$30,MATCH($H742,'planning dogs-n-tiger'!$G$1:$G$42,0)),0)</f>
        <v>24795.26</v>
      </c>
      <c r="D742">
        <f>IFERROR(INDEX('planning dogs-n-tiger'!D$1:D$30,MATCH($H742,'planning dogs-n-tiger'!$G$1:$G$42,0)),0)</f>
        <v>29466</v>
      </c>
      <c r="E742">
        <f t="shared" si="110"/>
        <v>2</v>
      </c>
      <c r="F742">
        <f t="shared" si="111"/>
        <v>1</v>
      </c>
      <c r="G742">
        <f t="shared" si="112"/>
        <v>2023</v>
      </c>
      <c r="H742" t="str">
        <f t="shared" si="116"/>
        <v>12023</v>
      </c>
      <c r="I742">
        <f t="shared" si="117"/>
        <v>31</v>
      </c>
      <c r="J742">
        <f t="shared" si="113"/>
        <v>1719.3070967741935</v>
      </c>
      <c r="K742">
        <f t="shared" si="114"/>
        <v>799.84709677419346</v>
      </c>
      <c r="L742">
        <f t="shared" si="115"/>
        <v>950.51612903225805</v>
      </c>
      <c r="M742" t="str">
        <f t="shared" si="118"/>
        <v>22023</v>
      </c>
      <c r="N742" t="str">
        <f t="shared" si="119"/>
        <v>2-1-2023</v>
      </c>
    </row>
    <row r="743" spans="1:14" x14ac:dyDescent="0.2">
      <c r="A743" s="1">
        <v>44938</v>
      </c>
      <c r="B743">
        <f>IFERROR(INDEX('planning dogs-n-tiger'!B$1:B$30,MATCH($H743,'planning dogs-n-tiger'!$G$1:$G$42,0)),0)</f>
        <v>53298.52</v>
      </c>
      <c r="C743">
        <f>IFERROR(INDEX('planning dogs-n-tiger'!C$1:C$30,MATCH($H743,'planning dogs-n-tiger'!$G$1:$G$42,0)),0)</f>
        <v>24795.26</v>
      </c>
      <c r="D743">
        <f>IFERROR(INDEX('planning dogs-n-tiger'!D$1:D$30,MATCH($H743,'planning dogs-n-tiger'!$G$1:$G$42,0)),0)</f>
        <v>29466</v>
      </c>
      <c r="E743">
        <f t="shared" si="110"/>
        <v>2</v>
      </c>
      <c r="F743">
        <f t="shared" si="111"/>
        <v>1</v>
      </c>
      <c r="G743">
        <f t="shared" si="112"/>
        <v>2023</v>
      </c>
      <c r="H743" t="str">
        <f t="shared" si="116"/>
        <v>12023</v>
      </c>
      <c r="I743">
        <f t="shared" si="117"/>
        <v>31</v>
      </c>
      <c r="J743">
        <f t="shared" si="113"/>
        <v>1719.3070967741935</v>
      </c>
      <c r="K743">
        <f t="shared" si="114"/>
        <v>799.84709677419346</v>
      </c>
      <c r="L743">
        <f t="shared" si="115"/>
        <v>950.51612903225805</v>
      </c>
      <c r="M743" t="str">
        <f t="shared" si="118"/>
        <v>22023</v>
      </c>
      <c r="N743" t="str">
        <f t="shared" si="119"/>
        <v>2-1-2023</v>
      </c>
    </row>
    <row r="744" spans="1:14" x14ac:dyDescent="0.2">
      <c r="A744" s="1">
        <v>44939</v>
      </c>
      <c r="B744">
        <f>IFERROR(INDEX('planning dogs-n-tiger'!B$1:B$30,MATCH($H744,'planning dogs-n-tiger'!$G$1:$G$42,0)),0)</f>
        <v>53298.52</v>
      </c>
      <c r="C744">
        <f>IFERROR(INDEX('planning dogs-n-tiger'!C$1:C$30,MATCH($H744,'planning dogs-n-tiger'!$G$1:$G$42,0)),0)</f>
        <v>24795.26</v>
      </c>
      <c r="D744">
        <f>IFERROR(INDEX('planning dogs-n-tiger'!D$1:D$30,MATCH($H744,'planning dogs-n-tiger'!$G$1:$G$42,0)),0)</f>
        <v>29466</v>
      </c>
      <c r="E744">
        <f t="shared" si="110"/>
        <v>2</v>
      </c>
      <c r="F744">
        <f t="shared" si="111"/>
        <v>1</v>
      </c>
      <c r="G744">
        <f t="shared" si="112"/>
        <v>2023</v>
      </c>
      <c r="H744" t="str">
        <f t="shared" si="116"/>
        <v>12023</v>
      </c>
      <c r="I744">
        <f t="shared" si="117"/>
        <v>31</v>
      </c>
      <c r="J744">
        <f t="shared" si="113"/>
        <v>1719.3070967741935</v>
      </c>
      <c r="K744">
        <f t="shared" si="114"/>
        <v>799.84709677419346</v>
      </c>
      <c r="L744">
        <f t="shared" si="115"/>
        <v>950.51612903225805</v>
      </c>
      <c r="M744" t="str">
        <f t="shared" si="118"/>
        <v>22023</v>
      </c>
      <c r="N744" t="str">
        <f t="shared" si="119"/>
        <v>2-1-2023</v>
      </c>
    </row>
    <row r="745" spans="1:14" x14ac:dyDescent="0.2">
      <c r="A745" s="1">
        <v>44940</v>
      </c>
      <c r="B745">
        <f>IFERROR(INDEX('planning dogs-n-tiger'!B$1:B$30,MATCH($H745,'planning dogs-n-tiger'!$G$1:$G$42,0)),0)</f>
        <v>53298.52</v>
      </c>
      <c r="C745">
        <f>IFERROR(INDEX('planning dogs-n-tiger'!C$1:C$30,MATCH($H745,'planning dogs-n-tiger'!$G$1:$G$42,0)),0)</f>
        <v>24795.26</v>
      </c>
      <c r="D745">
        <f>IFERROR(INDEX('planning dogs-n-tiger'!D$1:D$30,MATCH($H745,'planning dogs-n-tiger'!$G$1:$G$42,0)),0)</f>
        <v>29466</v>
      </c>
      <c r="E745">
        <f t="shared" si="110"/>
        <v>2</v>
      </c>
      <c r="F745">
        <f t="shared" si="111"/>
        <v>1</v>
      </c>
      <c r="G745">
        <f t="shared" si="112"/>
        <v>2023</v>
      </c>
      <c r="H745" t="str">
        <f t="shared" si="116"/>
        <v>12023</v>
      </c>
      <c r="I745">
        <f t="shared" si="117"/>
        <v>31</v>
      </c>
      <c r="J745">
        <f t="shared" si="113"/>
        <v>1719.3070967741935</v>
      </c>
      <c r="K745">
        <f t="shared" si="114"/>
        <v>799.84709677419346</v>
      </c>
      <c r="L745">
        <f t="shared" si="115"/>
        <v>950.51612903225805</v>
      </c>
      <c r="M745" t="str">
        <f t="shared" si="118"/>
        <v>22023</v>
      </c>
      <c r="N745" t="str">
        <f t="shared" si="119"/>
        <v>2-1-2023</v>
      </c>
    </row>
    <row r="746" spans="1:14" x14ac:dyDescent="0.2">
      <c r="A746" s="1">
        <v>44941</v>
      </c>
      <c r="B746">
        <f>IFERROR(INDEX('planning dogs-n-tiger'!B$1:B$30,MATCH($H746,'planning dogs-n-tiger'!$G$1:$G$42,0)),0)</f>
        <v>53298.52</v>
      </c>
      <c r="C746">
        <f>IFERROR(INDEX('planning dogs-n-tiger'!C$1:C$30,MATCH($H746,'planning dogs-n-tiger'!$G$1:$G$42,0)),0)</f>
        <v>24795.26</v>
      </c>
      <c r="D746">
        <f>IFERROR(INDEX('planning dogs-n-tiger'!D$1:D$30,MATCH($H746,'planning dogs-n-tiger'!$G$1:$G$42,0)),0)</f>
        <v>29466</v>
      </c>
      <c r="E746">
        <f t="shared" si="110"/>
        <v>2</v>
      </c>
      <c r="F746">
        <f t="shared" si="111"/>
        <v>1</v>
      </c>
      <c r="G746">
        <f t="shared" si="112"/>
        <v>2023</v>
      </c>
      <c r="H746" t="str">
        <f t="shared" si="116"/>
        <v>12023</v>
      </c>
      <c r="I746">
        <f t="shared" si="117"/>
        <v>31</v>
      </c>
      <c r="J746">
        <f t="shared" si="113"/>
        <v>1719.3070967741935</v>
      </c>
      <c r="K746">
        <f t="shared" si="114"/>
        <v>799.84709677419346</v>
      </c>
      <c r="L746">
        <f t="shared" si="115"/>
        <v>950.51612903225805</v>
      </c>
      <c r="M746" t="str">
        <f t="shared" si="118"/>
        <v>22023</v>
      </c>
      <c r="N746" t="str">
        <f t="shared" si="119"/>
        <v>2-1-2023</v>
      </c>
    </row>
    <row r="747" spans="1:14" x14ac:dyDescent="0.2">
      <c r="A747" s="1">
        <v>44942</v>
      </c>
      <c r="B747">
        <f>IFERROR(INDEX('planning dogs-n-tiger'!B$1:B$30,MATCH($H747,'planning dogs-n-tiger'!$G$1:$G$42,0)),0)</f>
        <v>53298.52</v>
      </c>
      <c r="C747">
        <f>IFERROR(INDEX('planning dogs-n-tiger'!C$1:C$30,MATCH($H747,'planning dogs-n-tiger'!$G$1:$G$42,0)),0)</f>
        <v>24795.26</v>
      </c>
      <c r="D747">
        <f>IFERROR(INDEX('planning dogs-n-tiger'!D$1:D$30,MATCH($H747,'planning dogs-n-tiger'!$G$1:$G$42,0)),0)</f>
        <v>29466</v>
      </c>
      <c r="E747">
        <f t="shared" si="110"/>
        <v>3</v>
      </c>
      <c r="F747">
        <f t="shared" si="111"/>
        <v>1</v>
      </c>
      <c r="G747">
        <f t="shared" si="112"/>
        <v>2023</v>
      </c>
      <c r="H747" t="str">
        <f t="shared" si="116"/>
        <v>12023</v>
      </c>
      <c r="I747">
        <f t="shared" si="117"/>
        <v>31</v>
      </c>
      <c r="J747">
        <f t="shared" si="113"/>
        <v>1719.3070967741935</v>
      </c>
      <c r="K747">
        <f t="shared" si="114"/>
        <v>799.84709677419346</v>
      </c>
      <c r="L747">
        <f t="shared" si="115"/>
        <v>950.51612903225805</v>
      </c>
      <c r="M747" t="str">
        <f t="shared" si="118"/>
        <v>32023</v>
      </c>
      <c r="N747" t="str">
        <f t="shared" si="119"/>
        <v>3-1-2023</v>
      </c>
    </row>
    <row r="748" spans="1:14" x14ac:dyDescent="0.2">
      <c r="A748" s="1">
        <v>44943</v>
      </c>
      <c r="B748">
        <f>IFERROR(INDEX('planning dogs-n-tiger'!B$1:B$30,MATCH($H748,'planning dogs-n-tiger'!$G$1:$G$42,0)),0)</f>
        <v>53298.52</v>
      </c>
      <c r="C748">
        <f>IFERROR(INDEX('planning dogs-n-tiger'!C$1:C$30,MATCH($H748,'planning dogs-n-tiger'!$G$1:$G$42,0)),0)</f>
        <v>24795.26</v>
      </c>
      <c r="D748">
        <f>IFERROR(INDEX('planning dogs-n-tiger'!D$1:D$30,MATCH($H748,'planning dogs-n-tiger'!$G$1:$G$42,0)),0)</f>
        <v>29466</v>
      </c>
      <c r="E748">
        <f t="shared" si="110"/>
        <v>3</v>
      </c>
      <c r="F748">
        <f t="shared" si="111"/>
        <v>1</v>
      </c>
      <c r="G748">
        <f t="shared" si="112"/>
        <v>2023</v>
      </c>
      <c r="H748" t="str">
        <f t="shared" si="116"/>
        <v>12023</v>
      </c>
      <c r="I748">
        <f t="shared" si="117"/>
        <v>31</v>
      </c>
      <c r="J748">
        <f t="shared" si="113"/>
        <v>1719.3070967741935</v>
      </c>
      <c r="K748">
        <f t="shared" si="114"/>
        <v>799.84709677419346</v>
      </c>
      <c r="L748">
        <f t="shared" si="115"/>
        <v>950.51612903225805</v>
      </c>
      <c r="M748" t="str">
        <f t="shared" si="118"/>
        <v>32023</v>
      </c>
      <c r="N748" t="str">
        <f t="shared" si="119"/>
        <v>3-1-2023</v>
      </c>
    </row>
    <row r="749" spans="1:14" x14ac:dyDescent="0.2">
      <c r="A749" s="1">
        <v>44944</v>
      </c>
      <c r="B749">
        <f>IFERROR(INDEX('planning dogs-n-tiger'!B$1:B$30,MATCH($H749,'planning dogs-n-tiger'!$G$1:$G$42,0)),0)</f>
        <v>53298.52</v>
      </c>
      <c r="C749">
        <f>IFERROR(INDEX('planning dogs-n-tiger'!C$1:C$30,MATCH($H749,'planning dogs-n-tiger'!$G$1:$G$42,0)),0)</f>
        <v>24795.26</v>
      </c>
      <c r="D749">
        <f>IFERROR(INDEX('planning dogs-n-tiger'!D$1:D$30,MATCH($H749,'planning dogs-n-tiger'!$G$1:$G$42,0)),0)</f>
        <v>29466</v>
      </c>
      <c r="E749">
        <f t="shared" si="110"/>
        <v>3</v>
      </c>
      <c r="F749">
        <f t="shared" si="111"/>
        <v>1</v>
      </c>
      <c r="G749">
        <f t="shared" si="112"/>
        <v>2023</v>
      </c>
      <c r="H749" t="str">
        <f t="shared" si="116"/>
        <v>12023</v>
      </c>
      <c r="I749">
        <f t="shared" si="117"/>
        <v>31</v>
      </c>
      <c r="J749">
        <f t="shared" si="113"/>
        <v>1719.3070967741935</v>
      </c>
      <c r="K749">
        <f t="shared" si="114"/>
        <v>799.84709677419346</v>
      </c>
      <c r="L749">
        <f t="shared" si="115"/>
        <v>950.51612903225805</v>
      </c>
      <c r="M749" t="str">
        <f t="shared" si="118"/>
        <v>32023</v>
      </c>
      <c r="N749" t="str">
        <f t="shared" si="119"/>
        <v>3-1-2023</v>
      </c>
    </row>
    <row r="750" spans="1:14" x14ac:dyDescent="0.2">
      <c r="A750" s="1">
        <v>44945</v>
      </c>
      <c r="B750">
        <f>IFERROR(INDEX('planning dogs-n-tiger'!B$1:B$30,MATCH($H750,'planning dogs-n-tiger'!$G$1:$G$42,0)),0)</f>
        <v>53298.52</v>
      </c>
      <c r="C750">
        <f>IFERROR(INDEX('planning dogs-n-tiger'!C$1:C$30,MATCH($H750,'planning dogs-n-tiger'!$G$1:$G$42,0)),0)</f>
        <v>24795.26</v>
      </c>
      <c r="D750">
        <f>IFERROR(INDEX('planning dogs-n-tiger'!D$1:D$30,MATCH($H750,'planning dogs-n-tiger'!$G$1:$G$42,0)),0)</f>
        <v>29466</v>
      </c>
      <c r="E750">
        <f t="shared" si="110"/>
        <v>3</v>
      </c>
      <c r="F750">
        <f t="shared" si="111"/>
        <v>1</v>
      </c>
      <c r="G750">
        <f t="shared" si="112"/>
        <v>2023</v>
      </c>
      <c r="H750" t="str">
        <f t="shared" si="116"/>
        <v>12023</v>
      </c>
      <c r="I750">
        <f t="shared" si="117"/>
        <v>31</v>
      </c>
      <c r="J750">
        <f t="shared" si="113"/>
        <v>1719.3070967741935</v>
      </c>
      <c r="K750">
        <f t="shared" si="114"/>
        <v>799.84709677419346</v>
      </c>
      <c r="L750">
        <f t="shared" si="115"/>
        <v>950.51612903225805</v>
      </c>
      <c r="M750" t="str">
        <f t="shared" si="118"/>
        <v>32023</v>
      </c>
      <c r="N750" t="str">
        <f t="shared" si="119"/>
        <v>3-1-2023</v>
      </c>
    </row>
    <row r="751" spans="1:14" x14ac:dyDescent="0.2">
      <c r="A751" s="1">
        <v>44946</v>
      </c>
      <c r="B751">
        <f>IFERROR(INDEX('planning dogs-n-tiger'!B$1:B$30,MATCH($H751,'planning dogs-n-tiger'!$G$1:$G$42,0)),0)</f>
        <v>53298.52</v>
      </c>
      <c r="C751">
        <f>IFERROR(INDEX('planning dogs-n-tiger'!C$1:C$30,MATCH($H751,'planning dogs-n-tiger'!$G$1:$G$42,0)),0)</f>
        <v>24795.26</v>
      </c>
      <c r="D751">
        <f>IFERROR(INDEX('planning dogs-n-tiger'!D$1:D$30,MATCH($H751,'planning dogs-n-tiger'!$G$1:$G$42,0)),0)</f>
        <v>29466</v>
      </c>
      <c r="E751">
        <f t="shared" si="110"/>
        <v>3</v>
      </c>
      <c r="F751">
        <f t="shared" si="111"/>
        <v>1</v>
      </c>
      <c r="G751">
        <f t="shared" si="112"/>
        <v>2023</v>
      </c>
      <c r="H751" t="str">
        <f t="shared" si="116"/>
        <v>12023</v>
      </c>
      <c r="I751">
        <f t="shared" si="117"/>
        <v>31</v>
      </c>
      <c r="J751">
        <f t="shared" si="113"/>
        <v>1719.3070967741935</v>
      </c>
      <c r="K751">
        <f t="shared" si="114"/>
        <v>799.84709677419346</v>
      </c>
      <c r="L751">
        <f t="shared" si="115"/>
        <v>950.51612903225805</v>
      </c>
      <c r="M751" t="str">
        <f t="shared" si="118"/>
        <v>32023</v>
      </c>
      <c r="N751" t="str">
        <f t="shared" si="119"/>
        <v>3-1-2023</v>
      </c>
    </row>
    <row r="752" spans="1:14" x14ac:dyDescent="0.2">
      <c r="A752" s="1">
        <v>44947</v>
      </c>
      <c r="B752">
        <f>IFERROR(INDEX('planning dogs-n-tiger'!B$1:B$30,MATCH($H752,'planning dogs-n-tiger'!$G$1:$G$42,0)),0)</f>
        <v>53298.52</v>
      </c>
      <c r="C752">
        <f>IFERROR(INDEX('planning dogs-n-tiger'!C$1:C$30,MATCH($H752,'planning dogs-n-tiger'!$G$1:$G$42,0)),0)</f>
        <v>24795.26</v>
      </c>
      <c r="D752">
        <f>IFERROR(INDEX('planning dogs-n-tiger'!D$1:D$30,MATCH($H752,'planning dogs-n-tiger'!$G$1:$G$42,0)),0)</f>
        <v>29466</v>
      </c>
      <c r="E752">
        <f t="shared" si="110"/>
        <v>3</v>
      </c>
      <c r="F752">
        <f t="shared" si="111"/>
        <v>1</v>
      </c>
      <c r="G752">
        <f t="shared" si="112"/>
        <v>2023</v>
      </c>
      <c r="H752" t="str">
        <f t="shared" si="116"/>
        <v>12023</v>
      </c>
      <c r="I752">
        <f t="shared" si="117"/>
        <v>31</v>
      </c>
      <c r="J752">
        <f t="shared" si="113"/>
        <v>1719.3070967741935</v>
      </c>
      <c r="K752">
        <f t="shared" si="114"/>
        <v>799.84709677419346</v>
      </c>
      <c r="L752">
        <f t="shared" si="115"/>
        <v>950.51612903225805</v>
      </c>
      <c r="M752" t="str">
        <f t="shared" si="118"/>
        <v>32023</v>
      </c>
      <c r="N752" t="str">
        <f t="shared" si="119"/>
        <v>3-1-2023</v>
      </c>
    </row>
    <row r="753" spans="1:14" x14ac:dyDescent="0.2">
      <c r="A753" s="1">
        <v>44948</v>
      </c>
      <c r="B753">
        <f>IFERROR(INDEX('planning dogs-n-tiger'!B$1:B$30,MATCH($H753,'planning dogs-n-tiger'!$G$1:$G$42,0)),0)</f>
        <v>53298.52</v>
      </c>
      <c r="C753">
        <f>IFERROR(INDEX('planning dogs-n-tiger'!C$1:C$30,MATCH($H753,'planning dogs-n-tiger'!$G$1:$G$42,0)),0)</f>
        <v>24795.26</v>
      </c>
      <c r="D753">
        <f>IFERROR(INDEX('planning dogs-n-tiger'!D$1:D$30,MATCH($H753,'planning dogs-n-tiger'!$G$1:$G$42,0)),0)</f>
        <v>29466</v>
      </c>
      <c r="E753">
        <f t="shared" si="110"/>
        <v>3</v>
      </c>
      <c r="F753">
        <f t="shared" si="111"/>
        <v>1</v>
      </c>
      <c r="G753">
        <f t="shared" si="112"/>
        <v>2023</v>
      </c>
      <c r="H753" t="str">
        <f t="shared" si="116"/>
        <v>12023</v>
      </c>
      <c r="I753">
        <f t="shared" si="117"/>
        <v>31</v>
      </c>
      <c r="J753">
        <f t="shared" si="113"/>
        <v>1719.3070967741935</v>
      </c>
      <c r="K753">
        <f t="shared" si="114"/>
        <v>799.84709677419346</v>
      </c>
      <c r="L753">
        <f t="shared" si="115"/>
        <v>950.51612903225805</v>
      </c>
      <c r="M753" t="str">
        <f t="shared" si="118"/>
        <v>32023</v>
      </c>
      <c r="N753" t="str">
        <f t="shared" si="119"/>
        <v>3-1-2023</v>
      </c>
    </row>
    <row r="754" spans="1:14" x14ac:dyDescent="0.2">
      <c r="A754" s="1">
        <v>44949</v>
      </c>
      <c r="B754">
        <f>IFERROR(INDEX('planning dogs-n-tiger'!B$1:B$30,MATCH($H754,'planning dogs-n-tiger'!$G$1:$G$42,0)),0)</f>
        <v>53298.52</v>
      </c>
      <c r="C754">
        <f>IFERROR(INDEX('planning dogs-n-tiger'!C$1:C$30,MATCH($H754,'planning dogs-n-tiger'!$G$1:$G$42,0)),0)</f>
        <v>24795.26</v>
      </c>
      <c r="D754">
        <f>IFERROR(INDEX('planning dogs-n-tiger'!D$1:D$30,MATCH($H754,'planning dogs-n-tiger'!$G$1:$G$42,0)),0)</f>
        <v>29466</v>
      </c>
      <c r="E754">
        <f t="shared" si="110"/>
        <v>4</v>
      </c>
      <c r="F754">
        <f t="shared" si="111"/>
        <v>1</v>
      </c>
      <c r="G754">
        <f t="shared" si="112"/>
        <v>2023</v>
      </c>
      <c r="H754" t="str">
        <f t="shared" si="116"/>
        <v>12023</v>
      </c>
      <c r="I754">
        <f t="shared" si="117"/>
        <v>31</v>
      </c>
      <c r="J754">
        <f t="shared" si="113"/>
        <v>1719.3070967741935</v>
      </c>
      <c r="K754">
        <f t="shared" si="114"/>
        <v>799.84709677419346</v>
      </c>
      <c r="L754">
        <f t="shared" si="115"/>
        <v>950.51612903225805</v>
      </c>
      <c r="M754" t="str">
        <f t="shared" si="118"/>
        <v>42023</v>
      </c>
      <c r="N754" t="str">
        <f t="shared" si="119"/>
        <v>4-1-2023</v>
      </c>
    </row>
    <row r="755" spans="1:14" x14ac:dyDescent="0.2">
      <c r="A755" s="1">
        <v>44950</v>
      </c>
      <c r="B755">
        <f>IFERROR(INDEX('planning dogs-n-tiger'!B$1:B$30,MATCH($H755,'planning dogs-n-tiger'!$G$1:$G$42,0)),0)</f>
        <v>53298.52</v>
      </c>
      <c r="C755">
        <f>IFERROR(INDEX('planning dogs-n-tiger'!C$1:C$30,MATCH($H755,'planning dogs-n-tiger'!$G$1:$G$42,0)),0)</f>
        <v>24795.26</v>
      </c>
      <c r="D755">
        <f>IFERROR(INDEX('planning dogs-n-tiger'!D$1:D$30,MATCH($H755,'planning dogs-n-tiger'!$G$1:$G$42,0)),0)</f>
        <v>29466</v>
      </c>
      <c r="E755">
        <f t="shared" si="110"/>
        <v>4</v>
      </c>
      <c r="F755">
        <f t="shared" si="111"/>
        <v>1</v>
      </c>
      <c r="G755">
        <f t="shared" si="112"/>
        <v>2023</v>
      </c>
      <c r="H755" t="str">
        <f t="shared" si="116"/>
        <v>12023</v>
      </c>
      <c r="I755">
        <f t="shared" si="117"/>
        <v>31</v>
      </c>
      <c r="J755">
        <f t="shared" si="113"/>
        <v>1719.3070967741935</v>
      </c>
      <c r="K755">
        <f t="shared" si="114"/>
        <v>799.84709677419346</v>
      </c>
      <c r="L755">
        <f t="shared" si="115"/>
        <v>950.51612903225805</v>
      </c>
      <c r="M755" t="str">
        <f t="shared" si="118"/>
        <v>42023</v>
      </c>
      <c r="N755" t="str">
        <f t="shared" si="119"/>
        <v>4-1-2023</v>
      </c>
    </row>
    <row r="756" spans="1:14" x14ac:dyDescent="0.2">
      <c r="A756" s="1">
        <v>44951</v>
      </c>
      <c r="B756">
        <f>IFERROR(INDEX('planning dogs-n-tiger'!B$1:B$30,MATCH($H756,'planning dogs-n-tiger'!$G$1:$G$42,0)),0)</f>
        <v>53298.52</v>
      </c>
      <c r="C756">
        <f>IFERROR(INDEX('planning dogs-n-tiger'!C$1:C$30,MATCH($H756,'planning dogs-n-tiger'!$G$1:$G$42,0)),0)</f>
        <v>24795.26</v>
      </c>
      <c r="D756">
        <f>IFERROR(INDEX('planning dogs-n-tiger'!D$1:D$30,MATCH($H756,'planning dogs-n-tiger'!$G$1:$G$42,0)),0)</f>
        <v>29466</v>
      </c>
      <c r="E756">
        <f t="shared" si="110"/>
        <v>4</v>
      </c>
      <c r="F756">
        <f t="shared" si="111"/>
        <v>1</v>
      </c>
      <c r="G756">
        <f t="shared" si="112"/>
        <v>2023</v>
      </c>
      <c r="H756" t="str">
        <f t="shared" si="116"/>
        <v>12023</v>
      </c>
      <c r="I756">
        <f t="shared" si="117"/>
        <v>31</v>
      </c>
      <c r="J756">
        <f t="shared" si="113"/>
        <v>1719.3070967741935</v>
      </c>
      <c r="K756">
        <f t="shared" si="114"/>
        <v>799.84709677419346</v>
      </c>
      <c r="L756">
        <f t="shared" si="115"/>
        <v>950.51612903225805</v>
      </c>
      <c r="M756" t="str">
        <f t="shared" si="118"/>
        <v>42023</v>
      </c>
      <c r="N756" t="str">
        <f t="shared" si="119"/>
        <v>4-1-2023</v>
      </c>
    </row>
    <row r="757" spans="1:14" x14ac:dyDescent="0.2">
      <c r="A757" s="1">
        <v>44952</v>
      </c>
      <c r="B757">
        <f>IFERROR(INDEX('planning dogs-n-tiger'!B$1:B$30,MATCH($H757,'planning dogs-n-tiger'!$G$1:$G$42,0)),0)</f>
        <v>53298.52</v>
      </c>
      <c r="C757">
        <f>IFERROR(INDEX('planning dogs-n-tiger'!C$1:C$30,MATCH($H757,'planning dogs-n-tiger'!$G$1:$G$42,0)),0)</f>
        <v>24795.26</v>
      </c>
      <c r="D757">
        <f>IFERROR(INDEX('planning dogs-n-tiger'!D$1:D$30,MATCH($H757,'planning dogs-n-tiger'!$G$1:$G$42,0)),0)</f>
        <v>29466</v>
      </c>
      <c r="E757">
        <f t="shared" si="110"/>
        <v>4</v>
      </c>
      <c r="F757">
        <f t="shared" si="111"/>
        <v>1</v>
      </c>
      <c r="G757">
        <f t="shared" si="112"/>
        <v>2023</v>
      </c>
      <c r="H757" t="str">
        <f t="shared" si="116"/>
        <v>12023</v>
      </c>
      <c r="I757">
        <f t="shared" si="117"/>
        <v>31</v>
      </c>
      <c r="J757">
        <f t="shared" si="113"/>
        <v>1719.3070967741935</v>
      </c>
      <c r="K757">
        <f t="shared" si="114"/>
        <v>799.84709677419346</v>
      </c>
      <c r="L757">
        <f t="shared" si="115"/>
        <v>950.51612903225805</v>
      </c>
      <c r="M757" t="str">
        <f t="shared" si="118"/>
        <v>42023</v>
      </c>
      <c r="N757" t="str">
        <f t="shared" si="119"/>
        <v>4-1-2023</v>
      </c>
    </row>
    <row r="758" spans="1:14" x14ac:dyDescent="0.2">
      <c r="A758" s="1">
        <v>44953</v>
      </c>
      <c r="B758">
        <f>IFERROR(INDEX('planning dogs-n-tiger'!B$1:B$30,MATCH($H758,'planning dogs-n-tiger'!$G$1:$G$42,0)),0)</f>
        <v>53298.52</v>
      </c>
      <c r="C758">
        <f>IFERROR(INDEX('planning dogs-n-tiger'!C$1:C$30,MATCH($H758,'planning dogs-n-tiger'!$G$1:$G$42,0)),0)</f>
        <v>24795.26</v>
      </c>
      <c r="D758">
        <f>IFERROR(INDEX('planning dogs-n-tiger'!D$1:D$30,MATCH($H758,'planning dogs-n-tiger'!$G$1:$G$42,0)),0)</f>
        <v>29466</v>
      </c>
      <c r="E758">
        <f t="shared" si="110"/>
        <v>4</v>
      </c>
      <c r="F758">
        <f t="shared" si="111"/>
        <v>1</v>
      </c>
      <c r="G758">
        <f t="shared" si="112"/>
        <v>2023</v>
      </c>
      <c r="H758" t="str">
        <f t="shared" si="116"/>
        <v>12023</v>
      </c>
      <c r="I758">
        <f t="shared" si="117"/>
        <v>31</v>
      </c>
      <c r="J758">
        <f t="shared" si="113"/>
        <v>1719.3070967741935</v>
      </c>
      <c r="K758">
        <f t="shared" si="114"/>
        <v>799.84709677419346</v>
      </c>
      <c r="L758">
        <f t="shared" si="115"/>
        <v>950.51612903225805</v>
      </c>
      <c r="M758" t="str">
        <f t="shared" si="118"/>
        <v>42023</v>
      </c>
      <c r="N758" t="str">
        <f t="shared" si="119"/>
        <v>4-1-2023</v>
      </c>
    </row>
    <row r="759" spans="1:14" x14ac:dyDescent="0.2">
      <c r="A759" s="1">
        <v>44954</v>
      </c>
      <c r="B759">
        <f>IFERROR(INDEX('planning dogs-n-tiger'!B$1:B$30,MATCH($H759,'planning dogs-n-tiger'!$G$1:$G$42,0)),0)</f>
        <v>53298.52</v>
      </c>
      <c r="C759">
        <f>IFERROR(INDEX('planning dogs-n-tiger'!C$1:C$30,MATCH($H759,'planning dogs-n-tiger'!$G$1:$G$42,0)),0)</f>
        <v>24795.26</v>
      </c>
      <c r="D759">
        <f>IFERROR(INDEX('planning dogs-n-tiger'!D$1:D$30,MATCH($H759,'planning dogs-n-tiger'!$G$1:$G$42,0)),0)</f>
        <v>29466</v>
      </c>
      <c r="E759">
        <f t="shared" si="110"/>
        <v>4</v>
      </c>
      <c r="F759">
        <f t="shared" si="111"/>
        <v>1</v>
      </c>
      <c r="G759">
        <f t="shared" si="112"/>
        <v>2023</v>
      </c>
      <c r="H759" t="str">
        <f t="shared" si="116"/>
        <v>12023</v>
      </c>
      <c r="I759">
        <f t="shared" si="117"/>
        <v>31</v>
      </c>
      <c r="J759">
        <f t="shared" si="113"/>
        <v>1719.3070967741935</v>
      </c>
      <c r="K759">
        <f t="shared" si="114"/>
        <v>799.84709677419346</v>
      </c>
      <c r="L759">
        <f t="shared" si="115"/>
        <v>950.51612903225805</v>
      </c>
      <c r="M759" t="str">
        <f t="shared" si="118"/>
        <v>42023</v>
      </c>
      <c r="N759" t="str">
        <f t="shared" si="119"/>
        <v>4-1-2023</v>
      </c>
    </row>
    <row r="760" spans="1:14" x14ac:dyDescent="0.2">
      <c r="A760" s="1">
        <v>44955</v>
      </c>
      <c r="B760">
        <f>IFERROR(INDEX('planning dogs-n-tiger'!B$1:B$30,MATCH($H760,'planning dogs-n-tiger'!$G$1:$G$42,0)),0)</f>
        <v>53298.52</v>
      </c>
      <c r="C760">
        <f>IFERROR(INDEX('planning dogs-n-tiger'!C$1:C$30,MATCH($H760,'planning dogs-n-tiger'!$G$1:$G$42,0)),0)</f>
        <v>24795.26</v>
      </c>
      <c r="D760">
        <f>IFERROR(INDEX('planning dogs-n-tiger'!D$1:D$30,MATCH($H760,'planning dogs-n-tiger'!$G$1:$G$42,0)),0)</f>
        <v>29466</v>
      </c>
      <c r="E760">
        <f t="shared" si="110"/>
        <v>4</v>
      </c>
      <c r="F760">
        <f t="shared" si="111"/>
        <v>1</v>
      </c>
      <c r="G760">
        <f t="shared" si="112"/>
        <v>2023</v>
      </c>
      <c r="H760" t="str">
        <f t="shared" si="116"/>
        <v>12023</v>
      </c>
      <c r="I760">
        <f t="shared" si="117"/>
        <v>31</v>
      </c>
      <c r="J760">
        <f t="shared" si="113"/>
        <v>1719.3070967741935</v>
      </c>
      <c r="K760">
        <f t="shared" si="114"/>
        <v>799.84709677419346</v>
      </c>
      <c r="L760">
        <f t="shared" si="115"/>
        <v>950.51612903225805</v>
      </c>
      <c r="M760" t="str">
        <f t="shared" si="118"/>
        <v>42023</v>
      </c>
      <c r="N760" t="str">
        <f t="shared" si="119"/>
        <v>4-1-2023</v>
      </c>
    </row>
    <row r="761" spans="1:14" x14ac:dyDescent="0.2">
      <c r="A761" s="1">
        <v>44956</v>
      </c>
      <c r="B761">
        <f>IFERROR(INDEX('planning dogs-n-tiger'!B$1:B$30,MATCH($H761,'planning dogs-n-tiger'!$G$1:$G$42,0)),0)</f>
        <v>53298.52</v>
      </c>
      <c r="C761">
        <f>IFERROR(INDEX('planning dogs-n-tiger'!C$1:C$30,MATCH($H761,'planning dogs-n-tiger'!$G$1:$G$42,0)),0)</f>
        <v>24795.26</v>
      </c>
      <c r="D761">
        <f>IFERROR(INDEX('planning dogs-n-tiger'!D$1:D$30,MATCH($H761,'planning dogs-n-tiger'!$G$1:$G$42,0)),0)</f>
        <v>29466</v>
      </c>
      <c r="E761">
        <f t="shared" si="110"/>
        <v>5</v>
      </c>
      <c r="F761">
        <f t="shared" si="111"/>
        <v>1</v>
      </c>
      <c r="G761">
        <f t="shared" si="112"/>
        <v>2023</v>
      </c>
      <c r="H761" t="str">
        <f t="shared" si="116"/>
        <v>12023</v>
      </c>
      <c r="I761">
        <f t="shared" si="117"/>
        <v>31</v>
      </c>
      <c r="J761">
        <f t="shared" si="113"/>
        <v>1719.3070967741935</v>
      </c>
      <c r="K761">
        <f t="shared" si="114"/>
        <v>799.84709677419346</v>
      </c>
      <c r="L761">
        <f t="shared" si="115"/>
        <v>950.51612903225805</v>
      </c>
      <c r="M761" t="str">
        <f t="shared" si="118"/>
        <v>52023</v>
      </c>
      <c r="N761" t="str">
        <f t="shared" si="119"/>
        <v>5-1-2023</v>
      </c>
    </row>
    <row r="762" spans="1:14" x14ac:dyDescent="0.2">
      <c r="A762" s="1">
        <v>44957</v>
      </c>
      <c r="B762">
        <f>IFERROR(INDEX('planning dogs-n-tiger'!B$1:B$30,MATCH($H762,'planning dogs-n-tiger'!$G$1:$G$42,0)),0)</f>
        <v>53298.52</v>
      </c>
      <c r="C762">
        <f>IFERROR(INDEX('planning dogs-n-tiger'!C$1:C$30,MATCH($H762,'planning dogs-n-tiger'!$G$1:$G$42,0)),0)</f>
        <v>24795.26</v>
      </c>
      <c r="D762">
        <f>IFERROR(INDEX('planning dogs-n-tiger'!D$1:D$30,MATCH($H762,'planning dogs-n-tiger'!$G$1:$G$42,0)),0)</f>
        <v>29466</v>
      </c>
      <c r="E762">
        <f t="shared" si="110"/>
        <v>5</v>
      </c>
      <c r="F762">
        <f t="shared" si="111"/>
        <v>1</v>
      </c>
      <c r="G762">
        <f t="shared" si="112"/>
        <v>2023</v>
      </c>
      <c r="H762" t="str">
        <f t="shared" si="116"/>
        <v>12023</v>
      </c>
      <c r="I762">
        <f t="shared" si="117"/>
        <v>31</v>
      </c>
      <c r="J762">
        <f t="shared" si="113"/>
        <v>1719.3070967741935</v>
      </c>
      <c r="K762">
        <f t="shared" si="114"/>
        <v>799.84709677419346</v>
      </c>
      <c r="L762">
        <f t="shared" si="115"/>
        <v>950.51612903225805</v>
      </c>
      <c r="M762" t="str">
        <f t="shared" si="118"/>
        <v>52023</v>
      </c>
      <c r="N762" t="str">
        <f t="shared" si="119"/>
        <v>5-1-2023</v>
      </c>
    </row>
    <row r="763" spans="1:14" x14ac:dyDescent="0.2">
      <c r="A763" s="1">
        <v>44958</v>
      </c>
      <c r="B763">
        <f>IFERROR(INDEX('planning dogs-n-tiger'!B$1:B$30,MATCH($H763,'planning dogs-n-tiger'!$G$1:$G$42,0)),0)</f>
        <v>53375</v>
      </c>
      <c r="C763">
        <f>IFERROR(INDEX('planning dogs-n-tiger'!C$1:C$30,MATCH($H763,'planning dogs-n-tiger'!$G$1:$G$42,0)),0)</f>
        <v>24223.54</v>
      </c>
      <c r="D763">
        <f>IFERROR(INDEX('planning dogs-n-tiger'!D$1:D$30,MATCH($H763,'planning dogs-n-tiger'!$G$1:$G$42,0)),0)</f>
        <v>26553.1</v>
      </c>
      <c r="E763">
        <f t="shared" si="110"/>
        <v>5</v>
      </c>
      <c r="F763">
        <f t="shared" si="111"/>
        <v>2</v>
      </c>
      <c r="G763">
        <f t="shared" si="112"/>
        <v>2023</v>
      </c>
      <c r="H763" t="str">
        <f t="shared" si="116"/>
        <v>22023</v>
      </c>
      <c r="I763">
        <f t="shared" si="117"/>
        <v>28</v>
      </c>
      <c r="J763">
        <f t="shared" si="113"/>
        <v>1906.25</v>
      </c>
      <c r="K763">
        <f t="shared" si="114"/>
        <v>865.12642857142862</v>
      </c>
      <c r="L763">
        <f t="shared" si="115"/>
        <v>948.32499999999993</v>
      </c>
      <c r="M763" t="str">
        <f t="shared" si="118"/>
        <v>52023</v>
      </c>
      <c r="N763" t="str">
        <f t="shared" si="119"/>
        <v>5-2-2023</v>
      </c>
    </row>
    <row r="764" spans="1:14" x14ac:dyDescent="0.2">
      <c r="A764" s="1">
        <v>44959</v>
      </c>
      <c r="B764">
        <f>IFERROR(INDEX('planning dogs-n-tiger'!B$1:B$30,MATCH($H764,'planning dogs-n-tiger'!$G$1:$G$42,0)),0)</f>
        <v>53375</v>
      </c>
      <c r="C764">
        <f>IFERROR(INDEX('planning dogs-n-tiger'!C$1:C$30,MATCH($H764,'planning dogs-n-tiger'!$G$1:$G$42,0)),0)</f>
        <v>24223.54</v>
      </c>
      <c r="D764">
        <f>IFERROR(INDEX('planning dogs-n-tiger'!D$1:D$30,MATCH($H764,'planning dogs-n-tiger'!$G$1:$G$42,0)),0)</f>
        <v>26553.1</v>
      </c>
      <c r="E764">
        <f t="shared" si="110"/>
        <v>5</v>
      </c>
      <c r="F764">
        <f t="shared" si="111"/>
        <v>2</v>
      </c>
      <c r="G764">
        <f t="shared" si="112"/>
        <v>2023</v>
      </c>
      <c r="H764" t="str">
        <f t="shared" si="116"/>
        <v>22023</v>
      </c>
      <c r="I764">
        <f t="shared" si="117"/>
        <v>28</v>
      </c>
      <c r="J764">
        <f t="shared" si="113"/>
        <v>1906.25</v>
      </c>
      <c r="K764">
        <f t="shared" si="114"/>
        <v>865.12642857142862</v>
      </c>
      <c r="L764">
        <f t="shared" si="115"/>
        <v>948.32499999999993</v>
      </c>
      <c r="M764" t="str">
        <f t="shared" si="118"/>
        <v>52023</v>
      </c>
      <c r="N764" t="str">
        <f t="shared" si="119"/>
        <v>5-2-2023</v>
      </c>
    </row>
    <row r="765" spans="1:14" x14ac:dyDescent="0.2">
      <c r="A765" s="1">
        <v>44960</v>
      </c>
      <c r="B765">
        <f>IFERROR(INDEX('planning dogs-n-tiger'!B$1:B$30,MATCH($H765,'planning dogs-n-tiger'!$G$1:$G$42,0)),0)</f>
        <v>53375</v>
      </c>
      <c r="C765">
        <f>IFERROR(INDEX('planning dogs-n-tiger'!C$1:C$30,MATCH($H765,'planning dogs-n-tiger'!$G$1:$G$42,0)),0)</f>
        <v>24223.54</v>
      </c>
      <c r="D765">
        <f>IFERROR(INDEX('planning dogs-n-tiger'!D$1:D$30,MATCH($H765,'planning dogs-n-tiger'!$G$1:$G$42,0)),0)</f>
        <v>26553.1</v>
      </c>
      <c r="E765">
        <f t="shared" si="110"/>
        <v>5</v>
      </c>
      <c r="F765">
        <f t="shared" si="111"/>
        <v>2</v>
      </c>
      <c r="G765">
        <f t="shared" si="112"/>
        <v>2023</v>
      </c>
      <c r="H765" t="str">
        <f t="shared" si="116"/>
        <v>22023</v>
      </c>
      <c r="I765">
        <f t="shared" si="117"/>
        <v>28</v>
      </c>
      <c r="J765">
        <f t="shared" si="113"/>
        <v>1906.25</v>
      </c>
      <c r="K765">
        <f t="shared" si="114"/>
        <v>865.12642857142862</v>
      </c>
      <c r="L765">
        <f t="shared" si="115"/>
        <v>948.32499999999993</v>
      </c>
      <c r="M765" t="str">
        <f t="shared" si="118"/>
        <v>52023</v>
      </c>
      <c r="N765" t="str">
        <f t="shared" si="119"/>
        <v>5-2-2023</v>
      </c>
    </row>
    <row r="766" spans="1:14" x14ac:dyDescent="0.2">
      <c r="A766" s="1">
        <v>44961</v>
      </c>
      <c r="B766">
        <f>IFERROR(INDEX('planning dogs-n-tiger'!B$1:B$30,MATCH($H766,'planning dogs-n-tiger'!$G$1:$G$42,0)),0)</f>
        <v>53375</v>
      </c>
      <c r="C766">
        <f>IFERROR(INDEX('planning dogs-n-tiger'!C$1:C$30,MATCH($H766,'planning dogs-n-tiger'!$G$1:$G$42,0)),0)</f>
        <v>24223.54</v>
      </c>
      <c r="D766">
        <f>IFERROR(INDEX('planning dogs-n-tiger'!D$1:D$30,MATCH($H766,'planning dogs-n-tiger'!$G$1:$G$42,0)),0)</f>
        <v>26553.1</v>
      </c>
      <c r="E766">
        <f t="shared" si="110"/>
        <v>5</v>
      </c>
      <c r="F766">
        <f t="shared" si="111"/>
        <v>2</v>
      </c>
      <c r="G766">
        <f t="shared" si="112"/>
        <v>2023</v>
      </c>
      <c r="H766" t="str">
        <f t="shared" si="116"/>
        <v>22023</v>
      </c>
      <c r="I766">
        <f t="shared" si="117"/>
        <v>28</v>
      </c>
      <c r="J766">
        <f t="shared" si="113"/>
        <v>1906.25</v>
      </c>
      <c r="K766">
        <f t="shared" si="114"/>
        <v>865.12642857142862</v>
      </c>
      <c r="L766">
        <f t="shared" si="115"/>
        <v>948.32499999999993</v>
      </c>
      <c r="M766" t="str">
        <f t="shared" si="118"/>
        <v>52023</v>
      </c>
      <c r="N766" t="str">
        <f t="shared" si="119"/>
        <v>5-2-2023</v>
      </c>
    </row>
    <row r="767" spans="1:14" x14ac:dyDescent="0.2">
      <c r="A767" s="1">
        <v>44962</v>
      </c>
      <c r="B767">
        <f>IFERROR(INDEX('planning dogs-n-tiger'!B$1:B$30,MATCH($H767,'planning dogs-n-tiger'!$G$1:$G$42,0)),0)</f>
        <v>53375</v>
      </c>
      <c r="C767">
        <f>IFERROR(INDEX('planning dogs-n-tiger'!C$1:C$30,MATCH($H767,'planning dogs-n-tiger'!$G$1:$G$42,0)),0)</f>
        <v>24223.54</v>
      </c>
      <c r="D767">
        <f>IFERROR(INDEX('planning dogs-n-tiger'!D$1:D$30,MATCH($H767,'planning dogs-n-tiger'!$G$1:$G$42,0)),0)</f>
        <v>26553.1</v>
      </c>
      <c r="E767">
        <f t="shared" si="110"/>
        <v>5</v>
      </c>
      <c r="F767">
        <f t="shared" si="111"/>
        <v>2</v>
      </c>
      <c r="G767">
        <f t="shared" si="112"/>
        <v>2023</v>
      </c>
      <c r="H767" t="str">
        <f t="shared" si="116"/>
        <v>22023</v>
      </c>
      <c r="I767">
        <f t="shared" si="117"/>
        <v>28</v>
      </c>
      <c r="J767">
        <f t="shared" si="113"/>
        <v>1906.25</v>
      </c>
      <c r="K767">
        <f t="shared" si="114"/>
        <v>865.12642857142862</v>
      </c>
      <c r="L767">
        <f t="shared" si="115"/>
        <v>948.32499999999993</v>
      </c>
      <c r="M767" t="str">
        <f t="shared" si="118"/>
        <v>52023</v>
      </c>
      <c r="N767" t="str">
        <f t="shared" si="119"/>
        <v>5-2-2023</v>
      </c>
    </row>
    <row r="768" spans="1:14" x14ac:dyDescent="0.2">
      <c r="A768" s="1">
        <v>44963</v>
      </c>
      <c r="B768">
        <f>IFERROR(INDEX('planning dogs-n-tiger'!B$1:B$30,MATCH($H768,'planning dogs-n-tiger'!$G$1:$G$42,0)),0)</f>
        <v>53375</v>
      </c>
      <c r="C768">
        <f>IFERROR(INDEX('planning dogs-n-tiger'!C$1:C$30,MATCH($H768,'planning dogs-n-tiger'!$G$1:$G$42,0)),0)</f>
        <v>24223.54</v>
      </c>
      <c r="D768">
        <f>IFERROR(INDEX('planning dogs-n-tiger'!D$1:D$30,MATCH($H768,'planning dogs-n-tiger'!$G$1:$G$42,0)),0)</f>
        <v>26553.1</v>
      </c>
      <c r="E768">
        <f t="shared" si="110"/>
        <v>6</v>
      </c>
      <c r="F768">
        <f t="shared" si="111"/>
        <v>2</v>
      </c>
      <c r="G768">
        <f t="shared" si="112"/>
        <v>2023</v>
      </c>
      <c r="H768" t="str">
        <f t="shared" si="116"/>
        <v>22023</v>
      </c>
      <c r="I768">
        <f t="shared" si="117"/>
        <v>28</v>
      </c>
      <c r="J768">
        <f t="shared" si="113"/>
        <v>1906.25</v>
      </c>
      <c r="K768">
        <f t="shared" si="114"/>
        <v>865.12642857142862</v>
      </c>
      <c r="L768">
        <f t="shared" si="115"/>
        <v>948.32499999999993</v>
      </c>
      <c r="M768" t="str">
        <f t="shared" si="118"/>
        <v>62023</v>
      </c>
      <c r="N768" t="str">
        <f t="shared" si="119"/>
        <v>6-2-2023</v>
      </c>
    </row>
    <row r="769" spans="1:14" x14ac:dyDescent="0.2">
      <c r="A769" s="1">
        <v>44964</v>
      </c>
      <c r="B769">
        <f>IFERROR(INDEX('planning dogs-n-tiger'!B$1:B$30,MATCH($H769,'planning dogs-n-tiger'!$G$1:$G$42,0)),0)</f>
        <v>53375</v>
      </c>
      <c r="C769">
        <f>IFERROR(INDEX('planning dogs-n-tiger'!C$1:C$30,MATCH($H769,'planning dogs-n-tiger'!$G$1:$G$42,0)),0)</f>
        <v>24223.54</v>
      </c>
      <c r="D769">
        <f>IFERROR(INDEX('planning dogs-n-tiger'!D$1:D$30,MATCH($H769,'planning dogs-n-tiger'!$G$1:$G$42,0)),0)</f>
        <v>26553.1</v>
      </c>
      <c r="E769">
        <f t="shared" si="110"/>
        <v>6</v>
      </c>
      <c r="F769">
        <f t="shared" si="111"/>
        <v>2</v>
      </c>
      <c r="G769">
        <f t="shared" si="112"/>
        <v>2023</v>
      </c>
      <c r="H769" t="str">
        <f t="shared" si="116"/>
        <v>22023</v>
      </c>
      <c r="I769">
        <f t="shared" si="117"/>
        <v>28</v>
      </c>
      <c r="J769">
        <f t="shared" si="113"/>
        <v>1906.25</v>
      </c>
      <c r="K769">
        <f t="shared" si="114"/>
        <v>865.12642857142862</v>
      </c>
      <c r="L769">
        <f t="shared" si="115"/>
        <v>948.32499999999993</v>
      </c>
      <c r="M769" t="str">
        <f t="shared" si="118"/>
        <v>62023</v>
      </c>
      <c r="N769" t="str">
        <f t="shared" si="119"/>
        <v>6-2-2023</v>
      </c>
    </row>
    <row r="770" spans="1:14" x14ac:dyDescent="0.2">
      <c r="A770" s="1">
        <v>44965</v>
      </c>
      <c r="B770">
        <f>IFERROR(INDEX('planning dogs-n-tiger'!B$1:B$30,MATCH($H770,'planning dogs-n-tiger'!$G$1:$G$42,0)),0)</f>
        <v>53375</v>
      </c>
      <c r="C770">
        <f>IFERROR(INDEX('planning dogs-n-tiger'!C$1:C$30,MATCH($H770,'planning dogs-n-tiger'!$G$1:$G$42,0)),0)</f>
        <v>24223.54</v>
      </c>
      <c r="D770">
        <f>IFERROR(INDEX('planning dogs-n-tiger'!D$1:D$30,MATCH($H770,'planning dogs-n-tiger'!$G$1:$G$42,0)),0)</f>
        <v>26553.1</v>
      </c>
      <c r="E770">
        <f t="shared" ref="E770:E833" si="120">_xlfn.ISOWEEKNUM(A770)</f>
        <v>6</v>
      </c>
      <c r="F770">
        <f t="shared" ref="F770:F833" si="121">MONTH(A770)</f>
        <v>2</v>
      </c>
      <c r="G770">
        <f t="shared" ref="G770:G833" si="122">YEAR(A770)</f>
        <v>2023</v>
      </c>
      <c r="H770" t="str">
        <f t="shared" si="116"/>
        <v>22023</v>
      </c>
      <c r="I770">
        <f t="shared" si="117"/>
        <v>28</v>
      </c>
      <c r="J770">
        <f t="shared" ref="J770:J833" si="123">B770/$I770</f>
        <v>1906.25</v>
      </c>
      <c r="K770">
        <f t="shared" ref="K770:K833" si="124">C770/$I770</f>
        <v>865.12642857142862</v>
      </c>
      <c r="L770">
        <f t="shared" ref="L770:L833" si="125">D770/$I770</f>
        <v>948.32499999999993</v>
      </c>
      <c r="M770" t="str">
        <f t="shared" si="118"/>
        <v>62023</v>
      </c>
      <c r="N770" t="str">
        <f t="shared" si="119"/>
        <v>6-2-2023</v>
      </c>
    </row>
    <row r="771" spans="1:14" x14ac:dyDescent="0.2">
      <c r="A771" s="1">
        <v>44966</v>
      </c>
      <c r="B771">
        <f>IFERROR(INDEX('planning dogs-n-tiger'!B$1:B$30,MATCH($H771,'planning dogs-n-tiger'!$G$1:$G$42,0)),0)</f>
        <v>53375</v>
      </c>
      <c r="C771">
        <f>IFERROR(INDEX('planning dogs-n-tiger'!C$1:C$30,MATCH($H771,'planning dogs-n-tiger'!$G$1:$G$42,0)),0)</f>
        <v>24223.54</v>
      </c>
      <c r="D771">
        <f>IFERROR(INDEX('planning dogs-n-tiger'!D$1:D$30,MATCH($H771,'planning dogs-n-tiger'!$G$1:$G$42,0)),0)</f>
        <v>26553.1</v>
      </c>
      <c r="E771">
        <f t="shared" si="120"/>
        <v>6</v>
      </c>
      <c r="F771">
        <f t="shared" si="121"/>
        <v>2</v>
      </c>
      <c r="G771">
        <f t="shared" si="122"/>
        <v>2023</v>
      </c>
      <c r="H771" t="str">
        <f t="shared" ref="H771:H834" si="126">F771&amp;G771</f>
        <v>22023</v>
      </c>
      <c r="I771">
        <f t="shared" ref="I771:I834" si="127">DAY(EOMONTH(DATE(G771,F771,0),1))</f>
        <v>28</v>
      </c>
      <c r="J771">
        <f t="shared" si="123"/>
        <v>1906.25</v>
      </c>
      <c r="K771">
        <f t="shared" si="124"/>
        <v>865.12642857142862</v>
      </c>
      <c r="L771">
        <f t="shared" si="125"/>
        <v>948.32499999999993</v>
      </c>
      <c r="M771" t="str">
        <f t="shared" ref="M771:M834" si="128">E771&amp;G771</f>
        <v>62023</v>
      </c>
      <c r="N771" t="str">
        <f t="shared" ref="N771:N834" si="129">E771&amp;"-"&amp;F771&amp;"-"&amp;G771</f>
        <v>6-2-2023</v>
      </c>
    </row>
    <row r="772" spans="1:14" x14ac:dyDescent="0.2">
      <c r="A772" s="1">
        <v>44967</v>
      </c>
      <c r="B772">
        <f>IFERROR(INDEX('planning dogs-n-tiger'!B$1:B$30,MATCH($H772,'planning dogs-n-tiger'!$G$1:$G$42,0)),0)</f>
        <v>53375</v>
      </c>
      <c r="C772">
        <f>IFERROR(INDEX('planning dogs-n-tiger'!C$1:C$30,MATCH($H772,'planning dogs-n-tiger'!$G$1:$G$42,0)),0)</f>
        <v>24223.54</v>
      </c>
      <c r="D772">
        <f>IFERROR(INDEX('planning dogs-n-tiger'!D$1:D$30,MATCH($H772,'planning dogs-n-tiger'!$G$1:$G$42,0)),0)</f>
        <v>26553.1</v>
      </c>
      <c r="E772">
        <f t="shared" si="120"/>
        <v>6</v>
      </c>
      <c r="F772">
        <f t="shared" si="121"/>
        <v>2</v>
      </c>
      <c r="G772">
        <f t="shared" si="122"/>
        <v>2023</v>
      </c>
      <c r="H772" t="str">
        <f t="shared" si="126"/>
        <v>22023</v>
      </c>
      <c r="I772">
        <f t="shared" si="127"/>
        <v>28</v>
      </c>
      <c r="J772">
        <f t="shared" si="123"/>
        <v>1906.25</v>
      </c>
      <c r="K772">
        <f t="shared" si="124"/>
        <v>865.12642857142862</v>
      </c>
      <c r="L772">
        <f t="shared" si="125"/>
        <v>948.32499999999993</v>
      </c>
      <c r="M772" t="str">
        <f t="shared" si="128"/>
        <v>62023</v>
      </c>
      <c r="N772" t="str">
        <f t="shared" si="129"/>
        <v>6-2-2023</v>
      </c>
    </row>
    <row r="773" spans="1:14" x14ac:dyDescent="0.2">
      <c r="A773" s="1">
        <v>44968</v>
      </c>
      <c r="B773">
        <f>IFERROR(INDEX('planning dogs-n-tiger'!B$1:B$30,MATCH($H773,'planning dogs-n-tiger'!$G$1:$G$42,0)),0)</f>
        <v>53375</v>
      </c>
      <c r="C773">
        <f>IFERROR(INDEX('planning dogs-n-tiger'!C$1:C$30,MATCH($H773,'planning dogs-n-tiger'!$G$1:$G$42,0)),0)</f>
        <v>24223.54</v>
      </c>
      <c r="D773">
        <f>IFERROR(INDEX('planning dogs-n-tiger'!D$1:D$30,MATCH($H773,'planning dogs-n-tiger'!$G$1:$G$42,0)),0)</f>
        <v>26553.1</v>
      </c>
      <c r="E773">
        <f t="shared" si="120"/>
        <v>6</v>
      </c>
      <c r="F773">
        <f t="shared" si="121"/>
        <v>2</v>
      </c>
      <c r="G773">
        <f t="shared" si="122"/>
        <v>2023</v>
      </c>
      <c r="H773" t="str">
        <f t="shared" si="126"/>
        <v>22023</v>
      </c>
      <c r="I773">
        <f t="shared" si="127"/>
        <v>28</v>
      </c>
      <c r="J773">
        <f t="shared" si="123"/>
        <v>1906.25</v>
      </c>
      <c r="K773">
        <f t="shared" si="124"/>
        <v>865.12642857142862</v>
      </c>
      <c r="L773">
        <f t="shared" si="125"/>
        <v>948.32499999999993</v>
      </c>
      <c r="M773" t="str">
        <f t="shared" si="128"/>
        <v>62023</v>
      </c>
      <c r="N773" t="str">
        <f t="shared" si="129"/>
        <v>6-2-2023</v>
      </c>
    </row>
    <row r="774" spans="1:14" x14ac:dyDescent="0.2">
      <c r="A774" s="1">
        <v>44969</v>
      </c>
      <c r="B774">
        <f>IFERROR(INDEX('planning dogs-n-tiger'!B$1:B$30,MATCH($H774,'planning dogs-n-tiger'!$G$1:$G$42,0)),0)</f>
        <v>53375</v>
      </c>
      <c r="C774">
        <f>IFERROR(INDEX('planning dogs-n-tiger'!C$1:C$30,MATCH($H774,'planning dogs-n-tiger'!$G$1:$G$42,0)),0)</f>
        <v>24223.54</v>
      </c>
      <c r="D774">
        <f>IFERROR(INDEX('planning dogs-n-tiger'!D$1:D$30,MATCH($H774,'planning dogs-n-tiger'!$G$1:$G$42,0)),0)</f>
        <v>26553.1</v>
      </c>
      <c r="E774">
        <f t="shared" si="120"/>
        <v>6</v>
      </c>
      <c r="F774">
        <f t="shared" si="121"/>
        <v>2</v>
      </c>
      <c r="G774">
        <f t="shared" si="122"/>
        <v>2023</v>
      </c>
      <c r="H774" t="str">
        <f t="shared" si="126"/>
        <v>22023</v>
      </c>
      <c r="I774">
        <f t="shared" si="127"/>
        <v>28</v>
      </c>
      <c r="J774">
        <f t="shared" si="123"/>
        <v>1906.25</v>
      </c>
      <c r="K774">
        <f t="shared" si="124"/>
        <v>865.12642857142862</v>
      </c>
      <c r="L774">
        <f t="shared" si="125"/>
        <v>948.32499999999993</v>
      </c>
      <c r="M774" t="str">
        <f t="shared" si="128"/>
        <v>62023</v>
      </c>
      <c r="N774" t="str">
        <f t="shared" si="129"/>
        <v>6-2-2023</v>
      </c>
    </row>
    <row r="775" spans="1:14" x14ac:dyDescent="0.2">
      <c r="A775" s="1">
        <v>44970</v>
      </c>
      <c r="B775">
        <f>IFERROR(INDEX('planning dogs-n-tiger'!B$1:B$30,MATCH($H775,'planning dogs-n-tiger'!$G$1:$G$42,0)),0)</f>
        <v>53375</v>
      </c>
      <c r="C775">
        <f>IFERROR(INDEX('planning dogs-n-tiger'!C$1:C$30,MATCH($H775,'planning dogs-n-tiger'!$G$1:$G$42,0)),0)</f>
        <v>24223.54</v>
      </c>
      <c r="D775">
        <f>IFERROR(INDEX('planning dogs-n-tiger'!D$1:D$30,MATCH($H775,'planning dogs-n-tiger'!$G$1:$G$42,0)),0)</f>
        <v>26553.1</v>
      </c>
      <c r="E775">
        <f t="shared" si="120"/>
        <v>7</v>
      </c>
      <c r="F775">
        <f t="shared" si="121"/>
        <v>2</v>
      </c>
      <c r="G775">
        <f t="shared" si="122"/>
        <v>2023</v>
      </c>
      <c r="H775" t="str">
        <f t="shared" si="126"/>
        <v>22023</v>
      </c>
      <c r="I775">
        <f t="shared" si="127"/>
        <v>28</v>
      </c>
      <c r="J775">
        <f t="shared" si="123"/>
        <v>1906.25</v>
      </c>
      <c r="K775">
        <f t="shared" si="124"/>
        <v>865.12642857142862</v>
      </c>
      <c r="L775">
        <f t="shared" si="125"/>
        <v>948.32499999999993</v>
      </c>
      <c r="M775" t="str">
        <f t="shared" si="128"/>
        <v>72023</v>
      </c>
      <c r="N775" t="str">
        <f t="shared" si="129"/>
        <v>7-2-2023</v>
      </c>
    </row>
    <row r="776" spans="1:14" x14ac:dyDescent="0.2">
      <c r="A776" s="1">
        <v>44971</v>
      </c>
      <c r="B776">
        <f>IFERROR(INDEX('planning dogs-n-tiger'!B$1:B$30,MATCH($H776,'planning dogs-n-tiger'!$G$1:$G$42,0)),0)</f>
        <v>53375</v>
      </c>
      <c r="C776">
        <f>IFERROR(INDEX('planning dogs-n-tiger'!C$1:C$30,MATCH($H776,'planning dogs-n-tiger'!$G$1:$G$42,0)),0)</f>
        <v>24223.54</v>
      </c>
      <c r="D776">
        <f>IFERROR(INDEX('planning dogs-n-tiger'!D$1:D$30,MATCH($H776,'planning dogs-n-tiger'!$G$1:$G$42,0)),0)</f>
        <v>26553.1</v>
      </c>
      <c r="E776">
        <f t="shared" si="120"/>
        <v>7</v>
      </c>
      <c r="F776">
        <f t="shared" si="121"/>
        <v>2</v>
      </c>
      <c r="G776">
        <f t="shared" si="122"/>
        <v>2023</v>
      </c>
      <c r="H776" t="str">
        <f t="shared" si="126"/>
        <v>22023</v>
      </c>
      <c r="I776">
        <f t="shared" si="127"/>
        <v>28</v>
      </c>
      <c r="J776">
        <f t="shared" si="123"/>
        <v>1906.25</v>
      </c>
      <c r="K776">
        <f t="shared" si="124"/>
        <v>865.12642857142862</v>
      </c>
      <c r="L776">
        <f t="shared" si="125"/>
        <v>948.32499999999993</v>
      </c>
      <c r="M776" t="str">
        <f t="shared" si="128"/>
        <v>72023</v>
      </c>
      <c r="N776" t="str">
        <f t="shared" si="129"/>
        <v>7-2-2023</v>
      </c>
    </row>
    <row r="777" spans="1:14" x14ac:dyDescent="0.2">
      <c r="A777" s="1">
        <v>44972</v>
      </c>
      <c r="B777">
        <f>IFERROR(INDEX('planning dogs-n-tiger'!B$1:B$30,MATCH($H777,'planning dogs-n-tiger'!$G$1:$G$42,0)),0)</f>
        <v>53375</v>
      </c>
      <c r="C777">
        <f>IFERROR(INDEX('planning dogs-n-tiger'!C$1:C$30,MATCH($H777,'planning dogs-n-tiger'!$G$1:$G$42,0)),0)</f>
        <v>24223.54</v>
      </c>
      <c r="D777">
        <f>IFERROR(INDEX('planning dogs-n-tiger'!D$1:D$30,MATCH($H777,'planning dogs-n-tiger'!$G$1:$G$42,0)),0)</f>
        <v>26553.1</v>
      </c>
      <c r="E777">
        <f t="shared" si="120"/>
        <v>7</v>
      </c>
      <c r="F777">
        <f t="shared" si="121"/>
        <v>2</v>
      </c>
      <c r="G777">
        <f t="shared" si="122"/>
        <v>2023</v>
      </c>
      <c r="H777" t="str">
        <f t="shared" si="126"/>
        <v>22023</v>
      </c>
      <c r="I777">
        <f t="shared" si="127"/>
        <v>28</v>
      </c>
      <c r="J777">
        <f t="shared" si="123"/>
        <v>1906.25</v>
      </c>
      <c r="K777">
        <f t="shared" si="124"/>
        <v>865.12642857142862</v>
      </c>
      <c r="L777">
        <f t="shared" si="125"/>
        <v>948.32499999999993</v>
      </c>
      <c r="M777" t="str">
        <f t="shared" si="128"/>
        <v>72023</v>
      </c>
      <c r="N777" t="str">
        <f t="shared" si="129"/>
        <v>7-2-2023</v>
      </c>
    </row>
    <row r="778" spans="1:14" x14ac:dyDescent="0.2">
      <c r="A778" s="1">
        <v>44973</v>
      </c>
      <c r="B778">
        <f>IFERROR(INDEX('planning dogs-n-tiger'!B$1:B$30,MATCH($H778,'planning dogs-n-tiger'!$G$1:$G$42,0)),0)</f>
        <v>53375</v>
      </c>
      <c r="C778">
        <f>IFERROR(INDEX('planning dogs-n-tiger'!C$1:C$30,MATCH($H778,'planning dogs-n-tiger'!$G$1:$G$42,0)),0)</f>
        <v>24223.54</v>
      </c>
      <c r="D778">
        <f>IFERROR(INDEX('planning dogs-n-tiger'!D$1:D$30,MATCH($H778,'planning dogs-n-tiger'!$G$1:$G$42,0)),0)</f>
        <v>26553.1</v>
      </c>
      <c r="E778">
        <f t="shared" si="120"/>
        <v>7</v>
      </c>
      <c r="F778">
        <f t="shared" si="121"/>
        <v>2</v>
      </c>
      <c r="G778">
        <f t="shared" si="122"/>
        <v>2023</v>
      </c>
      <c r="H778" t="str">
        <f t="shared" si="126"/>
        <v>22023</v>
      </c>
      <c r="I778">
        <f t="shared" si="127"/>
        <v>28</v>
      </c>
      <c r="J778">
        <f t="shared" si="123"/>
        <v>1906.25</v>
      </c>
      <c r="K778">
        <f t="shared" si="124"/>
        <v>865.12642857142862</v>
      </c>
      <c r="L778">
        <f t="shared" si="125"/>
        <v>948.32499999999993</v>
      </c>
      <c r="M778" t="str">
        <f t="shared" si="128"/>
        <v>72023</v>
      </c>
      <c r="N778" t="str">
        <f t="shared" si="129"/>
        <v>7-2-2023</v>
      </c>
    </row>
    <row r="779" spans="1:14" x14ac:dyDescent="0.2">
      <c r="A779" s="1">
        <v>44974</v>
      </c>
      <c r="B779">
        <f>IFERROR(INDEX('planning dogs-n-tiger'!B$1:B$30,MATCH($H779,'planning dogs-n-tiger'!$G$1:$G$42,0)),0)</f>
        <v>53375</v>
      </c>
      <c r="C779">
        <f>IFERROR(INDEX('planning dogs-n-tiger'!C$1:C$30,MATCH($H779,'planning dogs-n-tiger'!$G$1:$G$42,0)),0)</f>
        <v>24223.54</v>
      </c>
      <c r="D779">
        <f>IFERROR(INDEX('planning dogs-n-tiger'!D$1:D$30,MATCH($H779,'planning dogs-n-tiger'!$G$1:$G$42,0)),0)</f>
        <v>26553.1</v>
      </c>
      <c r="E779">
        <f t="shared" si="120"/>
        <v>7</v>
      </c>
      <c r="F779">
        <f t="shared" si="121"/>
        <v>2</v>
      </c>
      <c r="G779">
        <f t="shared" si="122"/>
        <v>2023</v>
      </c>
      <c r="H779" t="str">
        <f t="shared" si="126"/>
        <v>22023</v>
      </c>
      <c r="I779">
        <f t="shared" si="127"/>
        <v>28</v>
      </c>
      <c r="J779">
        <f t="shared" si="123"/>
        <v>1906.25</v>
      </c>
      <c r="K779">
        <f t="shared" si="124"/>
        <v>865.12642857142862</v>
      </c>
      <c r="L779">
        <f t="shared" si="125"/>
        <v>948.32499999999993</v>
      </c>
      <c r="M779" t="str">
        <f t="shared" si="128"/>
        <v>72023</v>
      </c>
      <c r="N779" t="str">
        <f t="shared" si="129"/>
        <v>7-2-2023</v>
      </c>
    </row>
    <row r="780" spans="1:14" x14ac:dyDescent="0.2">
      <c r="A780" s="1">
        <v>44975</v>
      </c>
      <c r="B780">
        <f>IFERROR(INDEX('planning dogs-n-tiger'!B$1:B$30,MATCH($H780,'planning dogs-n-tiger'!$G$1:$G$42,0)),0)</f>
        <v>53375</v>
      </c>
      <c r="C780">
        <f>IFERROR(INDEX('planning dogs-n-tiger'!C$1:C$30,MATCH($H780,'planning dogs-n-tiger'!$G$1:$G$42,0)),0)</f>
        <v>24223.54</v>
      </c>
      <c r="D780">
        <f>IFERROR(INDEX('planning dogs-n-tiger'!D$1:D$30,MATCH($H780,'planning dogs-n-tiger'!$G$1:$G$42,0)),0)</f>
        <v>26553.1</v>
      </c>
      <c r="E780">
        <f t="shared" si="120"/>
        <v>7</v>
      </c>
      <c r="F780">
        <f t="shared" si="121"/>
        <v>2</v>
      </c>
      <c r="G780">
        <f t="shared" si="122"/>
        <v>2023</v>
      </c>
      <c r="H780" t="str">
        <f t="shared" si="126"/>
        <v>22023</v>
      </c>
      <c r="I780">
        <f t="shared" si="127"/>
        <v>28</v>
      </c>
      <c r="J780">
        <f t="shared" si="123"/>
        <v>1906.25</v>
      </c>
      <c r="K780">
        <f t="shared" si="124"/>
        <v>865.12642857142862</v>
      </c>
      <c r="L780">
        <f t="shared" si="125"/>
        <v>948.32499999999993</v>
      </c>
      <c r="M780" t="str">
        <f t="shared" si="128"/>
        <v>72023</v>
      </c>
      <c r="N780" t="str">
        <f t="shared" si="129"/>
        <v>7-2-2023</v>
      </c>
    </row>
    <row r="781" spans="1:14" x14ac:dyDescent="0.2">
      <c r="A781" s="1">
        <v>44976</v>
      </c>
      <c r="B781">
        <f>IFERROR(INDEX('planning dogs-n-tiger'!B$1:B$30,MATCH($H781,'planning dogs-n-tiger'!$G$1:$G$42,0)),0)</f>
        <v>53375</v>
      </c>
      <c r="C781">
        <f>IFERROR(INDEX('planning dogs-n-tiger'!C$1:C$30,MATCH($H781,'planning dogs-n-tiger'!$G$1:$G$42,0)),0)</f>
        <v>24223.54</v>
      </c>
      <c r="D781">
        <f>IFERROR(INDEX('planning dogs-n-tiger'!D$1:D$30,MATCH($H781,'planning dogs-n-tiger'!$G$1:$G$42,0)),0)</f>
        <v>26553.1</v>
      </c>
      <c r="E781">
        <f t="shared" si="120"/>
        <v>7</v>
      </c>
      <c r="F781">
        <f t="shared" si="121"/>
        <v>2</v>
      </c>
      <c r="G781">
        <f t="shared" si="122"/>
        <v>2023</v>
      </c>
      <c r="H781" t="str">
        <f t="shared" si="126"/>
        <v>22023</v>
      </c>
      <c r="I781">
        <f t="shared" si="127"/>
        <v>28</v>
      </c>
      <c r="J781">
        <f t="shared" si="123"/>
        <v>1906.25</v>
      </c>
      <c r="K781">
        <f t="shared" si="124"/>
        <v>865.12642857142862</v>
      </c>
      <c r="L781">
        <f t="shared" si="125"/>
        <v>948.32499999999993</v>
      </c>
      <c r="M781" t="str">
        <f t="shared" si="128"/>
        <v>72023</v>
      </c>
      <c r="N781" t="str">
        <f t="shared" si="129"/>
        <v>7-2-2023</v>
      </c>
    </row>
    <row r="782" spans="1:14" x14ac:dyDescent="0.2">
      <c r="A782" s="1">
        <v>44977</v>
      </c>
      <c r="B782">
        <f>IFERROR(INDEX('planning dogs-n-tiger'!B$1:B$30,MATCH($H782,'planning dogs-n-tiger'!$G$1:$G$42,0)),0)</f>
        <v>53375</v>
      </c>
      <c r="C782">
        <f>IFERROR(INDEX('planning dogs-n-tiger'!C$1:C$30,MATCH($H782,'planning dogs-n-tiger'!$G$1:$G$42,0)),0)</f>
        <v>24223.54</v>
      </c>
      <c r="D782">
        <f>IFERROR(INDEX('planning dogs-n-tiger'!D$1:D$30,MATCH($H782,'planning dogs-n-tiger'!$G$1:$G$42,0)),0)</f>
        <v>26553.1</v>
      </c>
      <c r="E782">
        <f t="shared" si="120"/>
        <v>8</v>
      </c>
      <c r="F782">
        <f t="shared" si="121"/>
        <v>2</v>
      </c>
      <c r="G782">
        <f t="shared" si="122"/>
        <v>2023</v>
      </c>
      <c r="H782" t="str">
        <f t="shared" si="126"/>
        <v>22023</v>
      </c>
      <c r="I782">
        <f t="shared" si="127"/>
        <v>28</v>
      </c>
      <c r="J782">
        <f t="shared" si="123"/>
        <v>1906.25</v>
      </c>
      <c r="K782">
        <f t="shared" si="124"/>
        <v>865.12642857142862</v>
      </c>
      <c r="L782">
        <f t="shared" si="125"/>
        <v>948.32499999999993</v>
      </c>
      <c r="M782" t="str">
        <f t="shared" si="128"/>
        <v>82023</v>
      </c>
      <c r="N782" t="str">
        <f t="shared" si="129"/>
        <v>8-2-2023</v>
      </c>
    </row>
    <row r="783" spans="1:14" x14ac:dyDescent="0.2">
      <c r="A783" s="1">
        <v>44978</v>
      </c>
      <c r="B783">
        <f>IFERROR(INDEX('planning dogs-n-tiger'!B$1:B$30,MATCH($H783,'planning dogs-n-tiger'!$G$1:$G$42,0)),0)</f>
        <v>53375</v>
      </c>
      <c r="C783">
        <f>IFERROR(INDEX('planning dogs-n-tiger'!C$1:C$30,MATCH($H783,'planning dogs-n-tiger'!$G$1:$G$42,0)),0)</f>
        <v>24223.54</v>
      </c>
      <c r="D783">
        <f>IFERROR(INDEX('planning dogs-n-tiger'!D$1:D$30,MATCH($H783,'planning dogs-n-tiger'!$G$1:$G$42,0)),0)</f>
        <v>26553.1</v>
      </c>
      <c r="E783">
        <f t="shared" si="120"/>
        <v>8</v>
      </c>
      <c r="F783">
        <f t="shared" si="121"/>
        <v>2</v>
      </c>
      <c r="G783">
        <f t="shared" si="122"/>
        <v>2023</v>
      </c>
      <c r="H783" t="str">
        <f t="shared" si="126"/>
        <v>22023</v>
      </c>
      <c r="I783">
        <f t="shared" si="127"/>
        <v>28</v>
      </c>
      <c r="J783">
        <f t="shared" si="123"/>
        <v>1906.25</v>
      </c>
      <c r="K783">
        <f t="shared" si="124"/>
        <v>865.12642857142862</v>
      </c>
      <c r="L783">
        <f t="shared" si="125"/>
        <v>948.32499999999993</v>
      </c>
      <c r="M783" t="str">
        <f t="shared" si="128"/>
        <v>82023</v>
      </c>
      <c r="N783" t="str">
        <f t="shared" si="129"/>
        <v>8-2-2023</v>
      </c>
    </row>
    <row r="784" spans="1:14" x14ac:dyDescent="0.2">
      <c r="A784" s="1">
        <v>44979</v>
      </c>
      <c r="B784">
        <f>IFERROR(INDEX('planning dogs-n-tiger'!B$1:B$30,MATCH($H784,'planning dogs-n-tiger'!$G$1:$G$42,0)),0)</f>
        <v>53375</v>
      </c>
      <c r="C784">
        <f>IFERROR(INDEX('planning dogs-n-tiger'!C$1:C$30,MATCH($H784,'planning dogs-n-tiger'!$G$1:$G$42,0)),0)</f>
        <v>24223.54</v>
      </c>
      <c r="D784">
        <f>IFERROR(INDEX('planning dogs-n-tiger'!D$1:D$30,MATCH($H784,'planning dogs-n-tiger'!$G$1:$G$42,0)),0)</f>
        <v>26553.1</v>
      </c>
      <c r="E784">
        <f t="shared" si="120"/>
        <v>8</v>
      </c>
      <c r="F784">
        <f t="shared" si="121"/>
        <v>2</v>
      </c>
      <c r="G784">
        <f t="shared" si="122"/>
        <v>2023</v>
      </c>
      <c r="H784" t="str">
        <f t="shared" si="126"/>
        <v>22023</v>
      </c>
      <c r="I784">
        <f t="shared" si="127"/>
        <v>28</v>
      </c>
      <c r="J784">
        <f t="shared" si="123"/>
        <v>1906.25</v>
      </c>
      <c r="K784">
        <f t="shared" si="124"/>
        <v>865.12642857142862</v>
      </c>
      <c r="L784">
        <f t="shared" si="125"/>
        <v>948.32499999999993</v>
      </c>
      <c r="M784" t="str">
        <f t="shared" si="128"/>
        <v>82023</v>
      </c>
      <c r="N784" t="str">
        <f t="shared" si="129"/>
        <v>8-2-2023</v>
      </c>
    </row>
    <row r="785" spans="1:14" x14ac:dyDescent="0.2">
      <c r="A785" s="1">
        <v>44980</v>
      </c>
      <c r="B785">
        <f>IFERROR(INDEX('planning dogs-n-tiger'!B$1:B$30,MATCH($H785,'planning dogs-n-tiger'!$G$1:$G$42,0)),0)</f>
        <v>53375</v>
      </c>
      <c r="C785">
        <f>IFERROR(INDEX('planning dogs-n-tiger'!C$1:C$30,MATCH($H785,'planning dogs-n-tiger'!$G$1:$G$42,0)),0)</f>
        <v>24223.54</v>
      </c>
      <c r="D785">
        <f>IFERROR(INDEX('planning dogs-n-tiger'!D$1:D$30,MATCH($H785,'planning dogs-n-tiger'!$G$1:$G$42,0)),0)</f>
        <v>26553.1</v>
      </c>
      <c r="E785">
        <f t="shared" si="120"/>
        <v>8</v>
      </c>
      <c r="F785">
        <f t="shared" si="121"/>
        <v>2</v>
      </c>
      <c r="G785">
        <f t="shared" si="122"/>
        <v>2023</v>
      </c>
      <c r="H785" t="str">
        <f t="shared" si="126"/>
        <v>22023</v>
      </c>
      <c r="I785">
        <f t="shared" si="127"/>
        <v>28</v>
      </c>
      <c r="J785">
        <f t="shared" si="123"/>
        <v>1906.25</v>
      </c>
      <c r="K785">
        <f t="shared" si="124"/>
        <v>865.12642857142862</v>
      </c>
      <c r="L785">
        <f t="shared" si="125"/>
        <v>948.32499999999993</v>
      </c>
      <c r="M785" t="str">
        <f t="shared" si="128"/>
        <v>82023</v>
      </c>
      <c r="N785" t="str">
        <f t="shared" si="129"/>
        <v>8-2-2023</v>
      </c>
    </row>
    <row r="786" spans="1:14" x14ac:dyDescent="0.2">
      <c r="A786" s="1">
        <v>44981</v>
      </c>
      <c r="B786">
        <f>IFERROR(INDEX('planning dogs-n-tiger'!B$1:B$30,MATCH($H786,'planning dogs-n-tiger'!$G$1:$G$42,0)),0)</f>
        <v>53375</v>
      </c>
      <c r="C786">
        <f>IFERROR(INDEX('planning dogs-n-tiger'!C$1:C$30,MATCH($H786,'planning dogs-n-tiger'!$G$1:$G$42,0)),0)</f>
        <v>24223.54</v>
      </c>
      <c r="D786">
        <f>IFERROR(INDEX('planning dogs-n-tiger'!D$1:D$30,MATCH($H786,'planning dogs-n-tiger'!$G$1:$G$42,0)),0)</f>
        <v>26553.1</v>
      </c>
      <c r="E786">
        <f t="shared" si="120"/>
        <v>8</v>
      </c>
      <c r="F786">
        <f t="shared" si="121"/>
        <v>2</v>
      </c>
      <c r="G786">
        <f t="shared" si="122"/>
        <v>2023</v>
      </c>
      <c r="H786" t="str">
        <f t="shared" si="126"/>
        <v>22023</v>
      </c>
      <c r="I786">
        <f t="shared" si="127"/>
        <v>28</v>
      </c>
      <c r="J786">
        <f t="shared" si="123"/>
        <v>1906.25</v>
      </c>
      <c r="K786">
        <f t="shared" si="124"/>
        <v>865.12642857142862</v>
      </c>
      <c r="L786">
        <f t="shared" si="125"/>
        <v>948.32499999999993</v>
      </c>
      <c r="M786" t="str">
        <f t="shared" si="128"/>
        <v>82023</v>
      </c>
      <c r="N786" t="str">
        <f t="shared" si="129"/>
        <v>8-2-2023</v>
      </c>
    </row>
    <row r="787" spans="1:14" x14ac:dyDescent="0.2">
      <c r="A787" s="1">
        <v>44982</v>
      </c>
      <c r="B787">
        <f>IFERROR(INDEX('planning dogs-n-tiger'!B$1:B$30,MATCH($H787,'planning dogs-n-tiger'!$G$1:$G$42,0)),0)</f>
        <v>53375</v>
      </c>
      <c r="C787">
        <f>IFERROR(INDEX('planning dogs-n-tiger'!C$1:C$30,MATCH($H787,'planning dogs-n-tiger'!$G$1:$G$42,0)),0)</f>
        <v>24223.54</v>
      </c>
      <c r="D787">
        <f>IFERROR(INDEX('planning dogs-n-tiger'!D$1:D$30,MATCH($H787,'planning dogs-n-tiger'!$G$1:$G$42,0)),0)</f>
        <v>26553.1</v>
      </c>
      <c r="E787">
        <f t="shared" si="120"/>
        <v>8</v>
      </c>
      <c r="F787">
        <f t="shared" si="121"/>
        <v>2</v>
      </c>
      <c r="G787">
        <f t="shared" si="122"/>
        <v>2023</v>
      </c>
      <c r="H787" t="str">
        <f t="shared" si="126"/>
        <v>22023</v>
      </c>
      <c r="I787">
        <f t="shared" si="127"/>
        <v>28</v>
      </c>
      <c r="J787">
        <f t="shared" si="123"/>
        <v>1906.25</v>
      </c>
      <c r="K787">
        <f t="shared" si="124"/>
        <v>865.12642857142862</v>
      </c>
      <c r="L787">
        <f t="shared" si="125"/>
        <v>948.32499999999993</v>
      </c>
      <c r="M787" t="str">
        <f t="shared" si="128"/>
        <v>82023</v>
      </c>
      <c r="N787" t="str">
        <f t="shared" si="129"/>
        <v>8-2-2023</v>
      </c>
    </row>
    <row r="788" spans="1:14" x14ac:dyDescent="0.2">
      <c r="A788" s="1">
        <v>44983</v>
      </c>
      <c r="B788">
        <f>IFERROR(INDEX('planning dogs-n-tiger'!B$1:B$30,MATCH($H788,'planning dogs-n-tiger'!$G$1:$G$42,0)),0)</f>
        <v>53375</v>
      </c>
      <c r="C788">
        <f>IFERROR(INDEX('planning dogs-n-tiger'!C$1:C$30,MATCH($H788,'planning dogs-n-tiger'!$G$1:$G$42,0)),0)</f>
        <v>24223.54</v>
      </c>
      <c r="D788">
        <f>IFERROR(INDEX('planning dogs-n-tiger'!D$1:D$30,MATCH($H788,'planning dogs-n-tiger'!$G$1:$G$42,0)),0)</f>
        <v>26553.1</v>
      </c>
      <c r="E788">
        <f t="shared" si="120"/>
        <v>8</v>
      </c>
      <c r="F788">
        <f t="shared" si="121"/>
        <v>2</v>
      </c>
      <c r="G788">
        <f t="shared" si="122"/>
        <v>2023</v>
      </c>
      <c r="H788" t="str">
        <f t="shared" si="126"/>
        <v>22023</v>
      </c>
      <c r="I788">
        <f t="shared" si="127"/>
        <v>28</v>
      </c>
      <c r="J788">
        <f t="shared" si="123"/>
        <v>1906.25</v>
      </c>
      <c r="K788">
        <f t="shared" si="124"/>
        <v>865.12642857142862</v>
      </c>
      <c r="L788">
        <f t="shared" si="125"/>
        <v>948.32499999999993</v>
      </c>
      <c r="M788" t="str">
        <f t="shared" si="128"/>
        <v>82023</v>
      </c>
      <c r="N788" t="str">
        <f t="shared" si="129"/>
        <v>8-2-2023</v>
      </c>
    </row>
    <row r="789" spans="1:14" x14ac:dyDescent="0.2">
      <c r="A789" s="1">
        <v>44984</v>
      </c>
      <c r="B789">
        <f>IFERROR(INDEX('planning dogs-n-tiger'!B$1:B$30,MATCH($H789,'planning dogs-n-tiger'!$G$1:$G$42,0)),0)</f>
        <v>53375</v>
      </c>
      <c r="C789">
        <f>IFERROR(INDEX('planning dogs-n-tiger'!C$1:C$30,MATCH($H789,'planning dogs-n-tiger'!$G$1:$G$42,0)),0)</f>
        <v>24223.54</v>
      </c>
      <c r="D789">
        <f>IFERROR(INDEX('planning dogs-n-tiger'!D$1:D$30,MATCH($H789,'planning dogs-n-tiger'!$G$1:$G$42,0)),0)</f>
        <v>26553.1</v>
      </c>
      <c r="E789">
        <f t="shared" si="120"/>
        <v>9</v>
      </c>
      <c r="F789">
        <f t="shared" si="121"/>
        <v>2</v>
      </c>
      <c r="G789">
        <f t="shared" si="122"/>
        <v>2023</v>
      </c>
      <c r="H789" t="str">
        <f t="shared" si="126"/>
        <v>22023</v>
      </c>
      <c r="I789">
        <f t="shared" si="127"/>
        <v>28</v>
      </c>
      <c r="J789">
        <f t="shared" si="123"/>
        <v>1906.25</v>
      </c>
      <c r="K789">
        <f t="shared" si="124"/>
        <v>865.12642857142862</v>
      </c>
      <c r="L789">
        <f t="shared" si="125"/>
        <v>948.32499999999993</v>
      </c>
      <c r="M789" t="str">
        <f t="shared" si="128"/>
        <v>92023</v>
      </c>
      <c r="N789" t="str">
        <f t="shared" si="129"/>
        <v>9-2-2023</v>
      </c>
    </row>
    <row r="790" spans="1:14" x14ac:dyDescent="0.2">
      <c r="A790" s="1">
        <v>44985</v>
      </c>
      <c r="B790">
        <f>IFERROR(INDEX('planning dogs-n-tiger'!B$1:B$30,MATCH($H790,'planning dogs-n-tiger'!$G$1:$G$42,0)),0)</f>
        <v>53375</v>
      </c>
      <c r="C790">
        <f>IFERROR(INDEX('planning dogs-n-tiger'!C$1:C$30,MATCH($H790,'planning dogs-n-tiger'!$G$1:$G$42,0)),0)</f>
        <v>24223.54</v>
      </c>
      <c r="D790">
        <f>IFERROR(INDEX('planning dogs-n-tiger'!D$1:D$30,MATCH($H790,'planning dogs-n-tiger'!$G$1:$G$42,0)),0)</f>
        <v>26553.1</v>
      </c>
      <c r="E790">
        <f t="shared" si="120"/>
        <v>9</v>
      </c>
      <c r="F790">
        <f t="shared" si="121"/>
        <v>2</v>
      </c>
      <c r="G790">
        <f t="shared" si="122"/>
        <v>2023</v>
      </c>
      <c r="H790" t="str">
        <f t="shared" si="126"/>
        <v>22023</v>
      </c>
      <c r="I790">
        <f t="shared" si="127"/>
        <v>28</v>
      </c>
      <c r="J790">
        <f t="shared" si="123"/>
        <v>1906.25</v>
      </c>
      <c r="K790">
        <f t="shared" si="124"/>
        <v>865.12642857142862</v>
      </c>
      <c r="L790">
        <f t="shared" si="125"/>
        <v>948.32499999999993</v>
      </c>
      <c r="M790" t="str">
        <f t="shared" si="128"/>
        <v>92023</v>
      </c>
      <c r="N790" t="str">
        <f t="shared" si="129"/>
        <v>9-2-2023</v>
      </c>
    </row>
    <row r="791" spans="1:14" x14ac:dyDescent="0.2">
      <c r="A791" s="1">
        <v>44986</v>
      </c>
      <c r="B791">
        <f>IFERROR(INDEX('planning dogs-n-tiger'!B$1:B$30,MATCH($H791,'planning dogs-n-tiger'!$G$1:$G$42,0)),0)</f>
        <v>45541.08</v>
      </c>
      <c r="C791">
        <f>IFERROR(INDEX('planning dogs-n-tiger'!C$1:C$30,MATCH($H791,'planning dogs-n-tiger'!$G$1:$G$42,0)),0)</f>
        <v>25893</v>
      </c>
      <c r="D791">
        <f>IFERROR(INDEX('planning dogs-n-tiger'!D$1:D$30,MATCH($H791,'planning dogs-n-tiger'!$G$1:$G$42,0)),0)</f>
        <v>14285.57</v>
      </c>
      <c r="E791">
        <f t="shared" si="120"/>
        <v>9</v>
      </c>
      <c r="F791">
        <f t="shared" si="121"/>
        <v>3</v>
      </c>
      <c r="G791">
        <f t="shared" si="122"/>
        <v>2023</v>
      </c>
      <c r="H791" t="str">
        <f t="shared" si="126"/>
        <v>32023</v>
      </c>
      <c r="I791">
        <f t="shared" si="127"/>
        <v>31</v>
      </c>
      <c r="J791">
        <f t="shared" si="123"/>
        <v>1469.0670967741937</v>
      </c>
      <c r="K791">
        <f t="shared" si="124"/>
        <v>835.25806451612902</v>
      </c>
      <c r="L791">
        <f t="shared" si="125"/>
        <v>460.82483870967741</v>
      </c>
      <c r="M791" t="str">
        <f t="shared" si="128"/>
        <v>92023</v>
      </c>
      <c r="N791" t="str">
        <f t="shared" si="129"/>
        <v>9-3-2023</v>
      </c>
    </row>
    <row r="792" spans="1:14" x14ac:dyDescent="0.2">
      <c r="A792" s="1">
        <v>44987</v>
      </c>
      <c r="B792">
        <f>IFERROR(INDEX('planning dogs-n-tiger'!B$1:B$30,MATCH($H792,'planning dogs-n-tiger'!$G$1:$G$42,0)),0)</f>
        <v>45541.08</v>
      </c>
      <c r="C792">
        <f>IFERROR(INDEX('planning dogs-n-tiger'!C$1:C$30,MATCH($H792,'planning dogs-n-tiger'!$G$1:$G$42,0)),0)</f>
        <v>25893</v>
      </c>
      <c r="D792">
        <f>IFERROR(INDEX('planning dogs-n-tiger'!D$1:D$30,MATCH($H792,'planning dogs-n-tiger'!$G$1:$G$42,0)),0)</f>
        <v>14285.57</v>
      </c>
      <c r="E792">
        <f t="shared" si="120"/>
        <v>9</v>
      </c>
      <c r="F792">
        <f t="shared" si="121"/>
        <v>3</v>
      </c>
      <c r="G792">
        <f t="shared" si="122"/>
        <v>2023</v>
      </c>
      <c r="H792" t="str">
        <f t="shared" si="126"/>
        <v>32023</v>
      </c>
      <c r="I792">
        <f t="shared" si="127"/>
        <v>31</v>
      </c>
      <c r="J792">
        <f t="shared" si="123"/>
        <v>1469.0670967741937</v>
      </c>
      <c r="K792">
        <f t="shared" si="124"/>
        <v>835.25806451612902</v>
      </c>
      <c r="L792">
        <f t="shared" si="125"/>
        <v>460.82483870967741</v>
      </c>
      <c r="M792" t="str">
        <f t="shared" si="128"/>
        <v>92023</v>
      </c>
      <c r="N792" t="str">
        <f t="shared" si="129"/>
        <v>9-3-2023</v>
      </c>
    </row>
    <row r="793" spans="1:14" x14ac:dyDescent="0.2">
      <c r="A793" s="1">
        <v>44988</v>
      </c>
      <c r="B793">
        <f>IFERROR(INDEX('planning dogs-n-tiger'!B$1:B$30,MATCH($H793,'planning dogs-n-tiger'!$G$1:$G$42,0)),0)</f>
        <v>45541.08</v>
      </c>
      <c r="C793">
        <f>IFERROR(INDEX('planning dogs-n-tiger'!C$1:C$30,MATCH($H793,'planning dogs-n-tiger'!$G$1:$G$42,0)),0)</f>
        <v>25893</v>
      </c>
      <c r="D793">
        <f>IFERROR(INDEX('planning dogs-n-tiger'!D$1:D$30,MATCH($H793,'planning dogs-n-tiger'!$G$1:$G$42,0)),0)</f>
        <v>14285.57</v>
      </c>
      <c r="E793">
        <f t="shared" si="120"/>
        <v>9</v>
      </c>
      <c r="F793">
        <f t="shared" si="121"/>
        <v>3</v>
      </c>
      <c r="G793">
        <f t="shared" si="122"/>
        <v>2023</v>
      </c>
      <c r="H793" t="str">
        <f t="shared" si="126"/>
        <v>32023</v>
      </c>
      <c r="I793">
        <f t="shared" si="127"/>
        <v>31</v>
      </c>
      <c r="J793">
        <f t="shared" si="123"/>
        <v>1469.0670967741937</v>
      </c>
      <c r="K793">
        <f t="shared" si="124"/>
        <v>835.25806451612902</v>
      </c>
      <c r="L793">
        <f t="shared" si="125"/>
        <v>460.82483870967741</v>
      </c>
      <c r="M793" t="str">
        <f t="shared" si="128"/>
        <v>92023</v>
      </c>
      <c r="N793" t="str">
        <f t="shared" si="129"/>
        <v>9-3-2023</v>
      </c>
    </row>
    <row r="794" spans="1:14" x14ac:dyDescent="0.2">
      <c r="A794" s="1">
        <v>44989</v>
      </c>
      <c r="B794">
        <f>IFERROR(INDEX('planning dogs-n-tiger'!B$1:B$30,MATCH($H794,'planning dogs-n-tiger'!$G$1:$G$42,0)),0)</f>
        <v>45541.08</v>
      </c>
      <c r="C794">
        <f>IFERROR(INDEX('planning dogs-n-tiger'!C$1:C$30,MATCH($H794,'planning dogs-n-tiger'!$G$1:$G$42,0)),0)</f>
        <v>25893</v>
      </c>
      <c r="D794">
        <f>IFERROR(INDEX('planning dogs-n-tiger'!D$1:D$30,MATCH($H794,'planning dogs-n-tiger'!$G$1:$G$42,0)),0)</f>
        <v>14285.57</v>
      </c>
      <c r="E794">
        <f t="shared" si="120"/>
        <v>9</v>
      </c>
      <c r="F794">
        <f t="shared" si="121"/>
        <v>3</v>
      </c>
      <c r="G794">
        <f t="shared" si="122"/>
        <v>2023</v>
      </c>
      <c r="H794" t="str">
        <f t="shared" si="126"/>
        <v>32023</v>
      </c>
      <c r="I794">
        <f t="shared" si="127"/>
        <v>31</v>
      </c>
      <c r="J794">
        <f t="shared" si="123"/>
        <v>1469.0670967741937</v>
      </c>
      <c r="K794">
        <f t="shared" si="124"/>
        <v>835.25806451612902</v>
      </c>
      <c r="L794">
        <f t="shared" si="125"/>
        <v>460.82483870967741</v>
      </c>
      <c r="M794" t="str">
        <f t="shared" si="128"/>
        <v>92023</v>
      </c>
      <c r="N794" t="str">
        <f t="shared" si="129"/>
        <v>9-3-2023</v>
      </c>
    </row>
    <row r="795" spans="1:14" x14ac:dyDescent="0.2">
      <c r="A795" s="1">
        <v>44990</v>
      </c>
      <c r="B795">
        <f>IFERROR(INDEX('planning dogs-n-tiger'!B$1:B$30,MATCH($H795,'planning dogs-n-tiger'!$G$1:$G$42,0)),0)</f>
        <v>45541.08</v>
      </c>
      <c r="C795">
        <f>IFERROR(INDEX('planning dogs-n-tiger'!C$1:C$30,MATCH($H795,'planning dogs-n-tiger'!$G$1:$G$42,0)),0)</f>
        <v>25893</v>
      </c>
      <c r="D795">
        <f>IFERROR(INDEX('planning dogs-n-tiger'!D$1:D$30,MATCH($H795,'planning dogs-n-tiger'!$G$1:$G$42,0)),0)</f>
        <v>14285.57</v>
      </c>
      <c r="E795">
        <f t="shared" si="120"/>
        <v>9</v>
      </c>
      <c r="F795">
        <f t="shared" si="121"/>
        <v>3</v>
      </c>
      <c r="G795">
        <f t="shared" si="122"/>
        <v>2023</v>
      </c>
      <c r="H795" t="str">
        <f t="shared" si="126"/>
        <v>32023</v>
      </c>
      <c r="I795">
        <f t="shared" si="127"/>
        <v>31</v>
      </c>
      <c r="J795">
        <f t="shared" si="123"/>
        <v>1469.0670967741937</v>
      </c>
      <c r="K795">
        <f t="shared" si="124"/>
        <v>835.25806451612902</v>
      </c>
      <c r="L795">
        <f t="shared" si="125"/>
        <v>460.82483870967741</v>
      </c>
      <c r="M795" t="str">
        <f t="shared" si="128"/>
        <v>92023</v>
      </c>
      <c r="N795" t="str">
        <f t="shared" si="129"/>
        <v>9-3-2023</v>
      </c>
    </row>
    <row r="796" spans="1:14" x14ac:dyDescent="0.2">
      <c r="A796" s="1">
        <v>44991</v>
      </c>
      <c r="B796">
        <f>IFERROR(INDEX('planning dogs-n-tiger'!B$1:B$30,MATCH($H796,'planning dogs-n-tiger'!$G$1:$G$42,0)),0)</f>
        <v>45541.08</v>
      </c>
      <c r="C796">
        <f>IFERROR(INDEX('planning dogs-n-tiger'!C$1:C$30,MATCH($H796,'planning dogs-n-tiger'!$G$1:$G$42,0)),0)</f>
        <v>25893</v>
      </c>
      <c r="D796">
        <f>IFERROR(INDEX('planning dogs-n-tiger'!D$1:D$30,MATCH($H796,'planning dogs-n-tiger'!$G$1:$G$42,0)),0)</f>
        <v>14285.57</v>
      </c>
      <c r="E796">
        <f t="shared" si="120"/>
        <v>10</v>
      </c>
      <c r="F796">
        <f t="shared" si="121"/>
        <v>3</v>
      </c>
      <c r="G796">
        <f t="shared" si="122"/>
        <v>2023</v>
      </c>
      <c r="H796" t="str">
        <f t="shared" si="126"/>
        <v>32023</v>
      </c>
      <c r="I796">
        <f t="shared" si="127"/>
        <v>31</v>
      </c>
      <c r="J796">
        <f t="shared" si="123"/>
        <v>1469.0670967741937</v>
      </c>
      <c r="K796">
        <f t="shared" si="124"/>
        <v>835.25806451612902</v>
      </c>
      <c r="L796">
        <f t="shared" si="125"/>
        <v>460.82483870967741</v>
      </c>
      <c r="M796" t="str">
        <f t="shared" si="128"/>
        <v>102023</v>
      </c>
      <c r="N796" t="str">
        <f t="shared" si="129"/>
        <v>10-3-2023</v>
      </c>
    </row>
    <row r="797" spans="1:14" x14ac:dyDescent="0.2">
      <c r="A797" s="1">
        <v>44992</v>
      </c>
      <c r="B797">
        <f>IFERROR(INDEX('planning dogs-n-tiger'!B$1:B$30,MATCH($H797,'planning dogs-n-tiger'!$G$1:$G$42,0)),0)</f>
        <v>45541.08</v>
      </c>
      <c r="C797">
        <f>IFERROR(INDEX('planning dogs-n-tiger'!C$1:C$30,MATCH($H797,'planning dogs-n-tiger'!$G$1:$G$42,0)),0)</f>
        <v>25893</v>
      </c>
      <c r="D797">
        <f>IFERROR(INDEX('planning dogs-n-tiger'!D$1:D$30,MATCH($H797,'planning dogs-n-tiger'!$G$1:$G$42,0)),0)</f>
        <v>14285.57</v>
      </c>
      <c r="E797">
        <f t="shared" si="120"/>
        <v>10</v>
      </c>
      <c r="F797">
        <f t="shared" si="121"/>
        <v>3</v>
      </c>
      <c r="G797">
        <f t="shared" si="122"/>
        <v>2023</v>
      </c>
      <c r="H797" t="str">
        <f t="shared" si="126"/>
        <v>32023</v>
      </c>
      <c r="I797">
        <f t="shared" si="127"/>
        <v>31</v>
      </c>
      <c r="J797">
        <f t="shared" si="123"/>
        <v>1469.0670967741937</v>
      </c>
      <c r="K797">
        <f t="shared" si="124"/>
        <v>835.25806451612902</v>
      </c>
      <c r="L797">
        <f t="shared" si="125"/>
        <v>460.82483870967741</v>
      </c>
      <c r="M797" t="str">
        <f t="shared" si="128"/>
        <v>102023</v>
      </c>
      <c r="N797" t="str">
        <f t="shared" si="129"/>
        <v>10-3-2023</v>
      </c>
    </row>
    <row r="798" spans="1:14" x14ac:dyDescent="0.2">
      <c r="A798" s="1">
        <v>44993</v>
      </c>
      <c r="B798">
        <f>IFERROR(INDEX('planning dogs-n-tiger'!B$1:B$30,MATCH($H798,'planning dogs-n-tiger'!$G$1:$G$42,0)),0)</f>
        <v>45541.08</v>
      </c>
      <c r="C798">
        <f>IFERROR(INDEX('planning dogs-n-tiger'!C$1:C$30,MATCH($H798,'planning dogs-n-tiger'!$G$1:$G$42,0)),0)</f>
        <v>25893</v>
      </c>
      <c r="D798">
        <f>IFERROR(INDEX('planning dogs-n-tiger'!D$1:D$30,MATCH($H798,'planning dogs-n-tiger'!$G$1:$G$42,0)),0)</f>
        <v>14285.57</v>
      </c>
      <c r="E798">
        <f t="shared" si="120"/>
        <v>10</v>
      </c>
      <c r="F798">
        <f t="shared" si="121"/>
        <v>3</v>
      </c>
      <c r="G798">
        <f t="shared" si="122"/>
        <v>2023</v>
      </c>
      <c r="H798" t="str">
        <f t="shared" si="126"/>
        <v>32023</v>
      </c>
      <c r="I798">
        <f t="shared" si="127"/>
        <v>31</v>
      </c>
      <c r="J798">
        <f t="shared" si="123"/>
        <v>1469.0670967741937</v>
      </c>
      <c r="K798">
        <f t="shared" si="124"/>
        <v>835.25806451612902</v>
      </c>
      <c r="L798">
        <f t="shared" si="125"/>
        <v>460.82483870967741</v>
      </c>
      <c r="M798" t="str">
        <f t="shared" si="128"/>
        <v>102023</v>
      </c>
      <c r="N798" t="str">
        <f t="shared" si="129"/>
        <v>10-3-2023</v>
      </c>
    </row>
    <row r="799" spans="1:14" x14ac:dyDescent="0.2">
      <c r="A799" s="1">
        <v>44994</v>
      </c>
      <c r="B799">
        <f>IFERROR(INDEX('planning dogs-n-tiger'!B$1:B$30,MATCH($H799,'planning dogs-n-tiger'!$G$1:$G$42,0)),0)</f>
        <v>45541.08</v>
      </c>
      <c r="C799">
        <f>IFERROR(INDEX('planning dogs-n-tiger'!C$1:C$30,MATCH($H799,'planning dogs-n-tiger'!$G$1:$G$42,0)),0)</f>
        <v>25893</v>
      </c>
      <c r="D799">
        <f>IFERROR(INDEX('planning dogs-n-tiger'!D$1:D$30,MATCH($H799,'planning dogs-n-tiger'!$G$1:$G$42,0)),0)</f>
        <v>14285.57</v>
      </c>
      <c r="E799">
        <f t="shared" si="120"/>
        <v>10</v>
      </c>
      <c r="F799">
        <f t="shared" si="121"/>
        <v>3</v>
      </c>
      <c r="G799">
        <f t="shared" si="122"/>
        <v>2023</v>
      </c>
      <c r="H799" t="str">
        <f t="shared" si="126"/>
        <v>32023</v>
      </c>
      <c r="I799">
        <f t="shared" si="127"/>
        <v>31</v>
      </c>
      <c r="J799">
        <f t="shared" si="123"/>
        <v>1469.0670967741937</v>
      </c>
      <c r="K799">
        <f t="shared" si="124"/>
        <v>835.25806451612902</v>
      </c>
      <c r="L799">
        <f t="shared" si="125"/>
        <v>460.82483870967741</v>
      </c>
      <c r="M799" t="str">
        <f t="shared" si="128"/>
        <v>102023</v>
      </c>
      <c r="N799" t="str">
        <f t="shared" si="129"/>
        <v>10-3-2023</v>
      </c>
    </row>
    <row r="800" spans="1:14" x14ac:dyDescent="0.2">
      <c r="A800" s="1">
        <v>44995</v>
      </c>
      <c r="B800">
        <f>IFERROR(INDEX('planning dogs-n-tiger'!B$1:B$30,MATCH($H800,'planning dogs-n-tiger'!$G$1:$G$42,0)),0)</f>
        <v>45541.08</v>
      </c>
      <c r="C800">
        <f>IFERROR(INDEX('planning dogs-n-tiger'!C$1:C$30,MATCH($H800,'planning dogs-n-tiger'!$G$1:$G$42,0)),0)</f>
        <v>25893</v>
      </c>
      <c r="D800">
        <f>IFERROR(INDEX('planning dogs-n-tiger'!D$1:D$30,MATCH($H800,'planning dogs-n-tiger'!$G$1:$G$42,0)),0)</f>
        <v>14285.57</v>
      </c>
      <c r="E800">
        <f t="shared" si="120"/>
        <v>10</v>
      </c>
      <c r="F800">
        <f t="shared" si="121"/>
        <v>3</v>
      </c>
      <c r="G800">
        <f t="shared" si="122"/>
        <v>2023</v>
      </c>
      <c r="H800" t="str">
        <f t="shared" si="126"/>
        <v>32023</v>
      </c>
      <c r="I800">
        <f t="shared" si="127"/>
        <v>31</v>
      </c>
      <c r="J800">
        <f t="shared" si="123"/>
        <v>1469.0670967741937</v>
      </c>
      <c r="K800">
        <f t="shared" si="124"/>
        <v>835.25806451612902</v>
      </c>
      <c r="L800">
        <f t="shared" si="125"/>
        <v>460.82483870967741</v>
      </c>
      <c r="M800" t="str">
        <f t="shared" si="128"/>
        <v>102023</v>
      </c>
      <c r="N800" t="str">
        <f t="shared" si="129"/>
        <v>10-3-2023</v>
      </c>
    </row>
    <row r="801" spans="1:14" x14ac:dyDescent="0.2">
      <c r="A801" s="1">
        <v>44996</v>
      </c>
      <c r="B801">
        <f>IFERROR(INDEX('planning dogs-n-tiger'!B$1:B$30,MATCH($H801,'planning dogs-n-tiger'!$G$1:$G$42,0)),0)</f>
        <v>45541.08</v>
      </c>
      <c r="C801">
        <f>IFERROR(INDEX('planning dogs-n-tiger'!C$1:C$30,MATCH($H801,'planning dogs-n-tiger'!$G$1:$G$42,0)),0)</f>
        <v>25893</v>
      </c>
      <c r="D801">
        <f>IFERROR(INDEX('planning dogs-n-tiger'!D$1:D$30,MATCH($H801,'planning dogs-n-tiger'!$G$1:$G$42,0)),0)</f>
        <v>14285.57</v>
      </c>
      <c r="E801">
        <f t="shared" si="120"/>
        <v>10</v>
      </c>
      <c r="F801">
        <f t="shared" si="121"/>
        <v>3</v>
      </c>
      <c r="G801">
        <f t="shared" si="122"/>
        <v>2023</v>
      </c>
      <c r="H801" t="str">
        <f t="shared" si="126"/>
        <v>32023</v>
      </c>
      <c r="I801">
        <f t="shared" si="127"/>
        <v>31</v>
      </c>
      <c r="J801">
        <f t="shared" si="123"/>
        <v>1469.0670967741937</v>
      </c>
      <c r="K801">
        <f t="shared" si="124"/>
        <v>835.25806451612902</v>
      </c>
      <c r="L801">
        <f t="shared" si="125"/>
        <v>460.82483870967741</v>
      </c>
      <c r="M801" t="str">
        <f t="shared" si="128"/>
        <v>102023</v>
      </c>
      <c r="N801" t="str">
        <f t="shared" si="129"/>
        <v>10-3-2023</v>
      </c>
    </row>
    <row r="802" spans="1:14" x14ac:dyDescent="0.2">
      <c r="A802" s="1">
        <v>44997</v>
      </c>
      <c r="B802">
        <f>IFERROR(INDEX('planning dogs-n-tiger'!B$1:B$30,MATCH($H802,'planning dogs-n-tiger'!$G$1:$G$42,0)),0)</f>
        <v>45541.08</v>
      </c>
      <c r="C802">
        <f>IFERROR(INDEX('planning dogs-n-tiger'!C$1:C$30,MATCH($H802,'planning dogs-n-tiger'!$G$1:$G$42,0)),0)</f>
        <v>25893</v>
      </c>
      <c r="D802">
        <f>IFERROR(INDEX('planning dogs-n-tiger'!D$1:D$30,MATCH($H802,'planning dogs-n-tiger'!$G$1:$G$42,0)),0)</f>
        <v>14285.57</v>
      </c>
      <c r="E802">
        <f t="shared" si="120"/>
        <v>10</v>
      </c>
      <c r="F802">
        <f t="shared" si="121"/>
        <v>3</v>
      </c>
      <c r="G802">
        <f t="shared" si="122"/>
        <v>2023</v>
      </c>
      <c r="H802" t="str">
        <f t="shared" si="126"/>
        <v>32023</v>
      </c>
      <c r="I802">
        <f t="shared" si="127"/>
        <v>31</v>
      </c>
      <c r="J802">
        <f t="shared" si="123"/>
        <v>1469.0670967741937</v>
      </c>
      <c r="K802">
        <f t="shared" si="124"/>
        <v>835.25806451612902</v>
      </c>
      <c r="L802">
        <f t="shared" si="125"/>
        <v>460.82483870967741</v>
      </c>
      <c r="M802" t="str">
        <f t="shared" si="128"/>
        <v>102023</v>
      </c>
      <c r="N802" t="str">
        <f t="shared" si="129"/>
        <v>10-3-2023</v>
      </c>
    </row>
    <row r="803" spans="1:14" x14ac:dyDescent="0.2">
      <c r="A803" s="1">
        <v>44998</v>
      </c>
      <c r="B803">
        <f>IFERROR(INDEX('planning dogs-n-tiger'!B$1:B$30,MATCH($H803,'planning dogs-n-tiger'!$G$1:$G$42,0)),0)</f>
        <v>45541.08</v>
      </c>
      <c r="C803">
        <f>IFERROR(INDEX('planning dogs-n-tiger'!C$1:C$30,MATCH($H803,'planning dogs-n-tiger'!$G$1:$G$42,0)),0)</f>
        <v>25893</v>
      </c>
      <c r="D803">
        <f>IFERROR(INDEX('planning dogs-n-tiger'!D$1:D$30,MATCH($H803,'planning dogs-n-tiger'!$G$1:$G$42,0)),0)</f>
        <v>14285.57</v>
      </c>
      <c r="E803">
        <f t="shared" si="120"/>
        <v>11</v>
      </c>
      <c r="F803">
        <f t="shared" si="121"/>
        <v>3</v>
      </c>
      <c r="G803">
        <f t="shared" si="122"/>
        <v>2023</v>
      </c>
      <c r="H803" t="str">
        <f t="shared" si="126"/>
        <v>32023</v>
      </c>
      <c r="I803">
        <f t="shared" si="127"/>
        <v>31</v>
      </c>
      <c r="J803">
        <f t="shared" si="123"/>
        <v>1469.0670967741937</v>
      </c>
      <c r="K803">
        <f t="shared" si="124"/>
        <v>835.25806451612902</v>
      </c>
      <c r="L803">
        <f t="shared" si="125"/>
        <v>460.82483870967741</v>
      </c>
      <c r="M803" t="str">
        <f t="shared" si="128"/>
        <v>112023</v>
      </c>
      <c r="N803" t="str">
        <f t="shared" si="129"/>
        <v>11-3-2023</v>
      </c>
    </row>
    <row r="804" spans="1:14" x14ac:dyDescent="0.2">
      <c r="A804" s="1">
        <v>44999</v>
      </c>
      <c r="B804">
        <f>IFERROR(INDEX('planning dogs-n-tiger'!B$1:B$30,MATCH($H804,'planning dogs-n-tiger'!$G$1:$G$42,0)),0)</f>
        <v>45541.08</v>
      </c>
      <c r="C804">
        <f>IFERROR(INDEX('planning dogs-n-tiger'!C$1:C$30,MATCH($H804,'planning dogs-n-tiger'!$G$1:$G$42,0)),0)</f>
        <v>25893</v>
      </c>
      <c r="D804">
        <f>IFERROR(INDEX('planning dogs-n-tiger'!D$1:D$30,MATCH($H804,'planning dogs-n-tiger'!$G$1:$G$42,0)),0)</f>
        <v>14285.57</v>
      </c>
      <c r="E804">
        <f t="shared" si="120"/>
        <v>11</v>
      </c>
      <c r="F804">
        <f t="shared" si="121"/>
        <v>3</v>
      </c>
      <c r="G804">
        <f t="shared" si="122"/>
        <v>2023</v>
      </c>
      <c r="H804" t="str">
        <f t="shared" si="126"/>
        <v>32023</v>
      </c>
      <c r="I804">
        <f t="shared" si="127"/>
        <v>31</v>
      </c>
      <c r="J804">
        <f t="shared" si="123"/>
        <v>1469.0670967741937</v>
      </c>
      <c r="K804">
        <f t="shared" si="124"/>
        <v>835.25806451612902</v>
      </c>
      <c r="L804">
        <f t="shared" si="125"/>
        <v>460.82483870967741</v>
      </c>
      <c r="M804" t="str">
        <f t="shared" si="128"/>
        <v>112023</v>
      </c>
      <c r="N804" t="str">
        <f t="shared" si="129"/>
        <v>11-3-2023</v>
      </c>
    </row>
    <row r="805" spans="1:14" x14ac:dyDescent="0.2">
      <c r="A805" s="1">
        <v>45000</v>
      </c>
      <c r="B805">
        <f>IFERROR(INDEX('planning dogs-n-tiger'!B$1:B$30,MATCH($H805,'planning dogs-n-tiger'!$G$1:$G$42,0)),0)</f>
        <v>45541.08</v>
      </c>
      <c r="C805">
        <f>IFERROR(INDEX('planning dogs-n-tiger'!C$1:C$30,MATCH($H805,'planning dogs-n-tiger'!$G$1:$G$42,0)),0)</f>
        <v>25893</v>
      </c>
      <c r="D805">
        <f>IFERROR(INDEX('planning dogs-n-tiger'!D$1:D$30,MATCH($H805,'planning dogs-n-tiger'!$G$1:$G$42,0)),0)</f>
        <v>14285.57</v>
      </c>
      <c r="E805">
        <f t="shared" si="120"/>
        <v>11</v>
      </c>
      <c r="F805">
        <f t="shared" si="121"/>
        <v>3</v>
      </c>
      <c r="G805">
        <f t="shared" si="122"/>
        <v>2023</v>
      </c>
      <c r="H805" t="str">
        <f t="shared" si="126"/>
        <v>32023</v>
      </c>
      <c r="I805">
        <f t="shared" si="127"/>
        <v>31</v>
      </c>
      <c r="J805">
        <f t="shared" si="123"/>
        <v>1469.0670967741937</v>
      </c>
      <c r="K805">
        <f t="shared" si="124"/>
        <v>835.25806451612902</v>
      </c>
      <c r="L805">
        <f t="shared" si="125"/>
        <v>460.82483870967741</v>
      </c>
      <c r="M805" t="str">
        <f t="shared" si="128"/>
        <v>112023</v>
      </c>
      <c r="N805" t="str">
        <f t="shared" si="129"/>
        <v>11-3-2023</v>
      </c>
    </row>
    <row r="806" spans="1:14" x14ac:dyDescent="0.2">
      <c r="A806" s="1">
        <v>45001</v>
      </c>
      <c r="B806">
        <f>IFERROR(INDEX('planning dogs-n-tiger'!B$1:B$30,MATCH($H806,'planning dogs-n-tiger'!$G$1:$G$42,0)),0)</f>
        <v>45541.08</v>
      </c>
      <c r="C806">
        <f>IFERROR(INDEX('planning dogs-n-tiger'!C$1:C$30,MATCH($H806,'planning dogs-n-tiger'!$G$1:$G$42,0)),0)</f>
        <v>25893</v>
      </c>
      <c r="D806">
        <f>IFERROR(INDEX('planning dogs-n-tiger'!D$1:D$30,MATCH($H806,'planning dogs-n-tiger'!$G$1:$G$42,0)),0)</f>
        <v>14285.57</v>
      </c>
      <c r="E806">
        <f t="shared" si="120"/>
        <v>11</v>
      </c>
      <c r="F806">
        <f t="shared" si="121"/>
        <v>3</v>
      </c>
      <c r="G806">
        <f t="shared" si="122"/>
        <v>2023</v>
      </c>
      <c r="H806" t="str">
        <f t="shared" si="126"/>
        <v>32023</v>
      </c>
      <c r="I806">
        <f t="shared" si="127"/>
        <v>31</v>
      </c>
      <c r="J806">
        <f t="shared" si="123"/>
        <v>1469.0670967741937</v>
      </c>
      <c r="K806">
        <f t="shared" si="124"/>
        <v>835.25806451612902</v>
      </c>
      <c r="L806">
        <f t="shared" si="125"/>
        <v>460.82483870967741</v>
      </c>
      <c r="M806" t="str">
        <f t="shared" si="128"/>
        <v>112023</v>
      </c>
      <c r="N806" t="str">
        <f t="shared" si="129"/>
        <v>11-3-2023</v>
      </c>
    </row>
    <row r="807" spans="1:14" x14ac:dyDescent="0.2">
      <c r="A807" s="1">
        <v>45002</v>
      </c>
      <c r="B807">
        <f>IFERROR(INDEX('planning dogs-n-tiger'!B$1:B$30,MATCH($H807,'planning dogs-n-tiger'!$G$1:$G$42,0)),0)</f>
        <v>45541.08</v>
      </c>
      <c r="C807">
        <f>IFERROR(INDEX('planning dogs-n-tiger'!C$1:C$30,MATCH($H807,'planning dogs-n-tiger'!$G$1:$G$42,0)),0)</f>
        <v>25893</v>
      </c>
      <c r="D807">
        <f>IFERROR(INDEX('planning dogs-n-tiger'!D$1:D$30,MATCH($H807,'planning dogs-n-tiger'!$G$1:$G$42,0)),0)</f>
        <v>14285.57</v>
      </c>
      <c r="E807">
        <f t="shared" si="120"/>
        <v>11</v>
      </c>
      <c r="F807">
        <f t="shared" si="121"/>
        <v>3</v>
      </c>
      <c r="G807">
        <f t="shared" si="122"/>
        <v>2023</v>
      </c>
      <c r="H807" t="str">
        <f t="shared" si="126"/>
        <v>32023</v>
      </c>
      <c r="I807">
        <f t="shared" si="127"/>
        <v>31</v>
      </c>
      <c r="J807">
        <f t="shared" si="123"/>
        <v>1469.0670967741937</v>
      </c>
      <c r="K807">
        <f t="shared" si="124"/>
        <v>835.25806451612902</v>
      </c>
      <c r="L807">
        <f t="shared" si="125"/>
        <v>460.82483870967741</v>
      </c>
      <c r="M807" t="str">
        <f t="shared" si="128"/>
        <v>112023</v>
      </c>
      <c r="N807" t="str">
        <f t="shared" si="129"/>
        <v>11-3-2023</v>
      </c>
    </row>
    <row r="808" spans="1:14" x14ac:dyDescent="0.2">
      <c r="A808" s="1">
        <v>45003</v>
      </c>
      <c r="B808">
        <f>IFERROR(INDEX('planning dogs-n-tiger'!B$1:B$30,MATCH($H808,'planning dogs-n-tiger'!$G$1:$G$42,0)),0)</f>
        <v>45541.08</v>
      </c>
      <c r="C808">
        <f>IFERROR(INDEX('planning dogs-n-tiger'!C$1:C$30,MATCH($H808,'planning dogs-n-tiger'!$G$1:$G$42,0)),0)</f>
        <v>25893</v>
      </c>
      <c r="D808">
        <f>IFERROR(INDEX('planning dogs-n-tiger'!D$1:D$30,MATCH($H808,'planning dogs-n-tiger'!$G$1:$G$42,0)),0)</f>
        <v>14285.57</v>
      </c>
      <c r="E808">
        <f t="shared" si="120"/>
        <v>11</v>
      </c>
      <c r="F808">
        <f t="shared" si="121"/>
        <v>3</v>
      </c>
      <c r="G808">
        <f t="shared" si="122"/>
        <v>2023</v>
      </c>
      <c r="H808" t="str">
        <f t="shared" si="126"/>
        <v>32023</v>
      </c>
      <c r="I808">
        <f t="shared" si="127"/>
        <v>31</v>
      </c>
      <c r="J808">
        <f t="shared" si="123"/>
        <v>1469.0670967741937</v>
      </c>
      <c r="K808">
        <f t="shared" si="124"/>
        <v>835.25806451612902</v>
      </c>
      <c r="L808">
        <f t="shared" si="125"/>
        <v>460.82483870967741</v>
      </c>
      <c r="M808" t="str">
        <f t="shared" si="128"/>
        <v>112023</v>
      </c>
      <c r="N808" t="str">
        <f t="shared" si="129"/>
        <v>11-3-2023</v>
      </c>
    </row>
    <row r="809" spans="1:14" x14ac:dyDescent="0.2">
      <c r="A809" s="1">
        <v>45004</v>
      </c>
      <c r="B809">
        <f>IFERROR(INDEX('planning dogs-n-tiger'!B$1:B$30,MATCH($H809,'planning dogs-n-tiger'!$G$1:$G$42,0)),0)</f>
        <v>45541.08</v>
      </c>
      <c r="C809">
        <f>IFERROR(INDEX('planning dogs-n-tiger'!C$1:C$30,MATCH($H809,'planning dogs-n-tiger'!$G$1:$G$42,0)),0)</f>
        <v>25893</v>
      </c>
      <c r="D809">
        <f>IFERROR(INDEX('planning dogs-n-tiger'!D$1:D$30,MATCH($H809,'planning dogs-n-tiger'!$G$1:$G$42,0)),0)</f>
        <v>14285.57</v>
      </c>
      <c r="E809">
        <f t="shared" si="120"/>
        <v>11</v>
      </c>
      <c r="F809">
        <f t="shared" si="121"/>
        <v>3</v>
      </c>
      <c r="G809">
        <f t="shared" si="122"/>
        <v>2023</v>
      </c>
      <c r="H809" t="str">
        <f t="shared" si="126"/>
        <v>32023</v>
      </c>
      <c r="I809">
        <f t="shared" si="127"/>
        <v>31</v>
      </c>
      <c r="J809">
        <f t="shared" si="123"/>
        <v>1469.0670967741937</v>
      </c>
      <c r="K809">
        <f t="shared" si="124"/>
        <v>835.25806451612902</v>
      </c>
      <c r="L809">
        <f t="shared" si="125"/>
        <v>460.82483870967741</v>
      </c>
      <c r="M809" t="str">
        <f t="shared" si="128"/>
        <v>112023</v>
      </c>
      <c r="N809" t="str">
        <f t="shared" si="129"/>
        <v>11-3-2023</v>
      </c>
    </row>
    <row r="810" spans="1:14" x14ac:dyDescent="0.2">
      <c r="A810" s="1">
        <v>45005</v>
      </c>
      <c r="B810">
        <f>IFERROR(INDEX('planning dogs-n-tiger'!B$1:B$30,MATCH($H810,'planning dogs-n-tiger'!$G$1:$G$42,0)),0)</f>
        <v>45541.08</v>
      </c>
      <c r="C810">
        <f>IFERROR(INDEX('planning dogs-n-tiger'!C$1:C$30,MATCH($H810,'planning dogs-n-tiger'!$G$1:$G$42,0)),0)</f>
        <v>25893</v>
      </c>
      <c r="D810">
        <f>IFERROR(INDEX('planning dogs-n-tiger'!D$1:D$30,MATCH($H810,'planning dogs-n-tiger'!$G$1:$G$42,0)),0)</f>
        <v>14285.57</v>
      </c>
      <c r="E810">
        <f t="shared" si="120"/>
        <v>12</v>
      </c>
      <c r="F810">
        <f t="shared" si="121"/>
        <v>3</v>
      </c>
      <c r="G810">
        <f t="shared" si="122"/>
        <v>2023</v>
      </c>
      <c r="H810" t="str">
        <f t="shared" si="126"/>
        <v>32023</v>
      </c>
      <c r="I810">
        <f t="shared" si="127"/>
        <v>31</v>
      </c>
      <c r="J810">
        <f t="shared" si="123"/>
        <v>1469.0670967741937</v>
      </c>
      <c r="K810">
        <f t="shared" si="124"/>
        <v>835.25806451612902</v>
      </c>
      <c r="L810">
        <f t="shared" si="125"/>
        <v>460.82483870967741</v>
      </c>
      <c r="M810" t="str">
        <f t="shared" si="128"/>
        <v>122023</v>
      </c>
      <c r="N810" t="str">
        <f t="shared" si="129"/>
        <v>12-3-2023</v>
      </c>
    </row>
    <row r="811" spans="1:14" x14ac:dyDescent="0.2">
      <c r="A811" s="1">
        <v>45006</v>
      </c>
      <c r="B811">
        <f>IFERROR(INDEX('planning dogs-n-tiger'!B$1:B$30,MATCH($H811,'planning dogs-n-tiger'!$G$1:$G$42,0)),0)</f>
        <v>45541.08</v>
      </c>
      <c r="C811">
        <f>IFERROR(INDEX('planning dogs-n-tiger'!C$1:C$30,MATCH($H811,'planning dogs-n-tiger'!$G$1:$G$42,0)),0)</f>
        <v>25893</v>
      </c>
      <c r="D811">
        <f>IFERROR(INDEX('planning dogs-n-tiger'!D$1:D$30,MATCH($H811,'planning dogs-n-tiger'!$G$1:$G$42,0)),0)</f>
        <v>14285.57</v>
      </c>
      <c r="E811">
        <f t="shared" si="120"/>
        <v>12</v>
      </c>
      <c r="F811">
        <f t="shared" si="121"/>
        <v>3</v>
      </c>
      <c r="G811">
        <f t="shared" si="122"/>
        <v>2023</v>
      </c>
      <c r="H811" t="str">
        <f t="shared" si="126"/>
        <v>32023</v>
      </c>
      <c r="I811">
        <f t="shared" si="127"/>
        <v>31</v>
      </c>
      <c r="J811">
        <f t="shared" si="123"/>
        <v>1469.0670967741937</v>
      </c>
      <c r="K811">
        <f t="shared" si="124"/>
        <v>835.25806451612902</v>
      </c>
      <c r="L811">
        <f t="shared" si="125"/>
        <v>460.82483870967741</v>
      </c>
      <c r="M811" t="str">
        <f t="shared" si="128"/>
        <v>122023</v>
      </c>
      <c r="N811" t="str">
        <f t="shared" si="129"/>
        <v>12-3-2023</v>
      </c>
    </row>
    <row r="812" spans="1:14" x14ac:dyDescent="0.2">
      <c r="A812" s="1">
        <v>45007</v>
      </c>
      <c r="B812">
        <f>IFERROR(INDEX('planning dogs-n-tiger'!B$1:B$30,MATCH($H812,'planning dogs-n-tiger'!$G$1:$G$42,0)),0)</f>
        <v>45541.08</v>
      </c>
      <c r="C812">
        <f>IFERROR(INDEX('planning dogs-n-tiger'!C$1:C$30,MATCH($H812,'planning dogs-n-tiger'!$G$1:$G$42,0)),0)</f>
        <v>25893</v>
      </c>
      <c r="D812">
        <f>IFERROR(INDEX('planning dogs-n-tiger'!D$1:D$30,MATCH($H812,'planning dogs-n-tiger'!$G$1:$G$42,0)),0)</f>
        <v>14285.57</v>
      </c>
      <c r="E812">
        <f t="shared" si="120"/>
        <v>12</v>
      </c>
      <c r="F812">
        <f t="shared" si="121"/>
        <v>3</v>
      </c>
      <c r="G812">
        <f t="shared" si="122"/>
        <v>2023</v>
      </c>
      <c r="H812" t="str">
        <f t="shared" si="126"/>
        <v>32023</v>
      </c>
      <c r="I812">
        <f t="shared" si="127"/>
        <v>31</v>
      </c>
      <c r="J812">
        <f t="shared" si="123"/>
        <v>1469.0670967741937</v>
      </c>
      <c r="K812">
        <f t="shared" si="124"/>
        <v>835.25806451612902</v>
      </c>
      <c r="L812">
        <f t="shared" si="125"/>
        <v>460.82483870967741</v>
      </c>
      <c r="M812" t="str">
        <f t="shared" si="128"/>
        <v>122023</v>
      </c>
      <c r="N812" t="str">
        <f t="shared" si="129"/>
        <v>12-3-2023</v>
      </c>
    </row>
    <row r="813" spans="1:14" x14ac:dyDescent="0.2">
      <c r="A813" s="1">
        <v>45008</v>
      </c>
      <c r="B813">
        <f>IFERROR(INDEX('planning dogs-n-tiger'!B$1:B$30,MATCH($H813,'planning dogs-n-tiger'!$G$1:$G$42,0)),0)</f>
        <v>45541.08</v>
      </c>
      <c r="C813">
        <f>IFERROR(INDEX('planning dogs-n-tiger'!C$1:C$30,MATCH($H813,'planning dogs-n-tiger'!$G$1:$G$42,0)),0)</f>
        <v>25893</v>
      </c>
      <c r="D813">
        <f>IFERROR(INDEX('planning dogs-n-tiger'!D$1:D$30,MATCH($H813,'planning dogs-n-tiger'!$G$1:$G$42,0)),0)</f>
        <v>14285.57</v>
      </c>
      <c r="E813">
        <f t="shared" si="120"/>
        <v>12</v>
      </c>
      <c r="F813">
        <f t="shared" si="121"/>
        <v>3</v>
      </c>
      <c r="G813">
        <f t="shared" si="122"/>
        <v>2023</v>
      </c>
      <c r="H813" t="str">
        <f t="shared" si="126"/>
        <v>32023</v>
      </c>
      <c r="I813">
        <f t="shared" si="127"/>
        <v>31</v>
      </c>
      <c r="J813">
        <f t="shared" si="123"/>
        <v>1469.0670967741937</v>
      </c>
      <c r="K813">
        <f t="shared" si="124"/>
        <v>835.25806451612902</v>
      </c>
      <c r="L813">
        <f t="shared" si="125"/>
        <v>460.82483870967741</v>
      </c>
      <c r="M813" t="str">
        <f t="shared" si="128"/>
        <v>122023</v>
      </c>
      <c r="N813" t="str">
        <f t="shared" si="129"/>
        <v>12-3-2023</v>
      </c>
    </row>
    <row r="814" spans="1:14" x14ac:dyDescent="0.2">
      <c r="A814" s="1">
        <v>45009</v>
      </c>
      <c r="B814">
        <f>IFERROR(INDEX('planning dogs-n-tiger'!B$1:B$30,MATCH($H814,'planning dogs-n-tiger'!$G$1:$G$42,0)),0)</f>
        <v>45541.08</v>
      </c>
      <c r="C814">
        <f>IFERROR(INDEX('planning dogs-n-tiger'!C$1:C$30,MATCH($H814,'planning dogs-n-tiger'!$G$1:$G$42,0)),0)</f>
        <v>25893</v>
      </c>
      <c r="D814">
        <f>IFERROR(INDEX('planning dogs-n-tiger'!D$1:D$30,MATCH($H814,'planning dogs-n-tiger'!$G$1:$G$42,0)),0)</f>
        <v>14285.57</v>
      </c>
      <c r="E814">
        <f t="shared" si="120"/>
        <v>12</v>
      </c>
      <c r="F814">
        <f t="shared" si="121"/>
        <v>3</v>
      </c>
      <c r="G814">
        <f t="shared" si="122"/>
        <v>2023</v>
      </c>
      <c r="H814" t="str">
        <f t="shared" si="126"/>
        <v>32023</v>
      </c>
      <c r="I814">
        <f t="shared" si="127"/>
        <v>31</v>
      </c>
      <c r="J814">
        <f t="shared" si="123"/>
        <v>1469.0670967741937</v>
      </c>
      <c r="K814">
        <f t="shared" si="124"/>
        <v>835.25806451612902</v>
      </c>
      <c r="L814">
        <f t="shared" si="125"/>
        <v>460.82483870967741</v>
      </c>
      <c r="M814" t="str">
        <f t="shared" si="128"/>
        <v>122023</v>
      </c>
      <c r="N814" t="str">
        <f t="shared" si="129"/>
        <v>12-3-2023</v>
      </c>
    </row>
    <row r="815" spans="1:14" x14ac:dyDescent="0.2">
      <c r="A815" s="1">
        <v>45010</v>
      </c>
      <c r="B815">
        <f>IFERROR(INDEX('planning dogs-n-tiger'!B$1:B$30,MATCH($H815,'planning dogs-n-tiger'!$G$1:$G$42,0)),0)</f>
        <v>45541.08</v>
      </c>
      <c r="C815">
        <f>IFERROR(INDEX('planning dogs-n-tiger'!C$1:C$30,MATCH($H815,'planning dogs-n-tiger'!$G$1:$G$42,0)),0)</f>
        <v>25893</v>
      </c>
      <c r="D815">
        <f>IFERROR(INDEX('planning dogs-n-tiger'!D$1:D$30,MATCH($H815,'planning dogs-n-tiger'!$G$1:$G$42,0)),0)</f>
        <v>14285.57</v>
      </c>
      <c r="E815">
        <f t="shared" si="120"/>
        <v>12</v>
      </c>
      <c r="F815">
        <f t="shared" si="121"/>
        <v>3</v>
      </c>
      <c r="G815">
        <f t="shared" si="122"/>
        <v>2023</v>
      </c>
      <c r="H815" t="str">
        <f t="shared" si="126"/>
        <v>32023</v>
      </c>
      <c r="I815">
        <f t="shared" si="127"/>
        <v>31</v>
      </c>
      <c r="J815">
        <f t="shared" si="123"/>
        <v>1469.0670967741937</v>
      </c>
      <c r="K815">
        <f t="shared" si="124"/>
        <v>835.25806451612902</v>
      </c>
      <c r="L815">
        <f t="shared" si="125"/>
        <v>460.82483870967741</v>
      </c>
      <c r="M815" t="str">
        <f t="shared" si="128"/>
        <v>122023</v>
      </c>
      <c r="N815" t="str">
        <f t="shared" si="129"/>
        <v>12-3-2023</v>
      </c>
    </row>
    <row r="816" spans="1:14" x14ac:dyDescent="0.2">
      <c r="A816" s="1">
        <v>45011</v>
      </c>
      <c r="B816">
        <f>IFERROR(INDEX('planning dogs-n-tiger'!B$1:B$30,MATCH($H816,'planning dogs-n-tiger'!$G$1:$G$42,0)),0)</f>
        <v>45541.08</v>
      </c>
      <c r="C816">
        <f>IFERROR(INDEX('planning dogs-n-tiger'!C$1:C$30,MATCH($H816,'planning dogs-n-tiger'!$G$1:$G$42,0)),0)</f>
        <v>25893</v>
      </c>
      <c r="D816">
        <f>IFERROR(INDEX('planning dogs-n-tiger'!D$1:D$30,MATCH($H816,'planning dogs-n-tiger'!$G$1:$G$42,0)),0)</f>
        <v>14285.57</v>
      </c>
      <c r="E816">
        <f t="shared" si="120"/>
        <v>12</v>
      </c>
      <c r="F816">
        <f t="shared" si="121"/>
        <v>3</v>
      </c>
      <c r="G816">
        <f t="shared" si="122"/>
        <v>2023</v>
      </c>
      <c r="H816" t="str">
        <f t="shared" si="126"/>
        <v>32023</v>
      </c>
      <c r="I816">
        <f t="shared" si="127"/>
        <v>31</v>
      </c>
      <c r="J816">
        <f t="shared" si="123"/>
        <v>1469.0670967741937</v>
      </c>
      <c r="K816">
        <f t="shared" si="124"/>
        <v>835.25806451612902</v>
      </c>
      <c r="L816">
        <f t="shared" si="125"/>
        <v>460.82483870967741</v>
      </c>
      <c r="M816" t="str">
        <f t="shared" si="128"/>
        <v>122023</v>
      </c>
      <c r="N816" t="str">
        <f t="shared" si="129"/>
        <v>12-3-2023</v>
      </c>
    </row>
    <row r="817" spans="1:14" x14ac:dyDescent="0.2">
      <c r="A817" s="1">
        <v>45012</v>
      </c>
      <c r="B817">
        <f>IFERROR(INDEX('planning dogs-n-tiger'!B$1:B$30,MATCH($H817,'planning dogs-n-tiger'!$G$1:$G$42,0)),0)</f>
        <v>45541.08</v>
      </c>
      <c r="C817">
        <f>IFERROR(INDEX('planning dogs-n-tiger'!C$1:C$30,MATCH($H817,'planning dogs-n-tiger'!$G$1:$G$42,0)),0)</f>
        <v>25893</v>
      </c>
      <c r="D817">
        <f>IFERROR(INDEX('planning dogs-n-tiger'!D$1:D$30,MATCH($H817,'planning dogs-n-tiger'!$G$1:$G$42,0)),0)</f>
        <v>14285.57</v>
      </c>
      <c r="E817">
        <f t="shared" si="120"/>
        <v>13</v>
      </c>
      <c r="F817">
        <f t="shared" si="121"/>
        <v>3</v>
      </c>
      <c r="G817">
        <f t="shared" si="122"/>
        <v>2023</v>
      </c>
      <c r="H817" t="str">
        <f t="shared" si="126"/>
        <v>32023</v>
      </c>
      <c r="I817">
        <f t="shared" si="127"/>
        <v>31</v>
      </c>
      <c r="J817">
        <f t="shared" si="123"/>
        <v>1469.0670967741937</v>
      </c>
      <c r="K817">
        <f t="shared" si="124"/>
        <v>835.25806451612902</v>
      </c>
      <c r="L817">
        <f t="shared" si="125"/>
        <v>460.82483870967741</v>
      </c>
      <c r="M817" t="str">
        <f t="shared" si="128"/>
        <v>132023</v>
      </c>
      <c r="N817" t="str">
        <f t="shared" si="129"/>
        <v>13-3-2023</v>
      </c>
    </row>
    <row r="818" spans="1:14" x14ac:dyDescent="0.2">
      <c r="A818" s="1">
        <v>45013</v>
      </c>
      <c r="B818">
        <f>IFERROR(INDEX('planning dogs-n-tiger'!B$1:B$30,MATCH($H818,'planning dogs-n-tiger'!$G$1:$G$42,0)),0)</f>
        <v>45541.08</v>
      </c>
      <c r="C818">
        <f>IFERROR(INDEX('planning dogs-n-tiger'!C$1:C$30,MATCH($H818,'planning dogs-n-tiger'!$G$1:$G$42,0)),0)</f>
        <v>25893</v>
      </c>
      <c r="D818">
        <f>IFERROR(INDEX('planning dogs-n-tiger'!D$1:D$30,MATCH($H818,'planning dogs-n-tiger'!$G$1:$G$42,0)),0)</f>
        <v>14285.57</v>
      </c>
      <c r="E818">
        <f t="shared" si="120"/>
        <v>13</v>
      </c>
      <c r="F818">
        <f t="shared" si="121"/>
        <v>3</v>
      </c>
      <c r="G818">
        <f t="shared" si="122"/>
        <v>2023</v>
      </c>
      <c r="H818" t="str">
        <f t="shared" si="126"/>
        <v>32023</v>
      </c>
      <c r="I818">
        <f t="shared" si="127"/>
        <v>31</v>
      </c>
      <c r="J818">
        <f t="shared" si="123"/>
        <v>1469.0670967741937</v>
      </c>
      <c r="K818">
        <f t="shared" si="124"/>
        <v>835.25806451612902</v>
      </c>
      <c r="L818">
        <f t="shared" si="125"/>
        <v>460.82483870967741</v>
      </c>
      <c r="M818" t="str">
        <f t="shared" si="128"/>
        <v>132023</v>
      </c>
      <c r="N818" t="str">
        <f t="shared" si="129"/>
        <v>13-3-2023</v>
      </c>
    </row>
    <row r="819" spans="1:14" x14ac:dyDescent="0.2">
      <c r="A819" s="1">
        <v>45014</v>
      </c>
      <c r="B819">
        <f>IFERROR(INDEX('planning dogs-n-tiger'!B$1:B$30,MATCH($H819,'planning dogs-n-tiger'!$G$1:$G$42,0)),0)</f>
        <v>45541.08</v>
      </c>
      <c r="C819">
        <f>IFERROR(INDEX('planning dogs-n-tiger'!C$1:C$30,MATCH($H819,'planning dogs-n-tiger'!$G$1:$G$42,0)),0)</f>
        <v>25893</v>
      </c>
      <c r="D819">
        <f>IFERROR(INDEX('planning dogs-n-tiger'!D$1:D$30,MATCH($H819,'planning dogs-n-tiger'!$G$1:$G$42,0)),0)</f>
        <v>14285.57</v>
      </c>
      <c r="E819">
        <f t="shared" si="120"/>
        <v>13</v>
      </c>
      <c r="F819">
        <f t="shared" si="121"/>
        <v>3</v>
      </c>
      <c r="G819">
        <f t="shared" si="122"/>
        <v>2023</v>
      </c>
      <c r="H819" t="str">
        <f t="shared" si="126"/>
        <v>32023</v>
      </c>
      <c r="I819">
        <f t="shared" si="127"/>
        <v>31</v>
      </c>
      <c r="J819">
        <f t="shared" si="123"/>
        <v>1469.0670967741937</v>
      </c>
      <c r="K819">
        <f t="shared" si="124"/>
        <v>835.25806451612902</v>
      </c>
      <c r="L819">
        <f t="shared" si="125"/>
        <v>460.82483870967741</v>
      </c>
      <c r="M819" t="str">
        <f t="shared" si="128"/>
        <v>132023</v>
      </c>
      <c r="N819" t="str">
        <f t="shared" si="129"/>
        <v>13-3-2023</v>
      </c>
    </row>
    <row r="820" spans="1:14" x14ac:dyDescent="0.2">
      <c r="A820" s="1">
        <v>45015</v>
      </c>
      <c r="B820">
        <f>IFERROR(INDEX('planning dogs-n-tiger'!B$1:B$30,MATCH($H820,'planning dogs-n-tiger'!$G$1:$G$42,0)),0)</f>
        <v>45541.08</v>
      </c>
      <c r="C820">
        <f>IFERROR(INDEX('planning dogs-n-tiger'!C$1:C$30,MATCH($H820,'planning dogs-n-tiger'!$G$1:$G$42,0)),0)</f>
        <v>25893</v>
      </c>
      <c r="D820">
        <f>IFERROR(INDEX('planning dogs-n-tiger'!D$1:D$30,MATCH($H820,'planning dogs-n-tiger'!$G$1:$G$42,0)),0)</f>
        <v>14285.57</v>
      </c>
      <c r="E820">
        <f t="shared" si="120"/>
        <v>13</v>
      </c>
      <c r="F820">
        <f t="shared" si="121"/>
        <v>3</v>
      </c>
      <c r="G820">
        <f t="shared" si="122"/>
        <v>2023</v>
      </c>
      <c r="H820" t="str">
        <f t="shared" si="126"/>
        <v>32023</v>
      </c>
      <c r="I820">
        <f t="shared" si="127"/>
        <v>31</v>
      </c>
      <c r="J820">
        <f t="shared" si="123"/>
        <v>1469.0670967741937</v>
      </c>
      <c r="K820">
        <f t="shared" si="124"/>
        <v>835.25806451612902</v>
      </c>
      <c r="L820">
        <f t="shared" si="125"/>
        <v>460.82483870967741</v>
      </c>
      <c r="M820" t="str">
        <f t="shared" si="128"/>
        <v>132023</v>
      </c>
      <c r="N820" t="str">
        <f t="shared" si="129"/>
        <v>13-3-2023</v>
      </c>
    </row>
    <row r="821" spans="1:14" x14ac:dyDescent="0.2">
      <c r="A821" s="1">
        <v>45016</v>
      </c>
      <c r="B821">
        <f>IFERROR(INDEX('planning dogs-n-tiger'!B$1:B$30,MATCH($H821,'planning dogs-n-tiger'!$G$1:$G$42,0)),0)</f>
        <v>45541.08</v>
      </c>
      <c r="C821">
        <f>IFERROR(INDEX('planning dogs-n-tiger'!C$1:C$30,MATCH($H821,'planning dogs-n-tiger'!$G$1:$G$42,0)),0)</f>
        <v>25893</v>
      </c>
      <c r="D821">
        <f>IFERROR(INDEX('planning dogs-n-tiger'!D$1:D$30,MATCH($H821,'planning dogs-n-tiger'!$G$1:$G$42,0)),0)</f>
        <v>14285.57</v>
      </c>
      <c r="E821">
        <f t="shared" si="120"/>
        <v>13</v>
      </c>
      <c r="F821">
        <f t="shared" si="121"/>
        <v>3</v>
      </c>
      <c r="G821">
        <f t="shared" si="122"/>
        <v>2023</v>
      </c>
      <c r="H821" t="str">
        <f t="shared" si="126"/>
        <v>32023</v>
      </c>
      <c r="I821">
        <f t="shared" si="127"/>
        <v>31</v>
      </c>
      <c r="J821">
        <f t="shared" si="123"/>
        <v>1469.0670967741937</v>
      </c>
      <c r="K821">
        <f t="shared" si="124"/>
        <v>835.25806451612902</v>
      </c>
      <c r="L821">
        <f t="shared" si="125"/>
        <v>460.82483870967741</v>
      </c>
      <c r="M821" t="str">
        <f t="shared" si="128"/>
        <v>132023</v>
      </c>
      <c r="N821" t="str">
        <f t="shared" si="129"/>
        <v>13-3-2023</v>
      </c>
    </row>
    <row r="822" spans="1:14" x14ac:dyDescent="0.2">
      <c r="A822" s="1">
        <v>45017</v>
      </c>
      <c r="B822">
        <f>IFERROR(INDEX('planning dogs-n-tiger'!B$1:B$30,MATCH($H822,'planning dogs-n-tiger'!$G$1:$G$42,0)),0)</f>
        <v>60000</v>
      </c>
      <c r="C822">
        <f>IFERROR(INDEX('planning dogs-n-tiger'!C$1:C$30,MATCH($H822,'planning dogs-n-tiger'!$G$1:$G$42,0)),0)</f>
        <v>30000</v>
      </c>
      <c r="D822">
        <f>IFERROR(INDEX('planning dogs-n-tiger'!D$1:D$30,MATCH($H822,'planning dogs-n-tiger'!$G$1:$G$42,0)),0)</f>
        <v>11300</v>
      </c>
      <c r="E822">
        <f t="shared" si="120"/>
        <v>13</v>
      </c>
      <c r="F822">
        <f t="shared" si="121"/>
        <v>4</v>
      </c>
      <c r="G822">
        <f t="shared" si="122"/>
        <v>2023</v>
      </c>
      <c r="H822" t="str">
        <f t="shared" si="126"/>
        <v>42023</v>
      </c>
      <c r="I822">
        <f t="shared" si="127"/>
        <v>30</v>
      </c>
      <c r="J822">
        <f t="shared" si="123"/>
        <v>2000</v>
      </c>
      <c r="K822">
        <f t="shared" si="124"/>
        <v>1000</v>
      </c>
      <c r="L822">
        <f t="shared" si="125"/>
        <v>376.66666666666669</v>
      </c>
      <c r="M822" t="str">
        <f t="shared" si="128"/>
        <v>132023</v>
      </c>
      <c r="N822" t="str">
        <f t="shared" si="129"/>
        <v>13-4-2023</v>
      </c>
    </row>
    <row r="823" spans="1:14" x14ac:dyDescent="0.2">
      <c r="A823" s="1">
        <v>45018</v>
      </c>
      <c r="B823">
        <f>IFERROR(INDEX('planning dogs-n-tiger'!B$1:B$30,MATCH($H823,'planning dogs-n-tiger'!$G$1:$G$42,0)),0)</f>
        <v>60000</v>
      </c>
      <c r="C823">
        <f>IFERROR(INDEX('planning dogs-n-tiger'!C$1:C$30,MATCH($H823,'planning dogs-n-tiger'!$G$1:$G$42,0)),0)</f>
        <v>30000</v>
      </c>
      <c r="D823">
        <f>IFERROR(INDEX('planning dogs-n-tiger'!D$1:D$30,MATCH($H823,'planning dogs-n-tiger'!$G$1:$G$42,0)),0)</f>
        <v>11300</v>
      </c>
      <c r="E823">
        <f t="shared" si="120"/>
        <v>13</v>
      </c>
      <c r="F823">
        <f t="shared" si="121"/>
        <v>4</v>
      </c>
      <c r="G823">
        <f t="shared" si="122"/>
        <v>2023</v>
      </c>
      <c r="H823" t="str">
        <f t="shared" si="126"/>
        <v>42023</v>
      </c>
      <c r="I823">
        <f t="shared" si="127"/>
        <v>30</v>
      </c>
      <c r="J823">
        <f t="shared" si="123"/>
        <v>2000</v>
      </c>
      <c r="K823">
        <f t="shared" si="124"/>
        <v>1000</v>
      </c>
      <c r="L823">
        <f t="shared" si="125"/>
        <v>376.66666666666669</v>
      </c>
      <c r="M823" t="str">
        <f t="shared" si="128"/>
        <v>132023</v>
      </c>
      <c r="N823" t="str">
        <f t="shared" si="129"/>
        <v>13-4-2023</v>
      </c>
    </row>
    <row r="824" spans="1:14" x14ac:dyDescent="0.2">
      <c r="A824" s="1">
        <v>45019</v>
      </c>
      <c r="B824">
        <f>IFERROR(INDEX('planning dogs-n-tiger'!B$1:B$30,MATCH($H824,'planning dogs-n-tiger'!$G$1:$G$42,0)),0)</f>
        <v>60000</v>
      </c>
      <c r="C824">
        <f>IFERROR(INDEX('planning dogs-n-tiger'!C$1:C$30,MATCH($H824,'planning dogs-n-tiger'!$G$1:$G$42,0)),0)</f>
        <v>30000</v>
      </c>
      <c r="D824">
        <f>IFERROR(INDEX('planning dogs-n-tiger'!D$1:D$30,MATCH($H824,'planning dogs-n-tiger'!$G$1:$G$42,0)),0)</f>
        <v>11300</v>
      </c>
      <c r="E824">
        <f t="shared" si="120"/>
        <v>14</v>
      </c>
      <c r="F824">
        <f t="shared" si="121"/>
        <v>4</v>
      </c>
      <c r="G824">
        <f t="shared" si="122"/>
        <v>2023</v>
      </c>
      <c r="H824" t="str">
        <f t="shared" si="126"/>
        <v>42023</v>
      </c>
      <c r="I824">
        <f t="shared" si="127"/>
        <v>30</v>
      </c>
      <c r="J824">
        <f t="shared" si="123"/>
        <v>2000</v>
      </c>
      <c r="K824">
        <f t="shared" si="124"/>
        <v>1000</v>
      </c>
      <c r="L824">
        <f t="shared" si="125"/>
        <v>376.66666666666669</v>
      </c>
      <c r="M824" t="str">
        <f t="shared" si="128"/>
        <v>142023</v>
      </c>
      <c r="N824" t="str">
        <f t="shared" si="129"/>
        <v>14-4-2023</v>
      </c>
    </row>
    <row r="825" spans="1:14" x14ac:dyDescent="0.2">
      <c r="A825" s="1">
        <v>45020</v>
      </c>
      <c r="B825">
        <f>IFERROR(INDEX('planning dogs-n-tiger'!B$1:B$30,MATCH($H825,'planning dogs-n-tiger'!$G$1:$G$42,0)),0)</f>
        <v>60000</v>
      </c>
      <c r="C825">
        <f>IFERROR(INDEX('planning dogs-n-tiger'!C$1:C$30,MATCH($H825,'planning dogs-n-tiger'!$G$1:$G$42,0)),0)</f>
        <v>30000</v>
      </c>
      <c r="D825">
        <f>IFERROR(INDEX('planning dogs-n-tiger'!D$1:D$30,MATCH($H825,'planning dogs-n-tiger'!$G$1:$G$42,0)),0)</f>
        <v>11300</v>
      </c>
      <c r="E825">
        <f t="shared" si="120"/>
        <v>14</v>
      </c>
      <c r="F825">
        <f t="shared" si="121"/>
        <v>4</v>
      </c>
      <c r="G825">
        <f t="shared" si="122"/>
        <v>2023</v>
      </c>
      <c r="H825" t="str">
        <f t="shared" si="126"/>
        <v>42023</v>
      </c>
      <c r="I825">
        <f t="shared" si="127"/>
        <v>30</v>
      </c>
      <c r="J825">
        <f t="shared" si="123"/>
        <v>2000</v>
      </c>
      <c r="K825">
        <f t="shared" si="124"/>
        <v>1000</v>
      </c>
      <c r="L825">
        <f t="shared" si="125"/>
        <v>376.66666666666669</v>
      </c>
      <c r="M825" t="str">
        <f t="shared" si="128"/>
        <v>142023</v>
      </c>
      <c r="N825" t="str">
        <f t="shared" si="129"/>
        <v>14-4-2023</v>
      </c>
    </row>
    <row r="826" spans="1:14" x14ac:dyDescent="0.2">
      <c r="A826" s="1">
        <v>45021</v>
      </c>
      <c r="B826">
        <f>IFERROR(INDEX('planning dogs-n-tiger'!B$1:B$30,MATCH($H826,'planning dogs-n-tiger'!$G$1:$G$42,0)),0)</f>
        <v>60000</v>
      </c>
      <c r="C826">
        <f>IFERROR(INDEX('planning dogs-n-tiger'!C$1:C$30,MATCH($H826,'planning dogs-n-tiger'!$G$1:$G$42,0)),0)</f>
        <v>30000</v>
      </c>
      <c r="D826">
        <f>IFERROR(INDEX('planning dogs-n-tiger'!D$1:D$30,MATCH($H826,'planning dogs-n-tiger'!$G$1:$G$42,0)),0)</f>
        <v>11300</v>
      </c>
      <c r="E826">
        <f t="shared" si="120"/>
        <v>14</v>
      </c>
      <c r="F826">
        <f t="shared" si="121"/>
        <v>4</v>
      </c>
      <c r="G826">
        <f t="shared" si="122"/>
        <v>2023</v>
      </c>
      <c r="H826" t="str">
        <f t="shared" si="126"/>
        <v>42023</v>
      </c>
      <c r="I826">
        <f t="shared" si="127"/>
        <v>30</v>
      </c>
      <c r="J826">
        <f t="shared" si="123"/>
        <v>2000</v>
      </c>
      <c r="K826">
        <f t="shared" si="124"/>
        <v>1000</v>
      </c>
      <c r="L826">
        <f t="shared" si="125"/>
        <v>376.66666666666669</v>
      </c>
      <c r="M826" t="str">
        <f t="shared" si="128"/>
        <v>142023</v>
      </c>
      <c r="N826" t="str">
        <f t="shared" si="129"/>
        <v>14-4-2023</v>
      </c>
    </row>
    <row r="827" spans="1:14" x14ac:dyDescent="0.2">
      <c r="A827" s="1">
        <v>45022</v>
      </c>
      <c r="B827">
        <f>IFERROR(INDEX('planning dogs-n-tiger'!B$1:B$30,MATCH($H827,'planning dogs-n-tiger'!$G$1:$G$42,0)),0)</f>
        <v>60000</v>
      </c>
      <c r="C827">
        <f>IFERROR(INDEX('planning dogs-n-tiger'!C$1:C$30,MATCH($H827,'planning dogs-n-tiger'!$G$1:$G$42,0)),0)</f>
        <v>30000</v>
      </c>
      <c r="D827">
        <f>IFERROR(INDEX('planning dogs-n-tiger'!D$1:D$30,MATCH($H827,'planning dogs-n-tiger'!$G$1:$G$42,0)),0)</f>
        <v>11300</v>
      </c>
      <c r="E827">
        <f t="shared" si="120"/>
        <v>14</v>
      </c>
      <c r="F827">
        <f t="shared" si="121"/>
        <v>4</v>
      </c>
      <c r="G827">
        <f t="shared" si="122"/>
        <v>2023</v>
      </c>
      <c r="H827" t="str">
        <f t="shared" si="126"/>
        <v>42023</v>
      </c>
      <c r="I827">
        <f t="shared" si="127"/>
        <v>30</v>
      </c>
      <c r="J827">
        <f t="shared" si="123"/>
        <v>2000</v>
      </c>
      <c r="K827">
        <f t="shared" si="124"/>
        <v>1000</v>
      </c>
      <c r="L827">
        <f t="shared" si="125"/>
        <v>376.66666666666669</v>
      </c>
      <c r="M827" t="str">
        <f t="shared" si="128"/>
        <v>142023</v>
      </c>
      <c r="N827" t="str">
        <f t="shared" si="129"/>
        <v>14-4-2023</v>
      </c>
    </row>
    <row r="828" spans="1:14" x14ac:dyDescent="0.2">
      <c r="A828" s="1">
        <v>45023</v>
      </c>
      <c r="B828">
        <f>IFERROR(INDEX('planning dogs-n-tiger'!B$1:B$30,MATCH($H828,'planning dogs-n-tiger'!$G$1:$G$42,0)),0)</f>
        <v>60000</v>
      </c>
      <c r="C828">
        <f>IFERROR(INDEX('planning dogs-n-tiger'!C$1:C$30,MATCH($H828,'planning dogs-n-tiger'!$G$1:$G$42,0)),0)</f>
        <v>30000</v>
      </c>
      <c r="D828">
        <f>IFERROR(INDEX('planning dogs-n-tiger'!D$1:D$30,MATCH($H828,'planning dogs-n-tiger'!$G$1:$G$42,0)),0)</f>
        <v>11300</v>
      </c>
      <c r="E828">
        <f t="shared" si="120"/>
        <v>14</v>
      </c>
      <c r="F828">
        <f t="shared" si="121"/>
        <v>4</v>
      </c>
      <c r="G828">
        <f t="shared" si="122"/>
        <v>2023</v>
      </c>
      <c r="H828" t="str">
        <f t="shared" si="126"/>
        <v>42023</v>
      </c>
      <c r="I828">
        <f t="shared" si="127"/>
        <v>30</v>
      </c>
      <c r="J828">
        <f t="shared" si="123"/>
        <v>2000</v>
      </c>
      <c r="K828">
        <f t="shared" si="124"/>
        <v>1000</v>
      </c>
      <c r="L828">
        <f t="shared" si="125"/>
        <v>376.66666666666669</v>
      </c>
      <c r="M828" t="str">
        <f t="shared" si="128"/>
        <v>142023</v>
      </c>
      <c r="N828" t="str">
        <f t="shared" si="129"/>
        <v>14-4-2023</v>
      </c>
    </row>
    <row r="829" spans="1:14" x14ac:dyDescent="0.2">
      <c r="A829" s="1">
        <v>45024</v>
      </c>
      <c r="B829">
        <f>IFERROR(INDEX('planning dogs-n-tiger'!B$1:B$30,MATCH($H829,'planning dogs-n-tiger'!$G$1:$G$42,0)),0)</f>
        <v>60000</v>
      </c>
      <c r="C829">
        <f>IFERROR(INDEX('planning dogs-n-tiger'!C$1:C$30,MATCH($H829,'planning dogs-n-tiger'!$G$1:$G$42,0)),0)</f>
        <v>30000</v>
      </c>
      <c r="D829">
        <f>IFERROR(INDEX('planning dogs-n-tiger'!D$1:D$30,MATCH($H829,'planning dogs-n-tiger'!$G$1:$G$42,0)),0)</f>
        <v>11300</v>
      </c>
      <c r="E829">
        <f t="shared" si="120"/>
        <v>14</v>
      </c>
      <c r="F829">
        <f t="shared" si="121"/>
        <v>4</v>
      </c>
      <c r="G829">
        <f t="shared" si="122"/>
        <v>2023</v>
      </c>
      <c r="H829" t="str">
        <f t="shared" si="126"/>
        <v>42023</v>
      </c>
      <c r="I829">
        <f t="shared" si="127"/>
        <v>30</v>
      </c>
      <c r="J829">
        <f t="shared" si="123"/>
        <v>2000</v>
      </c>
      <c r="K829">
        <f t="shared" si="124"/>
        <v>1000</v>
      </c>
      <c r="L829">
        <f t="shared" si="125"/>
        <v>376.66666666666669</v>
      </c>
      <c r="M829" t="str">
        <f t="shared" si="128"/>
        <v>142023</v>
      </c>
      <c r="N829" t="str">
        <f t="shared" si="129"/>
        <v>14-4-2023</v>
      </c>
    </row>
    <row r="830" spans="1:14" x14ac:dyDescent="0.2">
      <c r="A830" s="1">
        <v>45025</v>
      </c>
      <c r="B830">
        <f>IFERROR(INDEX('planning dogs-n-tiger'!B$1:B$30,MATCH($H830,'planning dogs-n-tiger'!$G$1:$G$42,0)),0)</f>
        <v>60000</v>
      </c>
      <c r="C830">
        <f>IFERROR(INDEX('planning dogs-n-tiger'!C$1:C$30,MATCH($H830,'planning dogs-n-tiger'!$G$1:$G$42,0)),0)</f>
        <v>30000</v>
      </c>
      <c r="D830">
        <f>IFERROR(INDEX('planning dogs-n-tiger'!D$1:D$30,MATCH($H830,'planning dogs-n-tiger'!$G$1:$G$42,0)),0)</f>
        <v>11300</v>
      </c>
      <c r="E830">
        <f t="shared" si="120"/>
        <v>14</v>
      </c>
      <c r="F830">
        <f t="shared" si="121"/>
        <v>4</v>
      </c>
      <c r="G830">
        <f t="shared" si="122"/>
        <v>2023</v>
      </c>
      <c r="H830" t="str">
        <f t="shared" si="126"/>
        <v>42023</v>
      </c>
      <c r="I830">
        <f t="shared" si="127"/>
        <v>30</v>
      </c>
      <c r="J830">
        <f t="shared" si="123"/>
        <v>2000</v>
      </c>
      <c r="K830">
        <f t="shared" si="124"/>
        <v>1000</v>
      </c>
      <c r="L830">
        <f t="shared" si="125"/>
        <v>376.66666666666669</v>
      </c>
      <c r="M830" t="str">
        <f t="shared" si="128"/>
        <v>142023</v>
      </c>
      <c r="N830" t="str">
        <f t="shared" si="129"/>
        <v>14-4-2023</v>
      </c>
    </row>
    <row r="831" spans="1:14" x14ac:dyDescent="0.2">
      <c r="A831" s="1">
        <v>45026</v>
      </c>
      <c r="B831">
        <f>IFERROR(INDEX('planning dogs-n-tiger'!B$1:B$30,MATCH($H831,'planning dogs-n-tiger'!$G$1:$G$42,0)),0)</f>
        <v>60000</v>
      </c>
      <c r="C831">
        <f>IFERROR(INDEX('planning dogs-n-tiger'!C$1:C$30,MATCH($H831,'planning dogs-n-tiger'!$G$1:$G$42,0)),0)</f>
        <v>30000</v>
      </c>
      <c r="D831">
        <f>IFERROR(INDEX('planning dogs-n-tiger'!D$1:D$30,MATCH($H831,'planning dogs-n-tiger'!$G$1:$G$42,0)),0)</f>
        <v>11300</v>
      </c>
      <c r="E831">
        <f t="shared" si="120"/>
        <v>15</v>
      </c>
      <c r="F831">
        <f t="shared" si="121"/>
        <v>4</v>
      </c>
      <c r="G831">
        <f t="shared" si="122"/>
        <v>2023</v>
      </c>
      <c r="H831" t="str">
        <f t="shared" si="126"/>
        <v>42023</v>
      </c>
      <c r="I831">
        <f t="shared" si="127"/>
        <v>30</v>
      </c>
      <c r="J831">
        <f t="shared" si="123"/>
        <v>2000</v>
      </c>
      <c r="K831">
        <f t="shared" si="124"/>
        <v>1000</v>
      </c>
      <c r="L831">
        <f t="shared" si="125"/>
        <v>376.66666666666669</v>
      </c>
      <c r="M831" t="str">
        <f t="shared" si="128"/>
        <v>152023</v>
      </c>
      <c r="N831" t="str">
        <f t="shared" si="129"/>
        <v>15-4-2023</v>
      </c>
    </row>
    <row r="832" spans="1:14" x14ac:dyDescent="0.2">
      <c r="A832" s="1">
        <v>45027</v>
      </c>
      <c r="B832">
        <f>IFERROR(INDEX('planning dogs-n-tiger'!B$1:B$30,MATCH($H832,'planning dogs-n-tiger'!$G$1:$G$42,0)),0)</f>
        <v>60000</v>
      </c>
      <c r="C832">
        <f>IFERROR(INDEX('planning dogs-n-tiger'!C$1:C$30,MATCH($H832,'planning dogs-n-tiger'!$G$1:$G$42,0)),0)</f>
        <v>30000</v>
      </c>
      <c r="D832">
        <f>IFERROR(INDEX('planning dogs-n-tiger'!D$1:D$30,MATCH($H832,'planning dogs-n-tiger'!$G$1:$G$42,0)),0)</f>
        <v>11300</v>
      </c>
      <c r="E832">
        <f t="shared" si="120"/>
        <v>15</v>
      </c>
      <c r="F832">
        <f t="shared" si="121"/>
        <v>4</v>
      </c>
      <c r="G832">
        <f t="shared" si="122"/>
        <v>2023</v>
      </c>
      <c r="H832" t="str">
        <f t="shared" si="126"/>
        <v>42023</v>
      </c>
      <c r="I832">
        <f t="shared" si="127"/>
        <v>30</v>
      </c>
      <c r="J832">
        <f t="shared" si="123"/>
        <v>2000</v>
      </c>
      <c r="K832">
        <f t="shared" si="124"/>
        <v>1000</v>
      </c>
      <c r="L832">
        <f t="shared" si="125"/>
        <v>376.66666666666669</v>
      </c>
      <c r="M832" t="str">
        <f t="shared" si="128"/>
        <v>152023</v>
      </c>
      <c r="N832" t="str">
        <f t="shared" si="129"/>
        <v>15-4-2023</v>
      </c>
    </row>
    <row r="833" spans="1:14" x14ac:dyDescent="0.2">
      <c r="A833" s="1">
        <v>45028</v>
      </c>
      <c r="B833">
        <f>IFERROR(INDEX('planning dogs-n-tiger'!B$1:B$30,MATCH($H833,'planning dogs-n-tiger'!$G$1:$G$42,0)),0)</f>
        <v>60000</v>
      </c>
      <c r="C833">
        <f>IFERROR(INDEX('planning dogs-n-tiger'!C$1:C$30,MATCH($H833,'planning dogs-n-tiger'!$G$1:$G$42,0)),0)</f>
        <v>30000</v>
      </c>
      <c r="D833">
        <f>IFERROR(INDEX('planning dogs-n-tiger'!D$1:D$30,MATCH($H833,'planning dogs-n-tiger'!$G$1:$G$42,0)),0)</f>
        <v>11300</v>
      </c>
      <c r="E833">
        <f t="shared" si="120"/>
        <v>15</v>
      </c>
      <c r="F833">
        <f t="shared" si="121"/>
        <v>4</v>
      </c>
      <c r="G833">
        <f t="shared" si="122"/>
        <v>2023</v>
      </c>
      <c r="H833" t="str">
        <f t="shared" si="126"/>
        <v>42023</v>
      </c>
      <c r="I833">
        <f t="shared" si="127"/>
        <v>30</v>
      </c>
      <c r="J833">
        <f t="shared" si="123"/>
        <v>2000</v>
      </c>
      <c r="K833">
        <f t="shared" si="124"/>
        <v>1000</v>
      </c>
      <c r="L833">
        <f t="shared" si="125"/>
        <v>376.66666666666669</v>
      </c>
      <c r="M833" t="str">
        <f t="shared" si="128"/>
        <v>152023</v>
      </c>
      <c r="N833" t="str">
        <f t="shared" si="129"/>
        <v>15-4-2023</v>
      </c>
    </row>
    <row r="834" spans="1:14" x14ac:dyDescent="0.2">
      <c r="A834" s="1">
        <v>45029</v>
      </c>
      <c r="B834">
        <f>IFERROR(INDEX('planning dogs-n-tiger'!B$1:B$30,MATCH($H834,'planning dogs-n-tiger'!$G$1:$G$42,0)),0)</f>
        <v>60000</v>
      </c>
      <c r="C834">
        <f>IFERROR(INDEX('planning dogs-n-tiger'!C$1:C$30,MATCH($H834,'planning dogs-n-tiger'!$G$1:$G$42,0)),0)</f>
        <v>30000</v>
      </c>
      <c r="D834">
        <f>IFERROR(INDEX('planning dogs-n-tiger'!D$1:D$30,MATCH($H834,'planning dogs-n-tiger'!$G$1:$G$42,0)),0)</f>
        <v>11300</v>
      </c>
      <c r="E834">
        <f t="shared" ref="E834:E897" si="130">_xlfn.ISOWEEKNUM(A834)</f>
        <v>15</v>
      </c>
      <c r="F834">
        <f t="shared" ref="F834:F897" si="131">MONTH(A834)</f>
        <v>4</v>
      </c>
      <c r="G834">
        <f t="shared" ref="G834:G897" si="132">YEAR(A834)</f>
        <v>2023</v>
      </c>
      <c r="H834" t="str">
        <f t="shared" si="126"/>
        <v>42023</v>
      </c>
      <c r="I834">
        <f t="shared" si="127"/>
        <v>30</v>
      </c>
      <c r="J834">
        <f t="shared" ref="J834:J897" si="133">B834/$I834</f>
        <v>2000</v>
      </c>
      <c r="K834">
        <f t="shared" ref="K834:K897" si="134">C834/$I834</f>
        <v>1000</v>
      </c>
      <c r="L834">
        <f t="shared" ref="L834:L897" si="135">D834/$I834</f>
        <v>376.66666666666669</v>
      </c>
      <c r="M834" t="str">
        <f t="shared" si="128"/>
        <v>152023</v>
      </c>
      <c r="N834" t="str">
        <f t="shared" si="129"/>
        <v>15-4-2023</v>
      </c>
    </row>
    <row r="835" spans="1:14" x14ac:dyDescent="0.2">
      <c r="A835" s="1">
        <v>45030</v>
      </c>
      <c r="B835">
        <f>IFERROR(INDEX('planning dogs-n-tiger'!B$1:B$30,MATCH($H835,'planning dogs-n-tiger'!$G$1:$G$42,0)),0)</f>
        <v>60000</v>
      </c>
      <c r="C835">
        <f>IFERROR(INDEX('planning dogs-n-tiger'!C$1:C$30,MATCH($H835,'planning dogs-n-tiger'!$G$1:$G$42,0)),0)</f>
        <v>30000</v>
      </c>
      <c r="D835">
        <f>IFERROR(INDEX('planning dogs-n-tiger'!D$1:D$30,MATCH($H835,'planning dogs-n-tiger'!$G$1:$G$42,0)),0)</f>
        <v>11300</v>
      </c>
      <c r="E835">
        <f t="shared" si="130"/>
        <v>15</v>
      </c>
      <c r="F835">
        <f t="shared" si="131"/>
        <v>4</v>
      </c>
      <c r="G835">
        <f t="shared" si="132"/>
        <v>2023</v>
      </c>
      <c r="H835" t="str">
        <f t="shared" ref="H835:H898" si="136">F835&amp;G835</f>
        <v>42023</v>
      </c>
      <c r="I835">
        <f t="shared" ref="I835:I898" si="137">DAY(EOMONTH(DATE(G835,F835,0),1))</f>
        <v>30</v>
      </c>
      <c r="J835">
        <f t="shared" si="133"/>
        <v>2000</v>
      </c>
      <c r="K835">
        <f t="shared" si="134"/>
        <v>1000</v>
      </c>
      <c r="L835">
        <f t="shared" si="135"/>
        <v>376.66666666666669</v>
      </c>
      <c r="M835" t="str">
        <f t="shared" ref="M835:M898" si="138">E835&amp;G835</f>
        <v>152023</v>
      </c>
      <c r="N835" t="str">
        <f t="shared" ref="N835:N898" si="139">E835&amp;"-"&amp;F835&amp;"-"&amp;G835</f>
        <v>15-4-2023</v>
      </c>
    </row>
    <row r="836" spans="1:14" x14ac:dyDescent="0.2">
      <c r="A836" s="1">
        <v>45031</v>
      </c>
      <c r="B836">
        <f>IFERROR(INDEX('planning dogs-n-tiger'!B$1:B$30,MATCH($H836,'planning dogs-n-tiger'!$G$1:$G$42,0)),0)</f>
        <v>60000</v>
      </c>
      <c r="C836">
        <f>IFERROR(INDEX('planning dogs-n-tiger'!C$1:C$30,MATCH($H836,'planning dogs-n-tiger'!$G$1:$G$42,0)),0)</f>
        <v>30000</v>
      </c>
      <c r="D836">
        <f>IFERROR(INDEX('planning dogs-n-tiger'!D$1:D$30,MATCH($H836,'planning dogs-n-tiger'!$G$1:$G$42,0)),0)</f>
        <v>11300</v>
      </c>
      <c r="E836">
        <f t="shared" si="130"/>
        <v>15</v>
      </c>
      <c r="F836">
        <f t="shared" si="131"/>
        <v>4</v>
      </c>
      <c r="G836">
        <f t="shared" si="132"/>
        <v>2023</v>
      </c>
      <c r="H836" t="str">
        <f t="shared" si="136"/>
        <v>42023</v>
      </c>
      <c r="I836">
        <f t="shared" si="137"/>
        <v>30</v>
      </c>
      <c r="J836">
        <f t="shared" si="133"/>
        <v>2000</v>
      </c>
      <c r="K836">
        <f t="shared" si="134"/>
        <v>1000</v>
      </c>
      <c r="L836">
        <f t="shared" si="135"/>
        <v>376.66666666666669</v>
      </c>
      <c r="M836" t="str">
        <f t="shared" si="138"/>
        <v>152023</v>
      </c>
      <c r="N836" t="str">
        <f t="shared" si="139"/>
        <v>15-4-2023</v>
      </c>
    </row>
    <row r="837" spans="1:14" x14ac:dyDescent="0.2">
      <c r="A837" s="1">
        <v>45032</v>
      </c>
      <c r="B837">
        <f>IFERROR(INDEX('planning dogs-n-tiger'!B$1:B$30,MATCH($H837,'planning dogs-n-tiger'!$G$1:$G$42,0)),0)</f>
        <v>60000</v>
      </c>
      <c r="C837">
        <f>IFERROR(INDEX('planning dogs-n-tiger'!C$1:C$30,MATCH($H837,'planning dogs-n-tiger'!$G$1:$G$42,0)),0)</f>
        <v>30000</v>
      </c>
      <c r="D837">
        <f>IFERROR(INDEX('planning dogs-n-tiger'!D$1:D$30,MATCH($H837,'planning dogs-n-tiger'!$G$1:$G$42,0)),0)</f>
        <v>11300</v>
      </c>
      <c r="E837">
        <f t="shared" si="130"/>
        <v>15</v>
      </c>
      <c r="F837">
        <f t="shared" si="131"/>
        <v>4</v>
      </c>
      <c r="G837">
        <f t="shared" si="132"/>
        <v>2023</v>
      </c>
      <c r="H837" t="str">
        <f t="shared" si="136"/>
        <v>42023</v>
      </c>
      <c r="I837">
        <f t="shared" si="137"/>
        <v>30</v>
      </c>
      <c r="J837">
        <f t="shared" si="133"/>
        <v>2000</v>
      </c>
      <c r="K837">
        <f t="shared" si="134"/>
        <v>1000</v>
      </c>
      <c r="L837">
        <f t="shared" si="135"/>
        <v>376.66666666666669</v>
      </c>
      <c r="M837" t="str">
        <f t="shared" si="138"/>
        <v>152023</v>
      </c>
      <c r="N837" t="str">
        <f t="shared" si="139"/>
        <v>15-4-2023</v>
      </c>
    </row>
    <row r="838" spans="1:14" x14ac:dyDescent="0.2">
      <c r="A838" s="1">
        <v>45033</v>
      </c>
      <c r="B838">
        <f>IFERROR(INDEX('planning dogs-n-tiger'!B$1:B$30,MATCH($H838,'planning dogs-n-tiger'!$G$1:$G$42,0)),0)</f>
        <v>60000</v>
      </c>
      <c r="C838">
        <f>IFERROR(INDEX('planning dogs-n-tiger'!C$1:C$30,MATCH($H838,'planning dogs-n-tiger'!$G$1:$G$42,0)),0)</f>
        <v>30000</v>
      </c>
      <c r="D838">
        <f>IFERROR(INDEX('planning dogs-n-tiger'!D$1:D$30,MATCH($H838,'planning dogs-n-tiger'!$G$1:$G$42,0)),0)</f>
        <v>11300</v>
      </c>
      <c r="E838">
        <f t="shared" si="130"/>
        <v>16</v>
      </c>
      <c r="F838">
        <f t="shared" si="131"/>
        <v>4</v>
      </c>
      <c r="G838">
        <f t="shared" si="132"/>
        <v>2023</v>
      </c>
      <c r="H838" t="str">
        <f t="shared" si="136"/>
        <v>42023</v>
      </c>
      <c r="I838">
        <f t="shared" si="137"/>
        <v>30</v>
      </c>
      <c r="J838">
        <f t="shared" si="133"/>
        <v>2000</v>
      </c>
      <c r="K838">
        <f t="shared" si="134"/>
        <v>1000</v>
      </c>
      <c r="L838">
        <f t="shared" si="135"/>
        <v>376.66666666666669</v>
      </c>
      <c r="M838" t="str">
        <f t="shared" si="138"/>
        <v>162023</v>
      </c>
      <c r="N838" t="str">
        <f t="shared" si="139"/>
        <v>16-4-2023</v>
      </c>
    </row>
    <row r="839" spans="1:14" x14ac:dyDescent="0.2">
      <c r="A839" s="1">
        <v>45034</v>
      </c>
      <c r="B839">
        <f>IFERROR(INDEX('planning dogs-n-tiger'!B$1:B$30,MATCH($H839,'planning dogs-n-tiger'!$G$1:$G$42,0)),0)</f>
        <v>60000</v>
      </c>
      <c r="C839">
        <f>IFERROR(INDEX('planning dogs-n-tiger'!C$1:C$30,MATCH($H839,'planning dogs-n-tiger'!$G$1:$G$42,0)),0)</f>
        <v>30000</v>
      </c>
      <c r="D839">
        <f>IFERROR(INDEX('planning dogs-n-tiger'!D$1:D$30,MATCH($H839,'planning dogs-n-tiger'!$G$1:$G$42,0)),0)</f>
        <v>11300</v>
      </c>
      <c r="E839">
        <f t="shared" si="130"/>
        <v>16</v>
      </c>
      <c r="F839">
        <f t="shared" si="131"/>
        <v>4</v>
      </c>
      <c r="G839">
        <f t="shared" si="132"/>
        <v>2023</v>
      </c>
      <c r="H839" t="str">
        <f t="shared" si="136"/>
        <v>42023</v>
      </c>
      <c r="I839">
        <f t="shared" si="137"/>
        <v>30</v>
      </c>
      <c r="J839">
        <f t="shared" si="133"/>
        <v>2000</v>
      </c>
      <c r="K839">
        <f t="shared" si="134"/>
        <v>1000</v>
      </c>
      <c r="L839">
        <f t="shared" si="135"/>
        <v>376.66666666666669</v>
      </c>
      <c r="M839" t="str">
        <f t="shared" si="138"/>
        <v>162023</v>
      </c>
      <c r="N839" t="str">
        <f t="shared" si="139"/>
        <v>16-4-2023</v>
      </c>
    </row>
    <row r="840" spans="1:14" x14ac:dyDescent="0.2">
      <c r="A840" s="1">
        <v>45035</v>
      </c>
      <c r="B840">
        <f>IFERROR(INDEX('planning dogs-n-tiger'!B$1:B$30,MATCH($H840,'planning dogs-n-tiger'!$G$1:$G$42,0)),0)</f>
        <v>60000</v>
      </c>
      <c r="C840">
        <f>IFERROR(INDEX('planning dogs-n-tiger'!C$1:C$30,MATCH($H840,'planning dogs-n-tiger'!$G$1:$G$42,0)),0)</f>
        <v>30000</v>
      </c>
      <c r="D840">
        <f>IFERROR(INDEX('planning dogs-n-tiger'!D$1:D$30,MATCH($H840,'planning dogs-n-tiger'!$G$1:$G$42,0)),0)</f>
        <v>11300</v>
      </c>
      <c r="E840">
        <f t="shared" si="130"/>
        <v>16</v>
      </c>
      <c r="F840">
        <f t="shared" si="131"/>
        <v>4</v>
      </c>
      <c r="G840">
        <f t="shared" si="132"/>
        <v>2023</v>
      </c>
      <c r="H840" t="str">
        <f t="shared" si="136"/>
        <v>42023</v>
      </c>
      <c r="I840">
        <f t="shared" si="137"/>
        <v>30</v>
      </c>
      <c r="J840">
        <f t="shared" si="133"/>
        <v>2000</v>
      </c>
      <c r="K840">
        <f t="shared" si="134"/>
        <v>1000</v>
      </c>
      <c r="L840">
        <f t="shared" si="135"/>
        <v>376.66666666666669</v>
      </c>
      <c r="M840" t="str">
        <f t="shared" si="138"/>
        <v>162023</v>
      </c>
      <c r="N840" t="str">
        <f t="shared" si="139"/>
        <v>16-4-2023</v>
      </c>
    </row>
    <row r="841" spans="1:14" x14ac:dyDescent="0.2">
      <c r="A841" s="1">
        <v>45036</v>
      </c>
      <c r="B841">
        <f>IFERROR(INDEX('planning dogs-n-tiger'!B$1:B$30,MATCH($H841,'planning dogs-n-tiger'!$G$1:$G$42,0)),0)</f>
        <v>60000</v>
      </c>
      <c r="C841">
        <f>IFERROR(INDEX('planning dogs-n-tiger'!C$1:C$30,MATCH($H841,'planning dogs-n-tiger'!$G$1:$G$42,0)),0)</f>
        <v>30000</v>
      </c>
      <c r="D841">
        <f>IFERROR(INDEX('planning dogs-n-tiger'!D$1:D$30,MATCH($H841,'planning dogs-n-tiger'!$G$1:$G$42,0)),0)</f>
        <v>11300</v>
      </c>
      <c r="E841">
        <f t="shared" si="130"/>
        <v>16</v>
      </c>
      <c r="F841">
        <f t="shared" si="131"/>
        <v>4</v>
      </c>
      <c r="G841">
        <f t="shared" si="132"/>
        <v>2023</v>
      </c>
      <c r="H841" t="str">
        <f t="shared" si="136"/>
        <v>42023</v>
      </c>
      <c r="I841">
        <f t="shared" si="137"/>
        <v>30</v>
      </c>
      <c r="J841">
        <f t="shared" si="133"/>
        <v>2000</v>
      </c>
      <c r="K841">
        <f t="shared" si="134"/>
        <v>1000</v>
      </c>
      <c r="L841">
        <f t="shared" si="135"/>
        <v>376.66666666666669</v>
      </c>
      <c r="M841" t="str">
        <f t="shared" si="138"/>
        <v>162023</v>
      </c>
      <c r="N841" t="str">
        <f t="shared" si="139"/>
        <v>16-4-2023</v>
      </c>
    </row>
    <row r="842" spans="1:14" x14ac:dyDescent="0.2">
      <c r="A842" s="1">
        <v>45037</v>
      </c>
      <c r="B842">
        <f>IFERROR(INDEX('planning dogs-n-tiger'!B$1:B$30,MATCH($H842,'planning dogs-n-tiger'!$G$1:$G$42,0)),0)</f>
        <v>60000</v>
      </c>
      <c r="C842">
        <f>IFERROR(INDEX('planning dogs-n-tiger'!C$1:C$30,MATCH($H842,'planning dogs-n-tiger'!$G$1:$G$42,0)),0)</f>
        <v>30000</v>
      </c>
      <c r="D842">
        <f>IFERROR(INDEX('planning dogs-n-tiger'!D$1:D$30,MATCH($H842,'planning dogs-n-tiger'!$G$1:$G$42,0)),0)</f>
        <v>11300</v>
      </c>
      <c r="E842">
        <f t="shared" si="130"/>
        <v>16</v>
      </c>
      <c r="F842">
        <f t="shared" si="131"/>
        <v>4</v>
      </c>
      <c r="G842">
        <f t="shared" si="132"/>
        <v>2023</v>
      </c>
      <c r="H842" t="str">
        <f t="shared" si="136"/>
        <v>42023</v>
      </c>
      <c r="I842">
        <f t="shared" si="137"/>
        <v>30</v>
      </c>
      <c r="J842">
        <f t="shared" si="133"/>
        <v>2000</v>
      </c>
      <c r="K842">
        <f t="shared" si="134"/>
        <v>1000</v>
      </c>
      <c r="L842">
        <f t="shared" si="135"/>
        <v>376.66666666666669</v>
      </c>
      <c r="M842" t="str">
        <f t="shared" si="138"/>
        <v>162023</v>
      </c>
      <c r="N842" t="str">
        <f t="shared" si="139"/>
        <v>16-4-2023</v>
      </c>
    </row>
    <row r="843" spans="1:14" x14ac:dyDescent="0.2">
      <c r="A843" s="1">
        <v>45038</v>
      </c>
      <c r="B843">
        <f>IFERROR(INDEX('planning dogs-n-tiger'!B$1:B$30,MATCH($H843,'planning dogs-n-tiger'!$G$1:$G$42,0)),0)</f>
        <v>60000</v>
      </c>
      <c r="C843">
        <f>IFERROR(INDEX('planning dogs-n-tiger'!C$1:C$30,MATCH($H843,'planning dogs-n-tiger'!$G$1:$G$42,0)),0)</f>
        <v>30000</v>
      </c>
      <c r="D843">
        <f>IFERROR(INDEX('planning dogs-n-tiger'!D$1:D$30,MATCH($H843,'planning dogs-n-tiger'!$G$1:$G$42,0)),0)</f>
        <v>11300</v>
      </c>
      <c r="E843">
        <f t="shared" si="130"/>
        <v>16</v>
      </c>
      <c r="F843">
        <f t="shared" si="131"/>
        <v>4</v>
      </c>
      <c r="G843">
        <f t="shared" si="132"/>
        <v>2023</v>
      </c>
      <c r="H843" t="str">
        <f t="shared" si="136"/>
        <v>42023</v>
      </c>
      <c r="I843">
        <f t="shared" si="137"/>
        <v>30</v>
      </c>
      <c r="J843">
        <f t="shared" si="133"/>
        <v>2000</v>
      </c>
      <c r="K843">
        <f t="shared" si="134"/>
        <v>1000</v>
      </c>
      <c r="L843">
        <f t="shared" si="135"/>
        <v>376.66666666666669</v>
      </c>
      <c r="M843" t="str">
        <f t="shared" si="138"/>
        <v>162023</v>
      </c>
      <c r="N843" t="str">
        <f t="shared" si="139"/>
        <v>16-4-2023</v>
      </c>
    </row>
    <row r="844" spans="1:14" x14ac:dyDescent="0.2">
      <c r="A844" s="1">
        <v>45039</v>
      </c>
      <c r="B844">
        <f>IFERROR(INDEX('planning dogs-n-tiger'!B$1:B$30,MATCH($H844,'planning dogs-n-tiger'!$G$1:$G$42,0)),0)</f>
        <v>60000</v>
      </c>
      <c r="C844">
        <f>IFERROR(INDEX('planning dogs-n-tiger'!C$1:C$30,MATCH($H844,'planning dogs-n-tiger'!$G$1:$G$42,0)),0)</f>
        <v>30000</v>
      </c>
      <c r="D844">
        <f>IFERROR(INDEX('planning dogs-n-tiger'!D$1:D$30,MATCH($H844,'planning dogs-n-tiger'!$G$1:$G$42,0)),0)</f>
        <v>11300</v>
      </c>
      <c r="E844">
        <f t="shared" si="130"/>
        <v>16</v>
      </c>
      <c r="F844">
        <f t="shared" si="131"/>
        <v>4</v>
      </c>
      <c r="G844">
        <f t="shared" si="132"/>
        <v>2023</v>
      </c>
      <c r="H844" t="str">
        <f t="shared" si="136"/>
        <v>42023</v>
      </c>
      <c r="I844">
        <f t="shared" si="137"/>
        <v>30</v>
      </c>
      <c r="J844">
        <f t="shared" si="133"/>
        <v>2000</v>
      </c>
      <c r="K844">
        <f t="shared" si="134"/>
        <v>1000</v>
      </c>
      <c r="L844">
        <f t="shared" si="135"/>
        <v>376.66666666666669</v>
      </c>
      <c r="M844" t="str">
        <f t="shared" si="138"/>
        <v>162023</v>
      </c>
      <c r="N844" t="str">
        <f t="shared" si="139"/>
        <v>16-4-2023</v>
      </c>
    </row>
    <row r="845" spans="1:14" x14ac:dyDescent="0.2">
      <c r="A845" s="1">
        <v>45040</v>
      </c>
      <c r="B845">
        <f>IFERROR(INDEX('planning dogs-n-tiger'!B$1:B$30,MATCH($H845,'planning dogs-n-tiger'!$G$1:$G$42,0)),0)</f>
        <v>60000</v>
      </c>
      <c r="C845">
        <f>IFERROR(INDEX('planning dogs-n-tiger'!C$1:C$30,MATCH($H845,'planning dogs-n-tiger'!$G$1:$G$42,0)),0)</f>
        <v>30000</v>
      </c>
      <c r="D845">
        <f>IFERROR(INDEX('planning dogs-n-tiger'!D$1:D$30,MATCH($H845,'planning dogs-n-tiger'!$G$1:$G$42,0)),0)</f>
        <v>11300</v>
      </c>
      <c r="E845">
        <f t="shared" si="130"/>
        <v>17</v>
      </c>
      <c r="F845">
        <f t="shared" si="131"/>
        <v>4</v>
      </c>
      <c r="G845">
        <f t="shared" si="132"/>
        <v>2023</v>
      </c>
      <c r="H845" t="str">
        <f t="shared" si="136"/>
        <v>42023</v>
      </c>
      <c r="I845">
        <f t="shared" si="137"/>
        <v>30</v>
      </c>
      <c r="J845">
        <f t="shared" si="133"/>
        <v>2000</v>
      </c>
      <c r="K845">
        <f t="shared" si="134"/>
        <v>1000</v>
      </c>
      <c r="L845">
        <f t="shared" si="135"/>
        <v>376.66666666666669</v>
      </c>
      <c r="M845" t="str">
        <f t="shared" si="138"/>
        <v>172023</v>
      </c>
      <c r="N845" t="str">
        <f t="shared" si="139"/>
        <v>17-4-2023</v>
      </c>
    </row>
    <row r="846" spans="1:14" x14ac:dyDescent="0.2">
      <c r="A846" s="1">
        <v>45041</v>
      </c>
      <c r="B846">
        <f>IFERROR(INDEX('planning dogs-n-tiger'!B$1:B$30,MATCH($H846,'planning dogs-n-tiger'!$G$1:$G$42,0)),0)</f>
        <v>60000</v>
      </c>
      <c r="C846">
        <f>IFERROR(INDEX('planning dogs-n-tiger'!C$1:C$30,MATCH($H846,'planning dogs-n-tiger'!$G$1:$G$42,0)),0)</f>
        <v>30000</v>
      </c>
      <c r="D846">
        <f>IFERROR(INDEX('planning dogs-n-tiger'!D$1:D$30,MATCH($H846,'planning dogs-n-tiger'!$G$1:$G$42,0)),0)</f>
        <v>11300</v>
      </c>
      <c r="E846">
        <f t="shared" si="130"/>
        <v>17</v>
      </c>
      <c r="F846">
        <f t="shared" si="131"/>
        <v>4</v>
      </c>
      <c r="G846">
        <f t="shared" si="132"/>
        <v>2023</v>
      </c>
      <c r="H846" t="str">
        <f t="shared" si="136"/>
        <v>42023</v>
      </c>
      <c r="I846">
        <f t="shared" si="137"/>
        <v>30</v>
      </c>
      <c r="J846">
        <f t="shared" si="133"/>
        <v>2000</v>
      </c>
      <c r="K846">
        <f t="shared" si="134"/>
        <v>1000</v>
      </c>
      <c r="L846">
        <f t="shared" si="135"/>
        <v>376.66666666666669</v>
      </c>
      <c r="M846" t="str">
        <f t="shared" si="138"/>
        <v>172023</v>
      </c>
      <c r="N846" t="str">
        <f t="shared" si="139"/>
        <v>17-4-2023</v>
      </c>
    </row>
    <row r="847" spans="1:14" x14ac:dyDescent="0.2">
      <c r="A847" s="1">
        <v>45042</v>
      </c>
      <c r="B847">
        <f>IFERROR(INDEX('planning dogs-n-tiger'!B$1:B$30,MATCH($H847,'planning dogs-n-tiger'!$G$1:$G$42,0)),0)</f>
        <v>60000</v>
      </c>
      <c r="C847">
        <f>IFERROR(INDEX('planning dogs-n-tiger'!C$1:C$30,MATCH($H847,'planning dogs-n-tiger'!$G$1:$G$42,0)),0)</f>
        <v>30000</v>
      </c>
      <c r="D847">
        <f>IFERROR(INDEX('planning dogs-n-tiger'!D$1:D$30,MATCH($H847,'planning dogs-n-tiger'!$G$1:$G$42,0)),0)</f>
        <v>11300</v>
      </c>
      <c r="E847">
        <f t="shared" si="130"/>
        <v>17</v>
      </c>
      <c r="F847">
        <f t="shared" si="131"/>
        <v>4</v>
      </c>
      <c r="G847">
        <f t="shared" si="132"/>
        <v>2023</v>
      </c>
      <c r="H847" t="str">
        <f t="shared" si="136"/>
        <v>42023</v>
      </c>
      <c r="I847">
        <f t="shared" si="137"/>
        <v>30</v>
      </c>
      <c r="J847">
        <f t="shared" si="133"/>
        <v>2000</v>
      </c>
      <c r="K847">
        <f t="shared" si="134"/>
        <v>1000</v>
      </c>
      <c r="L847">
        <f t="shared" si="135"/>
        <v>376.66666666666669</v>
      </c>
      <c r="M847" t="str">
        <f t="shared" si="138"/>
        <v>172023</v>
      </c>
      <c r="N847" t="str">
        <f t="shared" si="139"/>
        <v>17-4-2023</v>
      </c>
    </row>
    <row r="848" spans="1:14" x14ac:dyDescent="0.2">
      <c r="A848" s="1">
        <v>45043</v>
      </c>
      <c r="B848">
        <f>IFERROR(INDEX('planning dogs-n-tiger'!B$1:B$30,MATCH($H848,'planning dogs-n-tiger'!$G$1:$G$42,0)),0)</f>
        <v>60000</v>
      </c>
      <c r="C848">
        <f>IFERROR(INDEX('planning dogs-n-tiger'!C$1:C$30,MATCH($H848,'planning dogs-n-tiger'!$G$1:$G$42,0)),0)</f>
        <v>30000</v>
      </c>
      <c r="D848">
        <f>IFERROR(INDEX('planning dogs-n-tiger'!D$1:D$30,MATCH($H848,'planning dogs-n-tiger'!$G$1:$G$42,0)),0)</f>
        <v>11300</v>
      </c>
      <c r="E848">
        <f t="shared" si="130"/>
        <v>17</v>
      </c>
      <c r="F848">
        <f t="shared" si="131"/>
        <v>4</v>
      </c>
      <c r="G848">
        <f t="shared" si="132"/>
        <v>2023</v>
      </c>
      <c r="H848" t="str">
        <f t="shared" si="136"/>
        <v>42023</v>
      </c>
      <c r="I848">
        <f t="shared" si="137"/>
        <v>30</v>
      </c>
      <c r="J848">
        <f t="shared" si="133"/>
        <v>2000</v>
      </c>
      <c r="K848">
        <f t="shared" si="134"/>
        <v>1000</v>
      </c>
      <c r="L848">
        <f t="shared" si="135"/>
        <v>376.66666666666669</v>
      </c>
      <c r="M848" t="str">
        <f t="shared" si="138"/>
        <v>172023</v>
      </c>
      <c r="N848" t="str">
        <f t="shared" si="139"/>
        <v>17-4-2023</v>
      </c>
    </row>
    <row r="849" spans="1:14" x14ac:dyDescent="0.2">
      <c r="A849" s="1">
        <v>45044</v>
      </c>
      <c r="B849">
        <f>IFERROR(INDEX('planning dogs-n-tiger'!B$1:B$30,MATCH($H849,'planning dogs-n-tiger'!$G$1:$G$42,0)),0)</f>
        <v>60000</v>
      </c>
      <c r="C849">
        <f>IFERROR(INDEX('planning dogs-n-tiger'!C$1:C$30,MATCH($H849,'planning dogs-n-tiger'!$G$1:$G$42,0)),0)</f>
        <v>30000</v>
      </c>
      <c r="D849">
        <f>IFERROR(INDEX('planning dogs-n-tiger'!D$1:D$30,MATCH($H849,'planning dogs-n-tiger'!$G$1:$G$42,0)),0)</f>
        <v>11300</v>
      </c>
      <c r="E849">
        <f t="shared" si="130"/>
        <v>17</v>
      </c>
      <c r="F849">
        <f t="shared" si="131"/>
        <v>4</v>
      </c>
      <c r="G849">
        <f t="shared" si="132"/>
        <v>2023</v>
      </c>
      <c r="H849" t="str">
        <f t="shared" si="136"/>
        <v>42023</v>
      </c>
      <c r="I849">
        <f t="shared" si="137"/>
        <v>30</v>
      </c>
      <c r="J849">
        <f t="shared" si="133"/>
        <v>2000</v>
      </c>
      <c r="K849">
        <f t="shared" si="134"/>
        <v>1000</v>
      </c>
      <c r="L849">
        <f t="shared" si="135"/>
        <v>376.66666666666669</v>
      </c>
      <c r="M849" t="str">
        <f t="shared" si="138"/>
        <v>172023</v>
      </c>
      <c r="N849" t="str">
        <f t="shared" si="139"/>
        <v>17-4-2023</v>
      </c>
    </row>
    <row r="850" spans="1:14" x14ac:dyDescent="0.2">
      <c r="A850" s="1">
        <v>45045</v>
      </c>
      <c r="B850">
        <f>IFERROR(INDEX('planning dogs-n-tiger'!B$1:B$30,MATCH($H850,'planning dogs-n-tiger'!$G$1:$G$42,0)),0)</f>
        <v>60000</v>
      </c>
      <c r="C850">
        <f>IFERROR(INDEX('planning dogs-n-tiger'!C$1:C$30,MATCH($H850,'planning dogs-n-tiger'!$G$1:$G$42,0)),0)</f>
        <v>30000</v>
      </c>
      <c r="D850">
        <f>IFERROR(INDEX('planning dogs-n-tiger'!D$1:D$30,MATCH($H850,'planning dogs-n-tiger'!$G$1:$G$42,0)),0)</f>
        <v>11300</v>
      </c>
      <c r="E850">
        <f t="shared" si="130"/>
        <v>17</v>
      </c>
      <c r="F850">
        <f t="shared" si="131"/>
        <v>4</v>
      </c>
      <c r="G850">
        <f t="shared" si="132"/>
        <v>2023</v>
      </c>
      <c r="H850" t="str">
        <f t="shared" si="136"/>
        <v>42023</v>
      </c>
      <c r="I850">
        <f t="shared" si="137"/>
        <v>30</v>
      </c>
      <c r="J850">
        <f t="shared" si="133"/>
        <v>2000</v>
      </c>
      <c r="K850">
        <f t="shared" si="134"/>
        <v>1000</v>
      </c>
      <c r="L850">
        <f t="shared" si="135"/>
        <v>376.66666666666669</v>
      </c>
      <c r="M850" t="str">
        <f t="shared" si="138"/>
        <v>172023</v>
      </c>
      <c r="N850" t="str">
        <f t="shared" si="139"/>
        <v>17-4-2023</v>
      </c>
    </row>
    <row r="851" spans="1:14" x14ac:dyDescent="0.2">
      <c r="A851" s="1">
        <v>45046</v>
      </c>
      <c r="B851">
        <f>IFERROR(INDEX('planning dogs-n-tiger'!B$1:B$30,MATCH($H851,'planning dogs-n-tiger'!$G$1:$G$42,0)),0)</f>
        <v>60000</v>
      </c>
      <c r="C851">
        <f>IFERROR(INDEX('planning dogs-n-tiger'!C$1:C$30,MATCH($H851,'planning dogs-n-tiger'!$G$1:$G$42,0)),0)</f>
        <v>30000</v>
      </c>
      <c r="D851">
        <f>IFERROR(INDEX('planning dogs-n-tiger'!D$1:D$30,MATCH($H851,'planning dogs-n-tiger'!$G$1:$G$42,0)),0)</f>
        <v>11300</v>
      </c>
      <c r="E851">
        <f t="shared" si="130"/>
        <v>17</v>
      </c>
      <c r="F851">
        <f t="shared" si="131"/>
        <v>4</v>
      </c>
      <c r="G851">
        <f t="shared" si="132"/>
        <v>2023</v>
      </c>
      <c r="H851" t="str">
        <f t="shared" si="136"/>
        <v>42023</v>
      </c>
      <c r="I851">
        <f t="shared" si="137"/>
        <v>30</v>
      </c>
      <c r="J851">
        <f t="shared" si="133"/>
        <v>2000</v>
      </c>
      <c r="K851">
        <f t="shared" si="134"/>
        <v>1000</v>
      </c>
      <c r="L851">
        <f t="shared" si="135"/>
        <v>376.66666666666669</v>
      </c>
      <c r="M851" t="str">
        <f t="shared" si="138"/>
        <v>172023</v>
      </c>
      <c r="N851" t="str">
        <f t="shared" si="139"/>
        <v>17-4-2023</v>
      </c>
    </row>
    <row r="852" spans="1:14" x14ac:dyDescent="0.2">
      <c r="A852" s="1">
        <v>45047</v>
      </c>
      <c r="B852">
        <f>IFERROR(INDEX('planning dogs-n-tiger'!B$1:B$30,MATCH($H852,'planning dogs-n-tiger'!$G$1:$G$42,0)),0)</f>
        <v>60000</v>
      </c>
      <c r="C852">
        <f>IFERROR(INDEX('planning dogs-n-tiger'!C$1:C$30,MATCH($H852,'planning dogs-n-tiger'!$G$1:$G$42,0)),0)</f>
        <v>30000</v>
      </c>
      <c r="D852">
        <f>IFERROR(INDEX('planning dogs-n-tiger'!D$1:D$30,MATCH($H852,'planning dogs-n-tiger'!$G$1:$G$42,0)),0)</f>
        <v>15000</v>
      </c>
      <c r="E852">
        <f t="shared" si="130"/>
        <v>18</v>
      </c>
      <c r="F852">
        <f t="shared" si="131"/>
        <v>5</v>
      </c>
      <c r="G852">
        <f t="shared" si="132"/>
        <v>2023</v>
      </c>
      <c r="H852" t="str">
        <f t="shared" si="136"/>
        <v>52023</v>
      </c>
      <c r="I852">
        <f t="shared" si="137"/>
        <v>31</v>
      </c>
      <c r="J852">
        <f t="shared" si="133"/>
        <v>1935.483870967742</v>
      </c>
      <c r="K852">
        <f t="shared" si="134"/>
        <v>967.74193548387098</v>
      </c>
      <c r="L852">
        <f t="shared" si="135"/>
        <v>483.87096774193549</v>
      </c>
      <c r="M852" t="str">
        <f t="shared" si="138"/>
        <v>182023</v>
      </c>
      <c r="N852" t="str">
        <f t="shared" si="139"/>
        <v>18-5-2023</v>
      </c>
    </row>
    <row r="853" spans="1:14" x14ac:dyDescent="0.2">
      <c r="A853" s="1">
        <v>45048</v>
      </c>
      <c r="B853">
        <f>IFERROR(INDEX('planning dogs-n-tiger'!B$1:B$30,MATCH($H853,'planning dogs-n-tiger'!$G$1:$G$42,0)),0)</f>
        <v>60000</v>
      </c>
      <c r="C853">
        <f>IFERROR(INDEX('planning dogs-n-tiger'!C$1:C$30,MATCH($H853,'planning dogs-n-tiger'!$G$1:$G$42,0)),0)</f>
        <v>30000</v>
      </c>
      <c r="D853">
        <f>IFERROR(INDEX('planning dogs-n-tiger'!D$1:D$30,MATCH($H853,'planning dogs-n-tiger'!$G$1:$G$42,0)),0)</f>
        <v>15000</v>
      </c>
      <c r="E853">
        <f t="shared" si="130"/>
        <v>18</v>
      </c>
      <c r="F853">
        <f t="shared" si="131"/>
        <v>5</v>
      </c>
      <c r="G853">
        <f t="shared" si="132"/>
        <v>2023</v>
      </c>
      <c r="H853" t="str">
        <f t="shared" si="136"/>
        <v>52023</v>
      </c>
      <c r="I853">
        <f t="shared" si="137"/>
        <v>31</v>
      </c>
      <c r="J853">
        <f t="shared" si="133"/>
        <v>1935.483870967742</v>
      </c>
      <c r="K853">
        <f t="shared" si="134"/>
        <v>967.74193548387098</v>
      </c>
      <c r="L853">
        <f t="shared" si="135"/>
        <v>483.87096774193549</v>
      </c>
      <c r="M853" t="str">
        <f t="shared" si="138"/>
        <v>182023</v>
      </c>
      <c r="N853" t="str">
        <f t="shared" si="139"/>
        <v>18-5-2023</v>
      </c>
    </row>
    <row r="854" spans="1:14" x14ac:dyDescent="0.2">
      <c r="A854" s="1">
        <v>45049</v>
      </c>
      <c r="B854">
        <f>IFERROR(INDEX('planning dogs-n-tiger'!B$1:B$30,MATCH($H854,'planning dogs-n-tiger'!$G$1:$G$42,0)),0)</f>
        <v>60000</v>
      </c>
      <c r="C854">
        <f>IFERROR(INDEX('planning dogs-n-tiger'!C$1:C$30,MATCH($H854,'planning dogs-n-tiger'!$G$1:$G$42,0)),0)</f>
        <v>30000</v>
      </c>
      <c r="D854">
        <f>IFERROR(INDEX('planning dogs-n-tiger'!D$1:D$30,MATCH($H854,'planning dogs-n-tiger'!$G$1:$G$42,0)),0)</f>
        <v>15000</v>
      </c>
      <c r="E854">
        <f t="shared" si="130"/>
        <v>18</v>
      </c>
      <c r="F854">
        <f t="shared" si="131"/>
        <v>5</v>
      </c>
      <c r="G854">
        <f t="shared" si="132"/>
        <v>2023</v>
      </c>
      <c r="H854" t="str">
        <f t="shared" si="136"/>
        <v>52023</v>
      </c>
      <c r="I854">
        <f t="shared" si="137"/>
        <v>31</v>
      </c>
      <c r="J854">
        <f t="shared" si="133"/>
        <v>1935.483870967742</v>
      </c>
      <c r="K854">
        <f t="shared" si="134"/>
        <v>967.74193548387098</v>
      </c>
      <c r="L854">
        <f t="shared" si="135"/>
        <v>483.87096774193549</v>
      </c>
      <c r="M854" t="str">
        <f t="shared" si="138"/>
        <v>182023</v>
      </c>
      <c r="N854" t="str">
        <f t="shared" si="139"/>
        <v>18-5-2023</v>
      </c>
    </row>
    <row r="855" spans="1:14" x14ac:dyDescent="0.2">
      <c r="A855" s="1">
        <v>45050</v>
      </c>
      <c r="B855">
        <f>IFERROR(INDEX('planning dogs-n-tiger'!B$1:B$30,MATCH($H855,'planning dogs-n-tiger'!$G$1:$G$42,0)),0)</f>
        <v>60000</v>
      </c>
      <c r="C855">
        <f>IFERROR(INDEX('planning dogs-n-tiger'!C$1:C$30,MATCH($H855,'planning dogs-n-tiger'!$G$1:$G$42,0)),0)</f>
        <v>30000</v>
      </c>
      <c r="D855">
        <f>IFERROR(INDEX('planning dogs-n-tiger'!D$1:D$30,MATCH($H855,'planning dogs-n-tiger'!$G$1:$G$42,0)),0)</f>
        <v>15000</v>
      </c>
      <c r="E855">
        <f t="shared" si="130"/>
        <v>18</v>
      </c>
      <c r="F855">
        <f t="shared" si="131"/>
        <v>5</v>
      </c>
      <c r="G855">
        <f t="shared" si="132"/>
        <v>2023</v>
      </c>
      <c r="H855" t="str">
        <f t="shared" si="136"/>
        <v>52023</v>
      </c>
      <c r="I855">
        <f t="shared" si="137"/>
        <v>31</v>
      </c>
      <c r="J855">
        <f t="shared" si="133"/>
        <v>1935.483870967742</v>
      </c>
      <c r="K855">
        <f t="shared" si="134"/>
        <v>967.74193548387098</v>
      </c>
      <c r="L855">
        <f t="shared" si="135"/>
        <v>483.87096774193549</v>
      </c>
      <c r="M855" t="str">
        <f t="shared" si="138"/>
        <v>182023</v>
      </c>
      <c r="N855" t="str">
        <f t="shared" si="139"/>
        <v>18-5-2023</v>
      </c>
    </row>
    <row r="856" spans="1:14" x14ac:dyDescent="0.2">
      <c r="A856" s="1">
        <v>45051</v>
      </c>
      <c r="B856">
        <f>IFERROR(INDEX('planning dogs-n-tiger'!B$1:B$30,MATCH($H856,'planning dogs-n-tiger'!$G$1:$G$42,0)),0)</f>
        <v>60000</v>
      </c>
      <c r="C856">
        <f>IFERROR(INDEX('planning dogs-n-tiger'!C$1:C$30,MATCH($H856,'planning dogs-n-tiger'!$G$1:$G$42,0)),0)</f>
        <v>30000</v>
      </c>
      <c r="D856">
        <f>IFERROR(INDEX('planning dogs-n-tiger'!D$1:D$30,MATCH($H856,'planning dogs-n-tiger'!$G$1:$G$42,0)),0)</f>
        <v>15000</v>
      </c>
      <c r="E856">
        <f t="shared" si="130"/>
        <v>18</v>
      </c>
      <c r="F856">
        <f t="shared" si="131"/>
        <v>5</v>
      </c>
      <c r="G856">
        <f t="shared" si="132"/>
        <v>2023</v>
      </c>
      <c r="H856" t="str">
        <f t="shared" si="136"/>
        <v>52023</v>
      </c>
      <c r="I856">
        <f t="shared" si="137"/>
        <v>31</v>
      </c>
      <c r="J856">
        <f t="shared" si="133"/>
        <v>1935.483870967742</v>
      </c>
      <c r="K856">
        <f t="shared" si="134"/>
        <v>967.74193548387098</v>
      </c>
      <c r="L856">
        <f t="shared" si="135"/>
        <v>483.87096774193549</v>
      </c>
      <c r="M856" t="str">
        <f t="shared" si="138"/>
        <v>182023</v>
      </c>
      <c r="N856" t="str">
        <f t="shared" si="139"/>
        <v>18-5-2023</v>
      </c>
    </row>
    <row r="857" spans="1:14" x14ac:dyDescent="0.2">
      <c r="A857" s="1">
        <v>45052</v>
      </c>
      <c r="B857">
        <f>IFERROR(INDEX('planning dogs-n-tiger'!B$1:B$30,MATCH($H857,'planning dogs-n-tiger'!$G$1:$G$42,0)),0)</f>
        <v>60000</v>
      </c>
      <c r="C857">
        <f>IFERROR(INDEX('planning dogs-n-tiger'!C$1:C$30,MATCH($H857,'planning dogs-n-tiger'!$G$1:$G$42,0)),0)</f>
        <v>30000</v>
      </c>
      <c r="D857">
        <f>IFERROR(INDEX('planning dogs-n-tiger'!D$1:D$30,MATCH($H857,'planning dogs-n-tiger'!$G$1:$G$42,0)),0)</f>
        <v>15000</v>
      </c>
      <c r="E857">
        <f t="shared" si="130"/>
        <v>18</v>
      </c>
      <c r="F857">
        <f t="shared" si="131"/>
        <v>5</v>
      </c>
      <c r="G857">
        <f t="shared" si="132"/>
        <v>2023</v>
      </c>
      <c r="H857" t="str">
        <f t="shared" si="136"/>
        <v>52023</v>
      </c>
      <c r="I857">
        <f t="shared" si="137"/>
        <v>31</v>
      </c>
      <c r="J857">
        <f t="shared" si="133"/>
        <v>1935.483870967742</v>
      </c>
      <c r="K857">
        <f t="shared" si="134"/>
        <v>967.74193548387098</v>
      </c>
      <c r="L857">
        <f t="shared" si="135"/>
        <v>483.87096774193549</v>
      </c>
      <c r="M857" t="str">
        <f t="shared" si="138"/>
        <v>182023</v>
      </c>
      <c r="N857" t="str">
        <f t="shared" si="139"/>
        <v>18-5-2023</v>
      </c>
    </row>
    <row r="858" spans="1:14" x14ac:dyDescent="0.2">
      <c r="A858" s="1">
        <v>45053</v>
      </c>
      <c r="B858">
        <f>IFERROR(INDEX('planning dogs-n-tiger'!B$1:B$30,MATCH($H858,'planning dogs-n-tiger'!$G$1:$G$42,0)),0)</f>
        <v>60000</v>
      </c>
      <c r="C858">
        <f>IFERROR(INDEX('planning dogs-n-tiger'!C$1:C$30,MATCH($H858,'planning dogs-n-tiger'!$G$1:$G$42,0)),0)</f>
        <v>30000</v>
      </c>
      <c r="D858">
        <f>IFERROR(INDEX('planning dogs-n-tiger'!D$1:D$30,MATCH($H858,'planning dogs-n-tiger'!$G$1:$G$42,0)),0)</f>
        <v>15000</v>
      </c>
      <c r="E858">
        <f t="shared" si="130"/>
        <v>18</v>
      </c>
      <c r="F858">
        <f t="shared" si="131"/>
        <v>5</v>
      </c>
      <c r="G858">
        <f t="shared" si="132"/>
        <v>2023</v>
      </c>
      <c r="H858" t="str">
        <f t="shared" si="136"/>
        <v>52023</v>
      </c>
      <c r="I858">
        <f t="shared" si="137"/>
        <v>31</v>
      </c>
      <c r="J858">
        <f t="shared" si="133"/>
        <v>1935.483870967742</v>
      </c>
      <c r="K858">
        <f t="shared" si="134"/>
        <v>967.74193548387098</v>
      </c>
      <c r="L858">
        <f t="shared" si="135"/>
        <v>483.87096774193549</v>
      </c>
      <c r="M858" t="str">
        <f t="shared" si="138"/>
        <v>182023</v>
      </c>
      <c r="N858" t="str">
        <f t="shared" si="139"/>
        <v>18-5-2023</v>
      </c>
    </row>
    <row r="859" spans="1:14" x14ac:dyDescent="0.2">
      <c r="A859" s="1">
        <v>45054</v>
      </c>
      <c r="B859">
        <f>IFERROR(INDEX('planning dogs-n-tiger'!B$1:B$30,MATCH($H859,'planning dogs-n-tiger'!$G$1:$G$42,0)),0)</f>
        <v>60000</v>
      </c>
      <c r="C859">
        <f>IFERROR(INDEX('planning dogs-n-tiger'!C$1:C$30,MATCH($H859,'planning dogs-n-tiger'!$G$1:$G$42,0)),0)</f>
        <v>30000</v>
      </c>
      <c r="D859">
        <f>IFERROR(INDEX('planning dogs-n-tiger'!D$1:D$30,MATCH($H859,'planning dogs-n-tiger'!$G$1:$G$42,0)),0)</f>
        <v>15000</v>
      </c>
      <c r="E859">
        <f t="shared" si="130"/>
        <v>19</v>
      </c>
      <c r="F859">
        <f t="shared" si="131"/>
        <v>5</v>
      </c>
      <c r="G859">
        <f t="shared" si="132"/>
        <v>2023</v>
      </c>
      <c r="H859" t="str">
        <f t="shared" si="136"/>
        <v>52023</v>
      </c>
      <c r="I859">
        <f t="shared" si="137"/>
        <v>31</v>
      </c>
      <c r="J859">
        <f t="shared" si="133"/>
        <v>1935.483870967742</v>
      </c>
      <c r="K859">
        <f t="shared" si="134"/>
        <v>967.74193548387098</v>
      </c>
      <c r="L859">
        <f t="shared" si="135"/>
        <v>483.87096774193549</v>
      </c>
      <c r="M859" t="str">
        <f t="shared" si="138"/>
        <v>192023</v>
      </c>
      <c r="N859" t="str">
        <f t="shared" si="139"/>
        <v>19-5-2023</v>
      </c>
    </row>
    <row r="860" spans="1:14" x14ac:dyDescent="0.2">
      <c r="A860" s="1">
        <v>45055</v>
      </c>
      <c r="B860">
        <f>IFERROR(INDEX('planning dogs-n-tiger'!B$1:B$30,MATCH($H860,'planning dogs-n-tiger'!$G$1:$G$42,0)),0)</f>
        <v>60000</v>
      </c>
      <c r="C860">
        <f>IFERROR(INDEX('planning dogs-n-tiger'!C$1:C$30,MATCH($H860,'planning dogs-n-tiger'!$G$1:$G$42,0)),0)</f>
        <v>30000</v>
      </c>
      <c r="D860">
        <f>IFERROR(INDEX('planning dogs-n-tiger'!D$1:D$30,MATCH($H860,'planning dogs-n-tiger'!$G$1:$G$42,0)),0)</f>
        <v>15000</v>
      </c>
      <c r="E860">
        <f t="shared" si="130"/>
        <v>19</v>
      </c>
      <c r="F860">
        <f t="shared" si="131"/>
        <v>5</v>
      </c>
      <c r="G860">
        <f t="shared" si="132"/>
        <v>2023</v>
      </c>
      <c r="H860" t="str">
        <f t="shared" si="136"/>
        <v>52023</v>
      </c>
      <c r="I860">
        <f t="shared" si="137"/>
        <v>31</v>
      </c>
      <c r="J860">
        <f t="shared" si="133"/>
        <v>1935.483870967742</v>
      </c>
      <c r="K860">
        <f t="shared" si="134"/>
        <v>967.74193548387098</v>
      </c>
      <c r="L860">
        <f t="shared" si="135"/>
        <v>483.87096774193549</v>
      </c>
      <c r="M860" t="str">
        <f t="shared" si="138"/>
        <v>192023</v>
      </c>
      <c r="N860" t="str">
        <f t="shared" si="139"/>
        <v>19-5-2023</v>
      </c>
    </row>
    <row r="861" spans="1:14" x14ac:dyDescent="0.2">
      <c r="A861" s="1">
        <v>45056</v>
      </c>
      <c r="B861">
        <f>IFERROR(INDEX('planning dogs-n-tiger'!B$1:B$30,MATCH($H861,'planning dogs-n-tiger'!$G$1:$G$42,0)),0)</f>
        <v>60000</v>
      </c>
      <c r="C861">
        <f>IFERROR(INDEX('planning dogs-n-tiger'!C$1:C$30,MATCH($H861,'planning dogs-n-tiger'!$G$1:$G$42,0)),0)</f>
        <v>30000</v>
      </c>
      <c r="D861">
        <f>IFERROR(INDEX('planning dogs-n-tiger'!D$1:D$30,MATCH($H861,'planning dogs-n-tiger'!$G$1:$G$42,0)),0)</f>
        <v>15000</v>
      </c>
      <c r="E861">
        <f t="shared" si="130"/>
        <v>19</v>
      </c>
      <c r="F861">
        <f t="shared" si="131"/>
        <v>5</v>
      </c>
      <c r="G861">
        <f t="shared" si="132"/>
        <v>2023</v>
      </c>
      <c r="H861" t="str">
        <f t="shared" si="136"/>
        <v>52023</v>
      </c>
      <c r="I861">
        <f t="shared" si="137"/>
        <v>31</v>
      </c>
      <c r="J861">
        <f t="shared" si="133"/>
        <v>1935.483870967742</v>
      </c>
      <c r="K861">
        <f t="shared" si="134"/>
        <v>967.74193548387098</v>
      </c>
      <c r="L861">
        <f t="shared" si="135"/>
        <v>483.87096774193549</v>
      </c>
      <c r="M861" t="str">
        <f t="shared" si="138"/>
        <v>192023</v>
      </c>
      <c r="N861" t="str">
        <f t="shared" si="139"/>
        <v>19-5-2023</v>
      </c>
    </row>
    <row r="862" spans="1:14" x14ac:dyDescent="0.2">
      <c r="A862" s="1">
        <v>45057</v>
      </c>
      <c r="B862">
        <f>IFERROR(INDEX('planning dogs-n-tiger'!B$1:B$30,MATCH($H862,'planning dogs-n-tiger'!$G$1:$G$42,0)),0)</f>
        <v>60000</v>
      </c>
      <c r="C862">
        <f>IFERROR(INDEX('planning dogs-n-tiger'!C$1:C$30,MATCH($H862,'planning dogs-n-tiger'!$G$1:$G$42,0)),0)</f>
        <v>30000</v>
      </c>
      <c r="D862">
        <f>IFERROR(INDEX('planning dogs-n-tiger'!D$1:D$30,MATCH($H862,'planning dogs-n-tiger'!$G$1:$G$42,0)),0)</f>
        <v>15000</v>
      </c>
      <c r="E862">
        <f t="shared" si="130"/>
        <v>19</v>
      </c>
      <c r="F862">
        <f t="shared" si="131"/>
        <v>5</v>
      </c>
      <c r="G862">
        <f t="shared" si="132"/>
        <v>2023</v>
      </c>
      <c r="H862" t="str">
        <f t="shared" si="136"/>
        <v>52023</v>
      </c>
      <c r="I862">
        <f t="shared" si="137"/>
        <v>31</v>
      </c>
      <c r="J862">
        <f t="shared" si="133"/>
        <v>1935.483870967742</v>
      </c>
      <c r="K862">
        <f t="shared" si="134"/>
        <v>967.74193548387098</v>
      </c>
      <c r="L862">
        <f t="shared" si="135"/>
        <v>483.87096774193549</v>
      </c>
      <c r="M862" t="str">
        <f t="shared" si="138"/>
        <v>192023</v>
      </c>
      <c r="N862" t="str">
        <f t="shared" si="139"/>
        <v>19-5-2023</v>
      </c>
    </row>
    <row r="863" spans="1:14" x14ac:dyDescent="0.2">
      <c r="A863" s="1">
        <v>45058</v>
      </c>
      <c r="B863">
        <f>IFERROR(INDEX('planning dogs-n-tiger'!B$1:B$30,MATCH($H863,'planning dogs-n-tiger'!$G$1:$G$42,0)),0)</f>
        <v>60000</v>
      </c>
      <c r="C863">
        <f>IFERROR(INDEX('planning dogs-n-tiger'!C$1:C$30,MATCH($H863,'planning dogs-n-tiger'!$G$1:$G$42,0)),0)</f>
        <v>30000</v>
      </c>
      <c r="D863">
        <f>IFERROR(INDEX('planning dogs-n-tiger'!D$1:D$30,MATCH($H863,'planning dogs-n-tiger'!$G$1:$G$42,0)),0)</f>
        <v>15000</v>
      </c>
      <c r="E863">
        <f t="shared" si="130"/>
        <v>19</v>
      </c>
      <c r="F863">
        <f t="shared" si="131"/>
        <v>5</v>
      </c>
      <c r="G863">
        <f t="shared" si="132"/>
        <v>2023</v>
      </c>
      <c r="H863" t="str">
        <f t="shared" si="136"/>
        <v>52023</v>
      </c>
      <c r="I863">
        <f t="shared" si="137"/>
        <v>31</v>
      </c>
      <c r="J863">
        <f t="shared" si="133"/>
        <v>1935.483870967742</v>
      </c>
      <c r="K863">
        <f t="shared" si="134"/>
        <v>967.74193548387098</v>
      </c>
      <c r="L863">
        <f t="shared" si="135"/>
        <v>483.87096774193549</v>
      </c>
      <c r="M863" t="str">
        <f t="shared" si="138"/>
        <v>192023</v>
      </c>
      <c r="N863" t="str">
        <f t="shared" si="139"/>
        <v>19-5-2023</v>
      </c>
    </row>
    <row r="864" spans="1:14" x14ac:dyDescent="0.2">
      <c r="A864" s="1">
        <v>45059</v>
      </c>
      <c r="B864">
        <f>IFERROR(INDEX('planning dogs-n-tiger'!B$1:B$30,MATCH($H864,'planning dogs-n-tiger'!$G$1:$G$42,0)),0)</f>
        <v>60000</v>
      </c>
      <c r="C864">
        <f>IFERROR(INDEX('planning dogs-n-tiger'!C$1:C$30,MATCH($H864,'planning dogs-n-tiger'!$G$1:$G$42,0)),0)</f>
        <v>30000</v>
      </c>
      <c r="D864">
        <f>IFERROR(INDEX('planning dogs-n-tiger'!D$1:D$30,MATCH($H864,'planning dogs-n-tiger'!$G$1:$G$42,0)),0)</f>
        <v>15000</v>
      </c>
      <c r="E864">
        <f t="shared" si="130"/>
        <v>19</v>
      </c>
      <c r="F864">
        <f t="shared" si="131"/>
        <v>5</v>
      </c>
      <c r="G864">
        <f t="shared" si="132"/>
        <v>2023</v>
      </c>
      <c r="H864" t="str">
        <f t="shared" si="136"/>
        <v>52023</v>
      </c>
      <c r="I864">
        <f t="shared" si="137"/>
        <v>31</v>
      </c>
      <c r="J864">
        <f t="shared" si="133"/>
        <v>1935.483870967742</v>
      </c>
      <c r="K864">
        <f t="shared" si="134"/>
        <v>967.74193548387098</v>
      </c>
      <c r="L864">
        <f t="shared" si="135"/>
        <v>483.87096774193549</v>
      </c>
      <c r="M864" t="str">
        <f t="shared" si="138"/>
        <v>192023</v>
      </c>
      <c r="N864" t="str">
        <f t="shared" si="139"/>
        <v>19-5-2023</v>
      </c>
    </row>
    <row r="865" spans="1:14" x14ac:dyDescent="0.2">
      <c r="A865" s="1">
        <v>45060</v>
      </c>
      <c r="B865">
        <f>IFERROR(INDEX('planning dogs-n-tiger'!B$1:B$30,MATCH($H865,'planning dogs-n-tiger'!$G$1:$G$42,0)),0)</f>
        <v>60000</v>
      </c>
      <c r="C865">
        <f>IFERROR(INDEX('planning dogs-n-tiger'!C$1:C$30,MATCH($H865,'planning dogs-n-tiger'!$G$1:$G$42,0)),0)</f>
        <v>30000</v>
      </c>
      <c r="D865">
        <f>IFERROR(INDEX('planning dogs-n-tiger'!D$1:D$30,MATCH($H865,'planning dogs-n-tiger'!$G$1:$G$42,0)),0)</f>
        <v>15000</v>
      </c>
      <c r="E865">
        <f t="shared" si="130"/>
        <v>19</v>
      </c>
      <c r="F865">
        <f t="shared" si="131"/>
        <v>5</v>
      </c>
      <c r="G865">
        <f t="shared" si="132"/>
        <v>2023</v>
      </c>
      <c r="H865" t="str">
        <f t="shared" si="136"/>
        <v>52023</v>
      </c>
      <c r="I865">
        <f t="shared" si="137"/>
        <v>31</v>
      </c>
      <c r="J865">
        <f t="shared" si="133"/>
        <v>1935.483870967742</v>
      </c>
      <c r="K865">
        <f t="shared" si="134"/>
        <v>967.74193548387098</v>
      </c>
      <c r="L865">
        <f t="shared" si="135"/>
        <v>483.87096774193549</v>
      </c>
      <c r="M865" t="str">
        <f t="shared" si="138"/>
        <v>192023</v>
      </c>
      <c r="N865" t="str">
        <f t="shared" si="139"/>
        <v>19-5-2023</v>
      </c>
    </row>
    <row r="866" spans="1:14" x14ac:dyDescent="0.2">
      <c r="A866" s="1">
        <v>45061</v>
      </c>
      <c r="B866">
        <f>IFERROR(INDEX('planning dogs-n-tiger'!B$1:B$30,MATCH($H866,'planning dogs-n-tiger'!$G$1:$G$42,0)),0)</f>
        <v>60000</v>
      </c>
      <c r="C866">
        <f>IFERROR(INDEX('planning dogs-n-tiger'!C$1:C$30,MATCH($H866,'planning dogs-n-tiger'!$G$1:$G$42,0)),0)</f>
        <v>30000</v>
      </c>
      <c r="D866">
        <f>IFERROR(INDEX('planning dogs-n-tiger'!D$1:D$30,MATCH($H866,'planning dogs-n-tiger'!$G$1:$G$42,0)),0)</f>
        <v>15000</v>
      </c>
      <c r="E866">
        <f t="shared" si="130"/>
        <v>20</v>
      </c>
      <c r="F866">
        <f t="shared" si="131"/>
        <v>5</v>
      </c>
      <c r="G866">
        <f t="shared" si="132"/>
        <v>2023</v>
      </c>
      <c r="H866" t="str">
        <f t="shared" si="136"/>
        <v>52023</v>
      </c>
      <c r="I866">
        <f t="shared" si="137"/>
        <v>31</v>
      </c>
      <c r="J866">
        <f t="shared" si="133"/>
        <v>1935.483870967742</v>
      </c>
      <c r="K866">
        <f t="shared" si="134"/>
        <v>967.74193548387098</v>
      </c>
      <c r="L866">
        <f t="shared" si="135"/>
        <v>483.87096774193549</v>
      </c>
      <c r="M866" t="str">
        <f t="shared" si="138"/>
        <v>202023</v>
      </c>
      <c r="N866" t="str">
        <f t="shared" si="139"/>
        <v>20-5-2023</v>
      </c>
    </row>
    <row r="867" spans="1:14" x14ac:dyDescent="0.2">
      <c r="A867" s="1">
        <v>45062</v>
      </c>
      <c r="B867">
        <f>IFERROR(INDEX('planning dogs-n-tiger'!B$1:B$30,MATCH($H867,'planning dogs-n-tiger'!$G$1:$G$42,0)),0)</f>
        <v>60000</v>
      </c>
      <c r="C867">
        <f>IFERROR(INDEX('planning dogs-n-tiger'!C$1:C$30,MATCH($H867,'planning dogs-n-tiger'!$G$1:$G$42,0)),0)</f>
        <v>30000</v>
      </c>
      <c r="D867">
        <f>IFERROR(INDEX('planning dogs-n-tiger'!D$1:D$30,MATCH($H867,'planning dogs-n-tiger'!$G$1:$G$42,0)),0)</f>
        <v>15000</v>
      </c>
      <c r="E867">
        <f t="shared" si="130"/>
        <v>20</v>
      </c>
      <c r="F867">
        <f t="shared" si="131"/>
        <v>5</v>
      </c>
      <c r="G867">
        <f t="shared" si="132"/>
        <v>2023</v>
      </c>
      <c r="H867" t="str">
        <f t="shared" si="136"/>
        <v>52023</v>
      </c>
      <c r="I867">
        <f t="shared" si="137"/>
        <v>31</v>
      </c>
      <c r="J867">
        <f t="shared" si="133"/>
        <v>1935.483870967742</v>
      </c>
      <c r="K867">
        <f t="shared" si="134"/>
        <v>967.74193548387098</v>
      </c>
      <c r="L867">
        <f t="shared" si="135"/>
        <v>483.87096774193549</v>
      </c>
      <c r="M867" t="str">
        <f t="shared" si="138"/>
        <v>202023</v>
      </c>
      <c r="N867" t="str">
        <f t="shared" si="139"/>
        <v>20-5-2023</v>
      </c>
    </row>
    <row r="868" spans="1:14" x14ac:dyDescent="0.2">
      <c r="A868" s="1">
        <v>45063</v>
      </c>
      <c r="B868">
        <f>IFERROR(INDEX('planning dogs-n-tiger'!B$1:B$30,MATCH($H868,'planning dogs-n-tiger'!$G$1:$G$42,0)),0)</f>
        <v>60000</v>
      </c>
      <c r="C868">
        <f>IFERROR(INDEX('planning dogs-n-tiger'!C$1:C$30,MATCH($H868,'planning dogs-n-tiger'!$G$1:$G$42,0)),0)</f>
        <v>30000</v>
      </c>
      <c r="D868">
        <f>IFERROR(INDEX('planning dogs-n-tiger'!D$1:D$30,MATCH($H868,'planning dogs-n-tiger'!$G$1:$G$42,0)),0)</f>
        <v>15000</v>
      </c>
      <c r="E868">
        <f t="shared" si="130"/>
        <v>20</v>
      </c>
      <c r="F868">
        <f t="shared" si="131"/>
        <v>5</v>
      </c>
      <c r="G868">
        <f t="shared" si="132"/>
        <v>2023</v>
      </c>
      <c r="H868" t="str">
        <f t="shared" si="136"/>
        <v>52023</v>
      </c>
      <c r="I868">
        <f t="shared" si="137"/>
        <v>31</v>
      </c>
      <c r="J868">
        <f t="shared" si="133"/>
        <v>1935.483870967742</v>
      </c>
      <c r="K868">
        <f t="shared" si="134"/>
        <v>967.74193548387098</v>
      </c>
      <c r="L868">
        <f t="shared" si="135"/>
        <v>483.87096774193549</v>
      </c>
      <c r="M868" t="str">
        <f t="shared" si="138"/>
        <v>202023</v>
      </c>
      <c r="N868" t="str">
        <f t="shared" si="139"/>
        <v>20-5-2023</v>
      </c>
    </row>
    <row r="869" spans="1:14" x14ac:dyDescent="0.2">
      <c r="A869" s="1">
        <v>45064</v>
      </c>
      <c r="B869">
        <f>IFERROR(INDEX('planning dogs-n-tiger'!B$1:B$30,MATCH($H869,'planning dogs-n-tiger'!$G$1:$G$42,0)),0)</f>
        <v>60000</v>
      </c>
      <c r="C869">
        <f>IFERROR(INDEX('planning dogs-n-tiger'!C$1:C$30,MATCH($H869,'planning dogs-n-tiger'!$G$1:$G$42,0)),0)</f>
        <v>30000</v>
      </c>
      <c r="D869">
        <f>IFERROR(INDEX('planning dogs-n-tiger'!D$1:D$30,MATCH($H869,'planning dogs-n-tiger'!$G$1:$G$42,0)),0)</f>
        <v>15000</v>
      </c>
      <c r="E869">
        <f t="shared" si="130"/>
        <v>20</v>
      </c>
      <c r="F869">
        <f t="shared" si="131"/>
        <v>5</v>
      </c>
      <c r="G869">
        <f t="shared" si="132"/>
        <v>2023</v>
      </c>
      <c r="H869" t="str">
        <f t="shared" si="136"/>
        <v>52023</v>
      </c>
      <c r="I869">
        <f t="shared" si="137"/>
        <v>31</v>
      </c>
      <c r="J869">
        <f t="shared" si="133"/>
        <v>1935.483870967742</v>
      </c>
      <c r="K869">
        <f t="shared" si="134"/>
        <v>967.74193548387098</v>
      </c>
      <c r="L869">
        <f t="shared" si="135"/>
        <v>483.87096774193549</v>
      </c>
      <c r="M869" t="str">
        <f t="shared" si="138"/>
        <v>202023</v>
      </c>
      <c r="N869" t="str">
        <f t="shared" si="139"/>
        <v>20-5-2023</v>
      </c>
    </row>
    <row r="870" spans="1:14" x14ac:dyDescent="0.2">
      <c r="A870" s="1">
        <v>45065</v>
      </c>
      <c r="B870">
        <f>IFERROR(INDEX('planning dogs-n-tiger'!B$1:B$30,MATCH($H870,'planning dogs-n-tiger'!$G$1:$G$42,0)),0)</f>
        <v>60000</v>
      </c>
      <c r="C870">
        <f>IFERROR(INDEX('planning dogs-n-tiger'!C$1:C$30,MATCH($H870,'planning dogs-n-tiger'!$G$1:$G$42,0)),0)</f>
        <v>30000</v>
      </c>
      <c r="D870">
        <f>IFERROR(INDEX('planning dogs-n-tiger'!D$1:D$30,MATCH($H870,'planning dogs-n-tiger'!$G$1:$G$42,0)),0)</f>
        <v>15000</v>
      </c>
      <c r="E870">
        <f t="shared" si="130"/>
        <v>20</v>
      </c>
      <c r="F870">
        <f t="shared" si="131"/>
        <v>5</v>
      </c>
      <c r="G870">
        <f t="shared" si="132"/>
        <v>2023</v>
      </c>
      <c r="H870" t="str">
        <f t="shared" si="136"/>
        <v>52023</v>
      </c>
      <c r="I870">
        <f t="shared" si="137"/>
        <v>31</v>
      </c>
      <c r="J870">
        <f t="shared" si="133"/>
        <v>1935.483870967742</v>
      </c>
      <c r="K870">
        <f t="shared" si="134"/>
        <v>967.74193548387098</v>
      </c>
      <c r="L870">
        <f t="shared" si="135"/>
        <v>483.87096774193549</v>
      </c>
      <c r="M870" t="str">
        <f t="shared" si="138"/>
        <v>202023</v>
      </c>
      <c r="N870" t="str">
        <f t="shared" si="139"/>
        <v>20-5-2023</v>
      </c>
    </row>
    <row r="871" spans="1:14" x14ac:dyDescent="0.2">
      <c r="A871" s="1">
        <v>45066</v>
      </c>
      <c r="B871">
        <f>IFERROR(INDEX('planning dogs-n-tiger'!B$1:B$30,MATCH($H871,'planning dogs-n-tiger'!$G$1:$G$42,0)),0)</f>
        <v>60000</v>
      </c>
      <c r="C871">
        <f>IFERROR(INDEX('planning dogs-n-tiger'!C$1:C$30,MATCH($H871,'planning dogs-n-tiger'!$G$1:$G$42,0)),0)</f>
        <v>30000</v>
      </c>
      <c r="D871">
        <f>IFERROR(INDEX('planning dogs-n-tiger'!D$1:D$30,MATCH($H871,'planning dogs-n-tiger'!$G$1:$G$42,0)),0)</f>
        <v>15000</v>
      </c>
      <c r="E871">
        <f t="shared" si="130"/>
        <v>20</v>
      </c>
      <c r="F871">
        <f t="shared" si="131"/>
        <v>5</v>
      </c>
      <c r="G871">
        <f t="shared" si="132"/>
        <v>2023</v>
      </c>
      <c r="H871" t="str">
        <f t="shared" si="136"/>
        <v>52023</v>
      </c>
      <c r="I871">
        <f t="shared" si="137"/>
        <v>31</v>
      </c>
      <c r="J871">
        <f t="shared" si="133"/>
        <v>1935.483870967742</v>
      </c>
      <c r="K871">
        <f t="shared" si="134"/>
        <v>967.74193548387098</v>
      </c>
      <c r="L871">
        <f t="shared" si="135"/>
        <v>483.87096774193549</v>
      </c>
      <c r="M871" t="str">
        <f t="shared" si="138"/>
        <v>202023</v>
      </c>
      <c r="N871" t="str">
        <f t="shared" si="139"/>
        <v>20-5-2023</v>
      </c>
    </row>
    <row r="872" spans="1:14" x14ac:dyDescent="0.2">
      <c r="A872" s="1">
        <v>45067</v>
      </c>
      <c r="B872">
        <f>IFERROR(INDEX('planning dogs-n-tiger'!B$1:B$30,MATCH($H872,'planning dogs-n-tiger'!$G$1:$G$42,0)),0)</f>
        <v>60000</v>
      </c>
      <c r="C872">
        <f>IFERROR(INDEX('planning dogs-n-tiger'!C$1:C$30,MATCH($H872,'planning dogs-n-tiger'!$G$1:$G$42,0)),0)</f>
        <v>30000</v>
      </c>
      <c r="D872">
        <f>IFERROR(INDEX('planning dogs-n-tiger'!D$1:D$30,MATCH($H872,'planning dogs-n-tiger'!$G$1:$G$42,0)),0)</f>
        <v>15000</v>
      </c>
      <c r="E872">
        <f t="shared" si="130"/>
        <v>20</v>
      </c>
      <c r="F872">
        <f t="shared" si="131"/>
        <v>5</v>
      </c>
      <c r="G872">
        <f t="shared" si="132"/>
        <v>2023</v>
      </c>
      <c r="H872" t="str">
        <f t="shared" si="136"/>
        <v>52023</v>
      </c>
      <c r="I872">
        <f t="shared" si="137"/>
        <v>31</v>
      </c>
      <c r="J872">
        <f t="shared" si="133"/>
        <v>1935.483870967742</v>
      </c>
      <c r="K872">
        <f t="shared" si="134"/>
        <v>967.74193548387098</v>
      </c>
      <c r="L872">
        <f t="shared" si="135"/>
        <v>483.87096774193549</v>
      </c>
      <c r="M872" t="str">
        <f t="shared" si="138"/>
        <v>202023</v>
      </c>
      <c r="N872" t="str">
        <f t="shared" si="139"/>
        <v>20-5-2023</v>
      </c>
    </row>
    <row r="873" spans="1:14" x14ac:dyDescent="0.2">
      <c r="A873" s="1">
        <v>45068</v>
      </c>
      <c r="B873">
        <f>IFERROR(INDEX('planning dogs-n-tiger'!B$1:B$30,MATCH($H873,'planning dogs-n-tiger'!$G$1:$G$42,0)),0)</f>
        <v>60000</v>
      </c>
      <c r="C873">
        <f>IFERROR(INDEX('planning dogs-n-tiger'!C$1:C$30,MATCH($H873,'planning dogs-n-tiger'!$G$1:$G$42,0)),0)</f>
        <v>30000</v>
      </c>
      <c r="D873">
        <f>IFERROR(INDEX('planning dogs-n-tiger'!D$1:D$30,MATCH($H873,'planning dogs-n-tiger'!$G$1:$G$42,0)),0)</f>
        <v>15000</v>
      </c>
      <c r="E873">
        <f t="shared" si="130"/>
        <v>21</v>
      </c>
      <c r="F873">
        <f t="shared" si="131"/>
        <v>5</v>
      </c>
      <c r="G873">
        <f t="shared" si="132"/>
        <v>2023</v>
      </c>
      <c r="H873" t="str">
        <f t="shared" si="136"/>
        <v>52023</v>
      </c>
      <c r="I873">
        <f t="shared" si="137"/>
        <v>31</v>
      </c>
      <c r="J873">
        <f t="shared" si="133"/>
        <v>1935.483870967742</v>
      </c>
      <c r="K873">
        <f t="shared" si="134"/>
        <v>967.74193548387098</v>
      </c>
      <c r="L873">
        <f t="shared" si="135"/>
        <v>483.87096774193549</v>
      </c>
      <c r="M873" t="str">
        <f t="shared" si="138"/>
        <v>212023</v>
      </c>
      <c r="N873" t="str">
        <f t="shared" si="139"/>
        <v>21-5-2023</v>
      </c>
    </row>
    <row r="874" spans="1:14" x14ac:dyDescent="0.2">
      <c r="A874" s="1">
        <v>45069</v>
      </c>
      <c r="B874">
        <f>IFERROR(INDEX('planning dogs-n-tiger'!B$1:B$30,MATCH($H874,'planning dogs-n-tiger'!$G$1:$G$42,0)),0)</f>
        <v>60000</v>
      </c>
      <c r="C874">
        <f>IFERROR(INDEX('planning dogs-n-tiger'!C$1:C$30,MATCH($H874,'planning dogs-n-tiger'!$G$1:$G$42,0)),0)</f>
        <v>30000</v>
      </c>
      <c r="D874">
        <f>IFERROR(INDEX('planning dogs-n-tiger'!D$1:D$30,MATCH($H874,'planning dogs-n-tiger'!$G$1:$G$42,0)),0)</f>
        <v>15000</v>
      </c>
      <c r="E874">
        <f t="shared" si="130"/>
        <v>21</v>
      </c>
      <c r="F874">
        <f t="shared" si="131"/>
        <v>5</v>
      </c>
      <c r="G874">
        <f t="shared" si="132"/>
        <v>2023</v>
      </c>
      <c r="H874" t="str">
        <f t="shared" si="136"/>
        <v>52023</v>
      </c>
      <c r="I874">
        <f t="shared" si="137"/>
        <v>31</v>
      </c>
      <c r="J874">
        <f t="shared" si="133"/>
        <v>1935.483870967742</v>
      </c>
      <c r="K874">
        <f t="shared" si="134"/>
        <v>967.74193548387098</v>
      </c>
      <c r="L874">
        <f t="shared" si="135"/>
        <v>483.87096774193549</v>
      </c>
      <c r="M874" t="str">
        <f t="shared" si="138"/>
        <v>212023</v>
      </c>
      <c r="N874" t="str">
        <f t="shared" si="139"/>
        <v>21-5-2023</v>
      </c>
    </row>
    <row r="875" spans="1:14" x14ac:dyDescent="0.2">
      <c r="A875" s="1">
        <v>45070</v>
      </c>
      <c r="B875">
        <f>IFERROR(INDEX('planning dogs-n-tiger'!B$1:B$30,MATCH($H875,'planning dogs-n-tiger'!$G$1:$G$42,0)),0)</f>
        <v>60000</v>
      </c>
      <c r="C875">
        <f>IFERROR(INDEX('planning dogs-n-tiger'!C$1:C$30,MATCH($H875,'planning dogs-n-tiger'!$G$1:$G$42,0)),0)</f>
        <v>30000</v>
      </c>
      <c r="D875">
        <f>IFERROR(INDEX('planning dogs-n-tiger'!D$1:D$30,MATCH($H875,'planning dogs-n-tiger'!$G$1:$G$42,0)),0)</f>
        <v>15000</v>
      </c>
      <c r="E875">
        <f t="shared" si="130"/>
        <v>21</v>
      </c>
      <c r="F875">
        <f t="shared" si="131"/>
        <v>5</v>
      </c>
      <c r="G875">
        <f t="shared" si="132"/>
        <v>2023</v>
      </c>
      <c r="H875" t="str">
        <f t="shared" si="136"/>
        <v>52023</v>
      </c>
      <c r="I875">
        <f t="shared" si="137"/>
        <v>31</v>
      </c>
      <c r="J875">
        <f t="shared" si="133"/>
        <v>1935.483870967742</v>
      </c>
      <c r="K875">
        <f t="shared" si="134"/>
        <v>967.74193548387098</v>
      </c>
      <c r="L875">
        <f t="shared" si="135"/>
        <v>483.87096774193549</v>
      </c>
      <c r="M875" t="str">
        <f t="shared" si="138"/>
        <v>212023</v>
      </c>
      <c r="N875" t="str">
        <f t="shared" si="139"/>
        <v>21-5-2023</v>
      </c>
    </row>
    <row r="876" spans="1:14" x14ac:dyDescent="0.2">
      <c r="A876" s="1">
        <v>45071</v>
      </c>
      <c r="B876">
        <f>IFERROR(INDEX('planning dogs-n-tiger'!B$1:B$30,MATCH($H876,'planning dogs-n-tiger'!$G$1:$G$42,0)),0)</f>
        <v>60000</v>
      </c>
      <c r="C876">
        <f>IFERROR(INDEX('planning dogs-n-tiger'!C$1:C$30,MATCH($H876,'planning dogs-n-tiger'!$G$1:$G$42,0)),0)</f>
        <v>30000</v>
      </c>
      <c r="D876">
        <f>IFERROR(INDEX('planning dogs-n-tiger'!D$1:D$30,MATCH($H876,'planning dogs-n-tiger'!$G$1:$G$42,0)),0)</f>
        <v>15000</v>
      </c>
      <c r="E876">
        <f t="shared" si="130"/>
        <v>21</v>
      </c>
      <c r="F876">
        <f t="shared" si="131"/>
        <v>5</v>
      </c>
      <c r="G876">
        <f t="shared" si="132"/>
        <v>2023</v>
      </c>
      <c r="H876" t="str">
        <f t="shared" si="136"/>
        <v>52023</v>
      </c>
      <c r="I876">
        <f t="shared" si="137"/>
        <v>31</v>
      </c>
      <c r="J876">
        <f t="shared" si="133"/>
        <v>1935.483870967742</v>
      </c>
      <c r="K876">
        <f t="shared" si="134"/>
        <v>967.74193548387098</v>
      </c>
      <c r="L876">
        <f t="shared" si="135"/>
        <v>483.87096774193549</v>
      </c>
      <c r="M876" t="str">
        <f t="shared" si="138"/>
        <v>212023</v>
      </c>
      <c r="N876" t="str">
        <f t="shared" si="139"/>
        <v>21-5-2023</v>
      </c>
    </row>
    <row r="877" spans="1:14" x14ac:dyDescent="0.2">
      <c r="A877" s="1">
        <v>45072</v>
      </c>
      <c r="B877">
        <f>IFERROR(INDEX('planning dogs-n-tiger'!B$1:B$30,MATCH($H877,'planning dogs-n-tiger'!$G$1:$G$42,0)),0)</f>
        <v>60000</v>
      </c>
      <c r="C877">
        <f>IFERROR(INDEX('planning dogs-n-tiger'!C$1:C$30,MATCH($H877,'planning dogs-n-tiger'!$G$1:$G$42,0)),0)</f>
        <v>30000</v>
      </c>
      <c r="D877">
        <f>IFERROR(INDEX('planning dogs-n-tiger'!D$1:D$30,MATCH($H877,'planning dogs-n-tiger'!$G$1:$G$42,0)),0)</f>
        <v>15000</v>
      </c>
      <c r="E877">
        <f t="shared" si="130"/>
        <v>21</v>
      </c>
      <c r="F877">
        <f t="shared" si="131"/>
        <v>5</v>
      </c>
      <c r="G877">
        <f t="shared" si="132"/>
        <v>2023</v>
      </c>
      <c r="H877" t="str">
        <f t="shared" si="136"/>
        <v>52023</v>
      </c>
      <c r="I877">
        <f t="shared" si="137"/>
        <v>31</v>
      </c>
      <c r="J877">
        <f t="shared" si="133"/>
        <v>1935.483870967742</v>
      </c>
      <c r="K877">
        <f t="shared" si="134"/>
        <v>967.74193548387098</v>
      </c>
      <c r="L877">
        <f t="shared" si="135"/>
        <v>483.87096774193549</v>
      </c>
      <c r="M877" t="str">
        <f t="shared" si="138"/>
        <v>212023</v>
      </c>
      <c r="N877" t="str">
        <f t="shared" si="139"/>
        <v>21-5-2023</v>
      </c>
    </row>
    <row r="878" spans="1:14" x14ac:dyDescent="0.2">
      <c r="A878" s="1">
        <v>45073</v>
      </c>
      <c r="B878">
        <f>IFERROR(INDEX('planning dogs-n-tiger'!B$1:B$30,MATCH($H878,'planning dogs-n-tiger'!$G$1:$G$42,0)),0)</f>
        <v>60000</v>
      </c>
      <c r="C878">
        <f>IFERROR(INDEX('planning dogs-n-tiger'!C$1:C$30,MATCH($H878,'planning dogs-n-tiger'!$G$1:$G$42,0)),0)</f>
        <v>30000</v>
      </c>
      <c r="D878">
        <f>IFERROR(INDEX('planning dogs-n-tiger'!D$1:D$30,MATCH($H878,'planning dogs-n-tiger'!$G$1:$G$42,0)),0)</f>
        <v>15000</v>
      </c>
      <c r="E878">
        <f t="shared" si="130"/>
        <v>21</v>
      </c>
      <c r="F878">
        <f t="shared" si="131"/>
        <v>5</v>
      </c>
      <c r="G878">
        <f t="shared" si="132"/>
        <v>2023</v>
      </c>
      <c r="H878" t="str">
        <f t="shared" si="136"/>
        <v>52023</v>
      </c>
      <c r="I878">
        <f t="shared" si="137"/>
        <v>31</v>
      </c>
      <c r="J878">
        <f t="shared" si="133"/>
        <v>1935.483870967742</v>
      </c>
      <c r="K878">
        <f t="shared" si="134"/>
        <v>967.74193548387098</v>
      </c>
      <c r="L878">
        <f t="shared" si="135"/>
        <v>483.87096774193549</v>
      </c>
      <c r="M878" t="str">
        <f t="shared" si="138"/>
        <v>212023</v>
      </c>
      <c r="N878" t="str">
        <f t="shared" si="139"/>
        <v>21-5-2023</v>
      </c>
    </row>
    <row r="879" spans="1:14" x14ac:dyDescent="0.2">
      <c r="A879" s="1">
        <v>45074</v>
      </c>
      <c r="B879">
        <f>IFERROR(INDEX('planning dogs-n-tiger'!B$1:B$30,MATCH($H879,'planning dogs-n-tiger'!$G$1:$G$42,0)),0)</f>
        <v>60000</v>
      </c>
      <c r="C879">
        <f>IFERROR(INDEX('planning dogs-n-tiger'!C$1:C$30,MATCH($H879,'planning dogs-n-tiger'!$G$1:$G$42,0)),0)</f>
        <v>30000</v>
      </c>
      <c r="D879">
        <f>IFERROR(INDEX('planning dogs-n-tiger'!D$1:D$30,MATCH($H879,'planning dogs-n-tiger'!$G$1:$G$42,0)),0)</f>
        <v>15000</v>
      </c>
      <c r="E879">
        <f t="shared" si="130"/>
        <v>21</v>
      </c>
      <c r="F879">
        <f t="shared" si="131"/>
        <v>5</v>
      </c>
      <c r="G879">
        <f t="shared" si="132"/>
        <v>2023</v>
      </c>
      <c r="H879" t="str">
        <f t="shared" si="136"/>
        <v>52023</v>
      </c>
      <c r="I879">
        <f t="shared" si="137"/>
        <v>31</v>
      </c>
      <c r="J879">
        <f t="shared" si="133"/>
        <v>1935.483870967742</v>
      </c>
      <c r="K879">
        <f t="shared" si="134"/>
        <v>967.74193548387098</v>
      </c>
      <c r="L879">
        <f t="shared" si="135"/>
        <v>483.87096774193549</v>
      </c>
      <c r="M879" t="str">
        <f t="shared" si="138"/>
        <v>212023</v>
      </c>
      <c r="N879" t="str">
        <f t="shared" si="139"/>
        <v>21-5-2023</v>
      </c>
    </row>
    <row r="880" spans="1:14" x14ac:dyDescent="0.2">
      <c r="A880" s="1">
        <v>45075</v>
      </c>
      <c r="B880">
        <f>IFERROR(INDEX('planning dogs-n-tiger'!B$1:B$30,MATCH($H880,'planning dogs-n-tiger'!$G$1:$G$42,0)),0)</f>
        <v>60000</v>
      </c>
      <c r="C880">
        <f>IFERROR(INDEX('planning dogs-n-tiger'!C$1:C$30,MATCH($H880,'planning dogs-n-tiger'!$G$1:$G$42,0)),0)</f>
        <v>30000</v>
      </c>
      <c r="D880">
        <f>IFERROR(INDEX('planning dogs-n-tiger'!D$1:D$30,MATCH($H880,'planning dogs-n-tiger'!$G$1:$G$42,0)),0)</f>
        <v>15000</v>
      </c>
      <c r="E880">
        <f t="shared" si="130"/>
        <v>22</v>
      </c>
      <c r="F880">
        <f t="shared" si="131"/>
        <v>5</v>
      </c>
      <c r="G880">
        <f t="shared" si="132"/>
        <v>2023</v>
      </c>
      <c r="H880" t="str">
        <f t="shared" si="136"/>
        <v>52023</v>
      </c>
      <c r="I880">
        <f t="shared" si="137"/>
        <v>31</v>
      </c>
      <c r="J880">
        <f t="shared" si="133"/>
        <v>1935.483870967742</v>
      </c>
      <c r="K880">
        <f t="shared" si="134"/>
        <v>967.74193548387098</v>
      </c>
      <c r="L880">
        <f t="shared" si="135"/>
        <v>483.87096774193549</v>
      </c>
      <c r="M880" t="str">
        <f t="shared" si="138"/>
        <v>222023</v>
      </c>
      <c r="N880" t="str">
        <f t="shared" si="139"/>
        <v>22-5-2023</v>
      </c>
    </row>
    <row r="881" spans="1:14" x14ac:dyDescent="0.2">
      <c r="A881" s="1">
        <v>45076</v>
      </c>
      <c r="B881">
        <f>IFERROR(INDEX('planning dogs-n-tiger'!B$1:B$30,MATCH($H881,'planning dogs-n-tiger'!$G$1:$G$42,0)),0)</f>
        <v>60000</v>
      </c>
      <c r="C881">
        <f>IFERROR(INDEX('planning dogs-n-tiger'!C$1:C$30,MATCH($H881,'planning dogs-n-tiger'!$G$1:$G$42,0)),0)</f>
        <v>30000</v>
      </c>
      <c r="D881">
        <f>IFERROR(INDEX('planning dogs-n-tiger'!D$1:D$30,MATCH($H881,'planning dogs-n-tiger'!$G$1:$G$42,0)),0)</f>
        <v>15000</v>
      </c>
      <c r="E881">
        <f t="shared" si="130"/>
        <v>22</v>
      </c>
      <c r="F881">
        <f t="shared" si="131"/>
        <v>5</v>
      </c>
      <c r="G881">
        <f t="shared" si="132"/>
        <v>2023</v>
      </c>
      <c r="H881" t="str">
        <f t="shared" si="136"/>
        <v>52023</v>
      </c>
      <c r="I881">
        <f t="shared" si="137"/>
        <v>31</v>
      </c>
      <c r="J881">
        <f t="shared" si="133"/>
        <v>1935.483870967742</v>
      </c>
      <c r="K881">
        <f t="shared" si="134"/>
        <v>967.74193548387098</v>
      </c>
      <c r="L881">
        <f t="shared" si="135"/>
        <v>483.87096774193549</v>
      </c>
      <c r="M881" t="str">
        <f t="shared" si="138"/>
        <v>222023</v>
      </c>
      <c r="N881" t="str">
        <f t="shared" si="139"/>
        <v>22-5-2023</v>
      </c>
    </row>
    <row r="882" spans="1:14" x14ac:dyDescent="0.2">
      <c r="A882" s="1">
        <v>45077</v>
      </c>
      <c r="B882">
        <f>IFERROR(INDEX('planning dogs-n-tiger'!B$1:B$30,MATCH($H882,'planning dogs-n-tiger'!$G$1:$G$42,0)),0)</f>
        <v>60000</v>
      </c>
      <c r="C882">
        <f>IFERROR(INDEX('planning dogs-n-tiger'!C$1:C$30,MATCH($H882,'planning dogs-n-tiger'!$G$1:$G$42,0)),0)</f>
        <v>30000</v>
      </c>
      <c r="D882">
        <f>IFERROR(INDEX('planning dogs-n-tiger'!D$1:D$30,MATCH($H882,'planning dogs-n-tiger'!$G$1:$G$42,0)),0)</f>
        <v>15000</v>
      </c>
      <c r="E882">
        <f t="shared" si="130"/>
        <v>22</v>
      </c>
      <c r="F882">
        <f t="shared" si="131"/>
        <v>5</v>
      </c>
      <c r="G882">
        <f t="shared" si="132"/>
        <v>2023</v>
      </c>
      <c r="H882" t="str">
        <f t="shared" si="136"/>
        <v>52023</v>
      </c>
      <c r="I882">
        <f t="shared" si="137"/>
        <v>31</v>
      </c>
      <c r="J882">
        <f t="shared" si="133"/>
        <v>1935.483870967742</v>
      </c>
      <c r="K882">
        <f t="shared" si="134"/>
        <v>967.74193548387098</v>
      </c>
      <c r="L882">
        <f t="shared" si="135"/>
        <v>483.87096774193549</v>
      </c>
      <c r="M882" t="str">
        <f t="shared" si="138"/>
        <v>222023</v>
      </c>
      <c r="N882" t="str">
        <f t="shared" si="139"/>
        <v>22-5-2023</v>
      </c>
    </row>
    <row r="883" spans="1:14" x14ac:dyDescent="0.2">
      <c r="A883" s="1">
        <v>45078</v>
      </c>
      <c r="B883">
        <f>IFERROR(INDEX('planning dogs-n-tiger'!B$1:B$30,MATCH($H883,'planning dogs-n-tiger'!$G$1:$G$42,0)),0)</f>
        <v>71073.36855322335</v>
      </c>
      <c r="C883">
        <f>IFERROR(INDEX('planning dogs-n-tiger'!C$1:C$30,MATCH($H883,'planning dogs-n-tiger'!$G$1:$G$42,0)),0)</f>
        <v>23158.443475601489</v>
      </c>
      <c r="D883">
        <f>IFERROR(INDEX('planning dogs-n-tiger'!D$1:D$30,MATCH($H883,'planning dogs-n-tiger'!$G$1:$G$42,0)),0)</f>
        <v>32959.836610884733</v>
      </c>
      <c r="E883">
        <f t="shared" si="130"/>
        <v>22</v>
      </c>
      <c r="F883">
        <f t="shared" si="131"/>
        <v>6</v>
      </c>
      <c r="G883">
        <f t="shared" si="132"/>
        <v>2023</v>
      </c>
      <c r="H883" t="str">
        <f t="shared" si="136"/>
        <v>62023</v>
      </c>
      <c r="I883">
        <f t="shared" si="137"/>
        <v>30</v>
      </c>
      <c r="J883">
        <f t="shared" si="133"/>
        <v>2369.1122851074451</v>
      </c>
      <c r="K883">
        <f t="shared" si="134"/>
        <v>771.948115853383</v>
      </c>
      <c r="L883">
        <f t="shared" si="135"/>
        <v>1098.6612203628245</v>
      </c>
      <c r="M883" t="str">
        <f t="shared" si="138"/>
        <v>222023</v>
      </c>
      <c r="N883" t="str">
        <f t="shared" si="139"/>
        <v>22-6-2023</v>
      </c>
    </row>
    <row r="884" spans="1:14" x14ac:dyDescent="0.2">
      <c r="A884" s="1">
        <v>45079</v>
      </c>
      <c r="B884">
        <f>IFERROR(INDEX('planning dogs-n-tiger'!B$1:B$30,MATCH($H884,'planning dogs-n-tiger'!$G$1:$G$42,0)),0)</f>
        <v>71073.36855322335</v>
      </c>
      <c r="C884">
        <f>IFERROR(INDEX('planning dogs-n-tiger'!C$1:C$30,MATCH($H884,'planning dogs-n-tiger'!$G$1:$G$42,0)),0)</f>
        <v>23158.443475601489</v>
      </c>
      <c r="D884">
        <f>IFERROR(INDEX('planning dogs-n-tiger'!D$1:D$30,MATCH($H884,'planning dogs-n-tiger'!$G$1:$G$42,0)),0)</f>
        <v>32959.836610884733</v>
      </c>
      <c r="E884">
        <f t="shared" si="130"/>
        <v>22</v>
      </c>
      <c r="F884">
        <f t="shared" si="131"/>
        <v>6</v>
      </c>
      <c r="G884">
        <f t="shared" si="132"/>
        <v>2023</v>
      </c>
      <c r="H884" t="str">
        <f t="shared" si="136"/>
        <v>62023</v>
      </c>
      <c r="I884">
        <f t="shared" si="137"/>
        <v>30</v>
      </c>
      <c r="J884">
        <f t="shared" si="133"/>
        <v>2369.1122851074451</v>
      </c>
      <c r="K884">
        <f t="shared" si="134"/>
        <v>771.948115853383</v>
      </c>
      <c r="L884">
        <f t="shared" si="135"/>
        <v>1098.6612203628245</v>
      </c>
      <c r="M884" t="str">
        <f t="shared" si="138"/>
        <v>222023</v>
      </c>
      <c r="N884" t="str">
        <f t="shared" si="139"/>
        <v>22-6-2023</v>
      </c>
    </row>
    <row r="885" spans="1:14" x14ac:dyDescent="0.2">
      <c r="A885" s="1">
        <v>45080</v>
      </c>
      <c r="B885">
        <f>IFERROR(INDEX('planning dogs-n-tiger'!B$1:B$30,MATCH($H885,'planning dogs-n-tiger'!$G$1:$G$42,0)),0)</f>
        <v>71073.36855322335</v>
      </c>
      <c r="C885">
        <f>IFERROR(INDEX('planning dogs-n-tiger'!C$1:C$30,MATCH($H885,'planning dogs-n-tiger'!$G$1:$G$42,0)),0)</f>
        <v>23158.443475601489</v>
      </c>
      <c r="D885">
        <f>IFERROR(INDEX('planning dogs-n-tiger'!D$1:D$30,MATCH($H885,'planning dogs-n-tiger'!$G$1:$G$42,0)),0)</f>
        <v>32959.836610884733</v>
      </c>
      <c r="E885">
        <f t="shared" si="130"/>
        <v>22</v>
      </c>
      <c r="F885">
        <f t="shared" si="131"/>
        <v>6</v>
      </c>
      <c r="G885">
        <f t="shared" si="132"/>
        <v>2023</v>
      </c>
      <c r="H885" t="str">
        <f t="shared" si="136"/>
        <v>62023</v>
      </c>
      <c r="I885">
        <f t="shared" si="137"/>
        <v>30</v>
      </c>
      <c r="J885">
        <f t="shared" si="133"/>
        <v>2369.1122851074451</v>
      </c>
      <c r="K885">
        <f t="shared" si="134"/>
        <v>771.948115853383</v>
      </c>
      <c r="L885">
        <f t="shared" si="135"/>
        <v>1098.6612203628245</v>
      </c>
      <c r="M885" t="str">
        <f t="shared" si="138"/>
        <v>222023</v>
      </c>
      <c r="N885" t="str">
        <f t="shared" si="139"/>
        <v>22-6-2023</v>
      </c>
    </row>
    <row r="886" spans="1:14" x14ac:dyDescent="0.2">
      <c r="A886" s="1">
        <v>45081</v>
      </c>
      <c r="B886">
        <f>IFERROR(INDEX('planning dogs-n-tiger'!B$1:B$30,MATCH($H886,'planning dogs-n-tiger'!$G$1:$G$42,0)),0)</f>
        <v>71073.36855322335</v>
      </c>
      <c r="C886">
        <f>IFERROR(INDEX('planning dogs-n-tiger'!C$1:C$30,MATCH($H886,'planning dogs-n-tiger'!$G$1:$G$42,0)),0)</f>
        <v>23158.443475601489</v>
      </c>
      <c r="D886">
        <f>IFERROR(INDEX('planning dogs-n-tiger'!D$1:D$30,MATCH($H886,'planning dogs-n-tiger'!$G$1:$G$42,0)),0)</f>
        <v>32959.836610884733</v>
      </c>
      <c r="E886">
        <f t="shared" si="130"/>
        <v>22</v>
      </c>
      <c r="F886">
        <f t="shared" si="131"/>
        <v>6</v>
      </c>
      <c r="G886">
        <f t="shared" si="132"/>
        <v>2023</v>
      </c>
      <c r="H886" t="str">
        <f t="shared" si="136"/>
        <v>62023</v>
      </c>
      <c r="I886">
        <f t="shared" si="137"/>
        <v>30</v>
      </c>
      <c r="J886">
        <f t="shared" si="133"/>
        <v>2369.1122851074451</v>
      </c>
      <c r="K886">
        <f t="shared" si="134"/>
        <v>771.948115853383</v>
      </c>
      <c r="L886">
        <f t="shared" si="135"/>
        <v>1098.6612203628245</v>
      </c>
      <c r="M886" t="str">
        <f t="shared" si="138"/>
        <v>222023</v>
      </c>
      <c r="N886" t="str">
        <f t="shared" si="139"/>
        <v>22-6-2023</v>
      </c>
    </row>
    <row r="887" spans="1:14" x14ac:dyDescent="0.2">
      <c r="A887" s="1">
        <v>45082</v>
      </c>
      <c r="B887">
        <f>IFERROR(INDEX('planning dogs-n-tiger'!B$1:B$30,MATCH($H887,'planning dogs-n-tiger'!$G$1:$G$42,0)),0)</f>
        <v>71073.36855322335</v>
      </c>
      <c r="C887">
        <f>IFERROR(INDEX('planning dogs-n-tiger'!C$1:C$30,MATCH($H887,'planning dogs-n-tiger'!$G$1:$G$42,0)),0)</f>
        <v>23158.443475601489</v>
      </c>
      <c r="D887">
        <f>IFERROR(INDEX('planning dogs-n-tiger'!D$1:D$30,MATCH($H887,'planning dogs-n-tiger'!$G$1:$G$42,0)),0)</f>
        <v>32959.836610884733</v>
      </c>
      <c r="E887">
        <f t="shared" si="130"/>
        <v>23</v>
      </c>
      <c r="F887">
        <f t="shared" si="131"/>
        <v>6</v>
      </c>
      <c r="G887">
        <f t="shared" si="132"/>
        <v>2023</v>
      </c>
      <c r="H887" t="str">
        <f t="shared" si="136"/>
        <v>62023</v>
      </c>
      <c r="I887">
        <f t="shared" si="137"/>
        <v>30</v>
      </c>
      <c r="J887">
        <f t="shared" si="133"/>
        <v>2369.1122851074451</v>
      </c>
      <c r="K887">
        <f t="shared" si="134"/>
        <v>771.948115853383</v>
      </c>
      <c r="L887">
        <f t="shared" si="135"/>
        <v>1098.6612203628245</v>
      </c>
      <c r="M887" t="str">
        <f t="shared" si="138"/>
        <v>232023</v>
      </c>
      <c r="N887" t="str">
        <f t="shared" si="139"/>
        <v>23-6-2023</v>
      </c>
    </row>
    <row r="888" spans="1:14" x14ac:dyDescent="0.2">
      <c r="A888" s="1">
        <v>45083</v>
      </c>
      <c r="B888">
        <f>IFERROR(INDEX('planning dogs-n-tiger'!B$1:B$30,MATCH($H888,'planning dogs-n-tiger'!$G$1:$G$42,0)),0)</f>
        <v>71073.36855322335</v>
      </c>
      <c r="C888">
        <f>IFERROR(INDEX('planning dogs-n-tiger'!C$1:C$30,MATCH($H888,'planning dogs-n-tiger'!$G$1:$G$42,0)),0)</f>
        <v>23158.443475601489</v>
      </c>
      <c r="D888">
        <f>IFERROR(INDEX('planning dogs-n-tiger'!D$1:D$30,MATCH($H888,'planning dogs-n-tiger'!$G$1:$G$42,0)),0)</f>
        <v>32959.836610884733</v>
      </c>
      <c r="E888">
        <f t="shared" si="130"/>
        <v>23</v>
      </c>
      <c r="F888">
        <f t="shared" si="131"/>
        <v>6</v>
      </c>
      <c r="G888">
        <f t="shared" si="132"/>
        <v>2023</v>
      </c>
      <c r="H888" t="str">
        <f t="shared" si="136"/>
        <v>62023</v>
      </c>
      <c r="I888">
        <f t="shared" si="137"/>
        <v>30</v>
      </c>
      <c r="J888">
        <f t="shared" si="133"/>
        <v>2369.1122851074451</v>
      </c>
      <c r="K888">
        <f t="shared" si="134"/>
        <v>771.948115853383</v>
      </c>
      <c r="L888">
        <f t="shared" si="135"/>
        <v>1098.6612203628245</v>
      </c>
      <c r="M888" t="str">
        <f t="shared" si="138"/>
        <v>232023</v>
      </c>
      <c r="N888" t="str">
        <f t="shared" si="139"/>
        <v>23-6-2023</v>
      </c>
    </row>
    <row r="889" spans="1:14" x14ac:dyDescent="0.2">
      <c r="A889" s="1">
        <v>45084</v>
      </c>
      <c r="B889">
        <f>IFERROR(INDEX('planning dogs-n-tiger'!B$1:B$30,MATCH($H889,'planning dogs-n-tiger'!$G$1:$G$42,0)),0)</f>
        <v>71073.36855322335</v>
      </c>
      <c r="C889">
        <f>IFERROR(INDEX('planning dogs-n-tiger'!C$1:C$30,MATCH($H889,'planning dogs-n-tiger'!$G$1:$G$42,0)),0)</f>
        <v>23158.443475601489</v>
      </c>
      <c r="D889">
        <f>IFERROR(INDEX('planning dogs-n-tiger'!D$1:D$30,MATCH($H889,'planning dogs-n-tiger'!$G$1:$G$42,0)),0)</f>
        <v>32959.836610884733</v>
      </c>
      <c r="E889">
        <f t="shared" si="130"/>
        <v>23</v>
      </c>
      <c r="F889">
        <f t="shared" si="131"/>
        <v>6</v>
      </c>
      <c r="G889">
        <f t="shared" si="132"/>
        <v>2023</v>
      </c>
      <c r="H889" t="str">
        <f t="shared" si="136"/>
        <v>62023</v>
      </c>
      <c r="I889">
        <f t="shared" si="137"/>
        <v>30</v>
      </c>
      <c r="J889">
        <f t="shared" si="133"/>
        <v>2369.1122851074451</v>
      </c>
      <c r="K889">
        <f t="shared" si="134"/>
        <v>771.948115853383</v>
      </c>
      <c r="L889">
        <f t="shared" si="135"/>
        <v>1098.6612203628245</v>
      </c>
      <c r="M889" t="str">
        <f t="shared" si="138"/>
        <v>232023</v>
      </c>
      <c r="N889" t="str">
        <f t="shared" si="139"/>
        <v>23-6-2023</v>
      </c>
    </row>
    <row r="890" spans="1:14" x14ac:dyDescent="0.2">
      <c r="A890" s="1">
        <v>45085</v>
      </c>
      <c r="B890">
        <f>IFERROR(INDEX('planning dogs-n-tiger'!B$1:B$30,MATCH($H890,'planning dogs-n-tiger'!$G$1:$G$42,0)),0)</f>
        <v>71073.36855322335</v>
      </c>
      <c r="C890">
        <f>IFERROR(INDEX('planning dogs-n-tiger'!C$1:C$30,MATCH($H890,'planning dogs-n-tiger'!$G$1:$G$42,0)),0)</f>
        <v>23158.443475601489</v>
      </c>
      <c r="D890">
        <f>IFERROR(INDEX('planning dogs-n-tiger'!D$1:D$30,MATCH($H890,'planning dogs-n-tiger'!$G$1:$G$42,0)),0)</f>
        <v>32959.836610884733</v>
      </c>
      <c r="E890">
        <f t="shared" si="130"/>
        <v>23</v>
      </c>
      <c r="F890">
        <f t="shared" si="131"/>
        <v>6</v>
      </c>
      <c r="G890">
        <f t="shared" si="132"/>
        <v>2023</v>
      </c>
      <c r="H890" t="str">
        <f t="shared" si="136"/>
        <v>62023</v>
      </c>
      <c r="I890">
        <f t="shared" si="137"/>
        <v>30</v>
      </c>
      <c r="J890">
        <f t="shared" si="133"/>
        <v>2369.1122851074451</v>
      </c>
      <c r="K890">
        <f t="shared" si="134"/>
        <v>771.948115853383</v>
      </c>
      <c r="L890">
        <f t="shared" si="135"/>
        <v>1098.6612203628245</v>
      </c>
      <c r="M890" t="str">
        <f t="shared" si="138"/>
        <v>232023</v>
      </c>
      <c r="N890" t="str">
        <f t="shared" si="139"/>
        <v>23-6-2023</v>
      </c>
    </row>
    <row r="891" spans="1:14" x14ac:dyDescent="0.2">
      <c r="A891" s="1">
        <v>45086</v>
      </c>
      <c r="B891">
        <f>IFERROR(INDEX('planning dogs-n-tiger'!B$1:B$30,MATCH($H891,'planning dogs-n-tiger'!$G$1:$G$42,0)),0)</f>
        <v>71073.36855322335</v>
      </c>
      <c r="C891">
        <f>IFERROR(INDEX('planning dogs-n-tiger'!C$1:C$30,MATCH($H891,'planning dogs-n-tiger'!$G$1:$G$42,0)),0)</f>
        <v>23158.443475601489</v>
      </c>
      <c r="D891">
        <f>IFERROR(INDEX('planning dogs-n-tiger'!D$1:D$30,MATCH($H891,'planning dogs-n-tiger'!$G$1:$G$42,0)),0)</f>
        <v>32959.836610884733</v>
      </c>
      <c r="E891">
        <f t="shared" si="130"/>
        <v>23</v>
      </c>
      <c r="F891">
        <f t="shared" si="131"/>
        <v>6</v>
      </c>
      <c r="G891">
        <f t="shared" si="132"/>
        <v>2023</v>
      </c>
      <c r="H891" t="str">
        <f t="shared" si="136"/>
        <v>62023</v>
      </c>
      <c r="I891">
        <f t="shared" si="137"/>
        <v>30</v>
      </c>
      <c r="J891">
        <f t="shared" si="133"/>
        <v>2369.1122851074451</v>
      </c>
      <c r="K891">
        <f t="shared" si="134"/>
        <v>771.948115853383</v>
      </c>
      <c r="L891">
        <f t="shared" si="135"/>
        <v>1098.6612203628245</v>
      </c>
      <c r="M891" t="str">
        <f t="shared" si="138"/>
        <v>232023</v>
      </c>
      <c r="N891" t="str">
        <f t="shared" si="139"/>
        <v>23-6-2023</v>
      </c>
    </row>
    <row r="892" spans="1:14" x14ac:dyDescent="0.2">
      <c r="A892" s="1">
        <v>45087</v>
      </c>
      <c r="B892">
        <f>IFERROR(INDEX('planning dogs-n-tiger'!B$1:B$30,MATCH($H892,'planning dogs-n-tiger'!$G$1:$G$42,0)),0)</f>
        <v>71073.36855322335</v>
      </c>
      <c r="C892">
        <f>IFERROR(INDEX('planning dogs-n-tiger'!C$1:C$30,MATCH($H892,'planning dogs-n-tiger'!$G$1:$G$42,0)),0)</f>
        <v>23158.443475601489</v>
      </c>
      <c r="D892">
        <f>IFERROR(INDEX('planning dogs-n-tiger'!D$1:D$30,MATCH($H892,'planning dogs-n-tiger'!$G$1:$G$42,0)),0)</f>
        <v>32959.836610884733</v>
      </c>
      <c r="E892">
        <f t="shared" si="130"/>
        <v>23</v>
      </c>
      <c r="F892">
        <f t="shared" si="131"/>
        <v>6</v>
      </c>
      <c r="G892">
        <f t="shared" si="132"/>
        <v>2023</v>
      </c>
      <c r="H892" t="str">
        <f t="shared" si="136"/>
        <v>62023</v>
      </c>
      <c r="I892">
        <f t="shared" si="137"/>
        <v>30</v>
      </c>
      <c r="J892">
        <f t="shared" si="133"/>
        <v>2369.1122851074451</v>
      </c>
      <c r="K892">
        <f t="shared" si="134"/>
        <v>771.948115853383</v>
      </c>
      <c r="L892">
        <f t="shared" si="135"/>
        <v>1098.6612203628245</v>
      </c>
      <c r="M892" t="str">
        <f t="shared" si="138"/>
        <v>232023</v>
      </c>
      <c r="N892" t="str">
        <f t="shared" si="139"/>
        <v>23-6-2023</v>
      </c>
    </row>
    <row r="893" spans="1:14" x14ac:dyDescent="0.2">
      <c r="A893" s="1">
        <v>45088</v>
      </c>
      <c r="B893">
        <f>IFERROR(INDEX('planning dogs-n-tiger'!B$1:B$30,MATCH($H893,'planning dogs-n-tiger'!$G$1:$G$42,0)),0)</f>
        <v>71073.36855322335</v>
      </c>
      <c r="C893">
        <f>IFERROR(INDEX('planning dogs-n-tiger'!C$1:C$30,MATCH($H893,'planning dogs-n-tiger'!$G$1:$G$42,0)),0)</f>
        <v>23158.443475601489</v>
      </c>
      <c r="D893">
        <f>IFERROR(INDEX('planning dogs-n-tiger'!D$1:D$30,MATCH($H893,'planning dogs-n-tiger'!$G$1:$G$42,0)),0)</f>
        <v>32959.836610884733</v>
      </c>
      <c r="E893">
        <f t="shared" si="130"/>
        <v>23</v>
      </c>
      <c r="F893">
        <f t="shared" si="131"/>
        <v>6</v>
      </c>
      <c r="G893">
        <f t="shared" si="132"/>
        <v>2023</v>
      </c>
      <c r="H893" t="str">
        <f t="shared" si="136"/>
        <v>62023</v>
      </c>
      <c r="I893">
        <f t="shared" si="137"/>
        <v>30</v>
      </c>
      <c r="J893">
        <f t="shared" si="133"/>
        <v>2369.1122851074451</v>
      </c>
      <c r="K893">
        <f t="shared" si="134"/>
        <v>771.948115853383</v>
      </c>
      <c r="L893">
        <f t="shared" si="135"/>
        <v>1098.6612203628245</v>
      </c>
      <c r="M893" t="str">
        <f t="shared" si="138"/>
        <v>232023</v>
      </c>
      <c r="N893" t="str">
        <f t="shared" si="139"/>
        <v>23-6-2023</v>
      </c>
    </row>
    <row r="894" spans="1:14" x14ac:dyDescent="0.2">
      <c r="A894" s="1">
        <v>45089</v>
      </c>
      <c r="B894">
        <f>IFERROR(INDEX('planning dogs-n-tiger'!B$1:B$30,MATCH($H894,'planning dogs-n-tiger'!$G$1:$G$42,0)),0)</f>
        <v>71073.36855322335</v>
      </c>
      <c r="C894">
        <f>IFERROR(INDEX('planning dogs-n-tiger'!C$1:C$30,MATCH($H894,'planning dogs-n-tiger'!$G$1:$G$42,0)),0)</f>
        <v>23158.443475601489</v>
      </c>
      <c r="D894">
        <f>IFERROR(INDEX('planning dogs-n-tiger'!D$1:D$30,MATCH($H894,'planning dogs-n-tiger'!$G$1:$G$42,0)),0)</f>
        <v>32959.836610884733</v>
      </c>
      <c r="E894">
        <f t="shared" si="130"/>
        <v>24</v>
      </c>
      <c r="F894">
        <f t="shared" si="131"/>
        <v>6</v>
      </c>
      <c r="G894">
        <f t="shared" si="132"/>
        <v>2023</v>
      </c>
      <c r="H894" t="str">
        <f t="shared" si="136"/>
        <v>62023</v>
      </c>
      <c r="I894">
        <f t="shared" si="137"/>
        <v>30</v>
      </c>
      <c r="J894">
        <f t="shared" si="133"/>
        <v>2369.1122851074451</v>
      </c>
      <c r="K894">
        <f t="shared" si="134"/>
        <v>771.948115853383</v>
      </c>
      <c r="L894">
        <f t="shared" si="135"/>
        <v>1098.6612203628245</v>
      </c>
      <c r="M894" t="str">
        <f t="shared" si="138"/>
        <v>242023</v>
      </c>
      <c r="N894" t="str">
        <f t="shared" si="139"/>
        <v>24-6-2023</v>
      </c>
    </row>
    <row r="895" spans="1:14" x14ac:dyDescent="0.2">
      <c r="A895" s="1">
        <v>45090</v>
      </c>
      <c r="B895">
        <f>IFERROR(INDEX('planning dogs-n-tiger'!B$1:B$30,MATCH($H895,'planning dogs-n-tiger'!$G$1:$G$42,0)),0)</f>
        <v>71073.36855322335</v>
      </c>
      <c r="C895">
        <f>IFERROR(INDEX('planning dogs-n-tiger'!C$1:C$30,MATCH($H895,'planning dogs-n-tiger'!$G$1:$G$42,0)),0)</f>
        <v>23158.443475601489</v>
      </c>
      <c r="D895">
        <f>IFERROR(INDEX('planning dogs-n-tiger'!D$1:D$30,MATCH($H895,'planning dogs-n-tiger'!$G$1:$G$42,0)),0)</f>
        <v>32959.836610884733</v>
      </c>
      <c r="E895">
        <f t="shared" si="130"/>
        <v>24</v>
      </c>
      <c r="F895">
        <f t="shared" si="131"/>
        <v>6</v>
      </c>
      <c r="G895">
        <f t="shared" si="132"/>
        <v>2023</v>
      </c>
      <c r="H895" t="str">
        <f t="shared" si="136"/>
        <v>62023</v>
      </c>
      <c r="I895">
        <f t="shared" si="137"/>
        <v>30</v>
      </c>
      <c r="J895">
        <f t="shared" si="133"/>
        <v>2369.1122851074451</v>
      </c>
      <c r="K895">
        <f t="shared" si="134"/>
        <v>771.948115853383</v>
      </c>
      <c r="L895">
        <f t="shared" si="135"/>
        <v>1098.6612203628245</v>
      </c>
      <c r="M895" t="str">
        <f t="shared" si="138"/>
        <v>242023</v>
      </c>
      <c r="N895" t="str">
        <f t="shared" si="139"/>
        <v>24-6-2023</v>
      </c>
    </row>
    <row r="896" spans="1:14" x14ac:dyDescent="0.2">
      <c r="A896" s="1">
        <v>45091</v>
      </c>
      <c r="B896">
        <f>IFERROR(INDEX('planning dogs-n-tiger'!B$1:B$30,MATCH($H896,'planning dogs-n-tiger'!$G$1:$G$42,0)),0)</f>
        <v>71073.36855322335</v>
      </c>
      <c r="C896">
        <f>IFERROR(INDEX('planning dogs-n-tiger'!C$1:C$30,MATCH($H896,'planning dogs-n-tiger'!$G$1:$G$42,0)),0)</f>
        <v>23158.443475601489</v>
      </c>
      <c r="D896">
        <f>IFERROR(INDEX('planning dogs-n-tiger'!D$1:D$30,MATCH($H896,'planning dogs-n-tiger'!$G$1:$G$42,0)),0)</f>
        <v>32959.836610884733</v>
      </c>
      <c r="E896">
        <f t="shared" si="130"/>
        <v>24</v>
      </c>
      <c r="F896">
        <f t="shared" si="131"/>
        <v>6</v>
      </c>
      <c r="G896">
        <f t="shared" si="132"/>
        <v>2023</v>
      </c>
      <c r="H896" t="str">
        <f t="shared" si="136"/>
        <v>62023</v>
      </c>
      <c r="I896">
        <f t="shared" si="137"/>
        <v>30</v>
      </c>
      <c r="J896">
        <f t="shared" si="133"/>
        <v>2369.1122851074451</v>
      </c>
      <c r="K896">
        <f t="shared" si="134"/>
        <v>771.948115853383</v>
      </c>
      <c r="L896">
        <f t="shared" si="135"/>
        <v>1098.6612203628245</v>
      </c>
      <c r="M896" t="str">
        <f t="shared" si="138"/>
        <v>242023</v>
      </c>
      <c r="N896" t="str">
        <f t="shared" si="139"/>
        <v>24-6-2023</v>
      </c>
    </row>
    <row r="897" spans="1:14" x14ac:dyDescent="0.2">
      <c r="A897" s="1">
        <v>45092</v>
      </c>
      <c r="B897">
        <f>IFERROR(INDEX('planning dogs-n-tiger'!B$1:B$30,MATCH($H897,'planning dogs-n-tiger'!$G$1:$G$42,0)),0)</f>
        <v>71073.36855322335</v>
      </c>
      <c r="C897">
        <f>IFERROR(INDEX('planning dogs-n-tiger'!C$1:C$30,MATCH($H897,'planning dogs-n-tiger'!$G$1:$G$42,0)),0)</f>
        <v>23158.443475601489</v>
      </c>
      <c r="D897">
        <f>IFERROR(INDEX('planning dogs-n-tiger'!D$1:D$30,MATCH($H897,'planning dogs-n-tiger'!$G$1:$G$42,0)),0)</f>
        <v>32959.836610884733</v>
      </c>
      <c r="E897">
        <f t="shared" si="130"/>
        <v>24</v>
      </c>
      <c r="F897">
        <f t="shared" si="131"/>
        <v>6</v>
      </c>
      <c r="G897">
        <f t="shared" si="132"/>
        <v>2023</v>
      </c>
      <c r="H897" t="str">
        <f t="shared" si="136"/>
        <v>62023</v>
      </c>
      <c r="I897">
        <f t="shared" si="137"/>
        <v>30</v>
      </c>
      <c r="J897">
        <f t="shared" si="133"/>
        <v>2369.1122851074451</v>
      </c>
      <c r="K897">
        <f t="shared" si="134"/>
        <v>771.948115853383</v>
      </c>
      <c r="L897">
        <f t="shared" si="135"/>
        <v>1098.6612203628245</v>
      </c>
      <c r="M897" t="str">
        <f t="shared" si="138"/>
        <v>242023</v>
      </c>
      <c r="N897" t="str">
        <f t="shared" si="139"/>
        <v>24-6-2023</v>
      </c>
    </row>
    <row r="898" spans="1:14" x14ac:dyDescent="0.2">
      <c r="A898" s="1">
        <v>45093</v>
      </c>
      <c r="B898">
        <f>IFERROR(INDEX('planning dogs-n-tiger'!B$1:B$30,MATCH($H898,'planning dogs-n-tiger'!$G$1:$G$42,0)),0)</f>
        <v>71073.36855322335</v>
      </c>
      <c r="C898">
        <f>IFERROR(INDEX('planning dogs-n-tiger'!C$1:C$30,MATCH($H898,'planning dogs-n-tiger'!$G$1:$G$42,0)),0)</f>
        <v>23158.443475601489</v>
      </c>
      <c r="D898">
        <f>IFERROR(INDEX('planning dogs-n-tiger'!D$1:D$30,MATCH($H898,'planning dogs-n-tiger'!$G$1:$G$42,0)),0)</f>
        <v>32959.836610884733</v>
      </c>
      <c r="E898">
        <f t="shared" ref="E898:E961" si="140">_xlfn.ISOWEEKNUM(A898)</f>
        <v>24</v>
      </c>
      <c r="F898">
        <f t="shared" ref="F898:F961" si="141">MONTH(A898)</f>
        <v>6</v>
      </c>
      <c r="G898">
        <f t="shared" ref="G898:G961" si="142">YEAR(A898)</f>
        <v>2023</v>
      </c>
      <c r="H898" t="str">
        <f t="shared" si="136"/>
        <v>62023</v>
      </c>
      <c r="I898">
        <f t="shared" si="137"/>
        <v>30</v>
      </c>
      <c r="J898">
        <f t="shared" ref="J898:J961" si="143">B898/$I898</f>
        <v>2369.1122851074451</v>
      </c>
      <c r="K898">
        <f t="shared" ref="K898:K961" si="144">C898/$I898</f>
        <v>771.948115853383</v>
      </c>
      <c r="L898">
        <f t="shared" ref="L898:L961" si="145">D898/$I898</f>
        <v>1098.6612203628245</v>
      </c>
      <c r="M898" t="str">
        <f t="shared" si="138"/>
        <v>242023</v>
      </c>
      <c r="N898" t="str">
        <f t="shared" si="139"/>
        <v>24-6-2023</v>
      </c>
    </row>
    <row r="899" spans="1:14" x14ac:dyDescent="0.2">
      <c r="A899" s="1">
        <v>45094</v>
      </c>
      <c r="B899">
        <f>IFERROR(INDEX('planning dogs-n-tiger'!B$1:B$30,MATCH($H899,'planning dogs-n-tiger'!$G$1:$G$42,0)),0)</f>
        <v>71073.36855322335</v>
      </c>
      <c r="C899">
        <f>IFERROR(INDEX('planning dogs-n-tiger'!C$1:C$30,MATCH($H899,'planning dogs-n-tiger'!$G$1:$G$42,0)),0)</f>
        <v>23158.443475601489</v>
      </c>
      <c r="D899">
        <f>IFERROR(INDEX('planning dogs-n-tiger'!D$1:D$30,MATCH($H899,'planning dogs-n-tiger'!$G$1:$G$42,0)),0)</f>
        <v>32959.836610884733</v>
      </c>
      <c r="E899">
        <f t="shared" si="140"/>
        <v>24</v>
      </c>
      <c r="F899">
        <f t="shared" si="141"/>
        <v>6</v>
      </c>
      <c r="G899">
        <f t="shared" si="142"/>
        <v>2023</v>
      </c>
      <c r="H899" t="str">
        <f t="shared" ref="H899:H962" si="146">F899&amp;G899</f>
        <v>62023</v>
      </c>
      <c r="I899">
        <f t="shared" ref="I899:I962" si="147">DAY(EOMONTH(DATE(G899,F899,0),1))</f>
        <v>30</v>
      </c>
      <c r="J899">
        <f t="shared" si="143"/>
        <v>2369.1122851074451</v>
      </c>
      <c r="K899">
        <f t="shared" si="144"/>
        <v>771.948115853383</v>
      </c>
      <c r="L899">
        <f t="shared" si="145"/>
        <v>1098.6612203628245</v>
      </c>
      <c r="M899" t="str">
        <f t="shared" ref="M899:M962" si="148">E899&amp;G899</f>
        <v>242023</v>
      </c>
      <c r="N899" t="str">
        <f t="shared" ref="N899:N962" si="149">E899&amp;"-"&amp;F899&amp;"-"&amp;G899</f>
        <v>24-6-2023</v>
      </c>
    </row>
    <row r="900" spans="1:14" x14ac:dyDescent="0.2">
      <c r="A900" s="1">
        <v>45095</v>
      </c>
      <c r="B900">
        <f>IFERROR(INDEX('planning dogs-n-tiger'!B$1:B$30,MATCH($H900,'planning dogs-n-tiger'!$G$1:$G$42,0)),0)</f>
        <v>71073.36855322335</v>
      </c>
      <c r="C900">
        <f>IFERROR(INDEX('planning dogs-n-tiger'!C$1:C$30,MATCH($H900,'planning dogs-n-tiger'!$G$1:$G$42,0)),0)</f>
        <v>23158.443475601489</v>
      </c>
      <c r="D900">
        <f>IFERROR(INDEX('planning dogs-n-tiger'!D$1:D$30,MATCH($H900,'planning dogs-n-tiger'!$G$1:$G$42,0)),0)</f>
        <v>32959.836610884733</v>
      </c>
      <c r="E900">
        <f t="shared" si="140"/>
        <v>24</v>
      </c>
      <c r="F900">
        <f t="shared" si="141"/>
        <v>6</v>
      </c>
      <c r="G900">
        <f t="shared" si="142"/>
        <v>2023</v>
      </c>
      <c r="H900" t="str">
        <f t="shared" si="146"/>
        <v>62023</v>
      </c>
      <c r="I900">
        <f t="shared" si="147"/>
        <v>30</v>
      </c>
      <c r="J900">
        <f t="shared" si="143"/>
        <v>2369.1122851074451</v>
      </c>
      <c r="K900">
        <f t="shared" si="144"/>
        <v>771.948115853383</v>
      </c>
      <c r="L900">
        <f t="shared" si="145"/>
        <v>1098.6612203628245</v>
      </c>
      <c r="M900" t="str">
        <f t="shared" si="148"/>
        <v>242023</v>
      </c>
      <c r="N900" t="str">
        <f t="shared" si="149"/>
        <v>24-6-2023</v>
      </c>
    </row>
    <row r="901" spans="1:14" x14ac:dyDescent="0.2">
      <c r="A901" s="1">
        <v>45096</v>
      </c>
      <c r="B901">
        <f>IFERROR(INDEX('planning dogs-n-tiger'!B$1:B$30,MATCH($H901,'planning dogs-n-tiger'!$G$1:$G$42,0)),0)</f>
        <v>71073.36855322335</v>
      </c>
      <c r="C901">
        <f>IFERROR(INDEX('planning dogs-n-tiger'!C$1:C$30,MATCH($H901,'planning dogs-n-tiger'!$G$1:$G$42,0)),0)</f>
        <v>23158.443475601489</v>
      </c>
      <c r="D901">
        <f>IFERROR(INDEX('planning dogs-n-tiger'!D$1:D$30,MATCH($H901,'planning dogs-n-tiger'!$G$1:$G$42,0)),0)</f>
        <v>32959.836610884733</v>
      </c>
      <c r="E901">
        <f t="shared" si="140"/>
        <v>25</v>
      </c>
      <c r="F901">
        <f t="shared" si="141"/>
        <v>6</v>
      </c>
      <c r="G901">
        <f t="shared" si="142"/>
        <v>2023</v>
      </c>
      <c r="H901" t="str">
        <f t="shared" si="146"/>
        <v>62023</v>
      </c>
      <c r="I901">
        <f t="shared" si="147"/>
        <v>30</v>
      </c>
      <c r="J901">
        <f t="shared" si="143"/>
        <v>2369.1122851074451</v>
      </c>
      <c r="K901">
        <f t="shared" si="144"/>
        <v>771.948115853383</v>
      </c>
      <c r="L901">
        <f t="shared" si="145"/>
        <v>1098.6612203628245</v>
      </c>
      <c r="M901" t="str">
        <f t="shared" si="148"/>
        <v>252023</v>
      </c>
      <c r="N901" t="str">
        <f t="shared" si="149"/>
        <v>25-6-2023</v>
      </c>
    </row>
    <row r="902" spans="1:14" x14ac:dyDescent="0.2">
      <c r="A902" s="1">
        <v>45097</v>
      </c>
      <c r="B902">
        <f>IFERROR(INDEX('planning dogs-n-tiger'!B$1:B$30,MATCH($H902,'planning dogs-n-tiger'!$G$1:$G$42,0)),0)</f>
        <v>71073.36855322335</v>
      </c>
      <c r="C902">
        <f>IFERROR(INDEX('planning dogs-n-tiger'!C$1:C$30,MATCH($H902,'planning dogs-n-tiger'!$G$1:$G$42,0)),0)</f>
        <v>23158.443475601489</v>
      </c>
      <c r="D902">
        <f>IFERROR(INDEX('planning dogs-n-tiger'!D$1:D$30,MATCH($H902,'planning dogs-n-tiger'!$G$1:$G$42,0)),0)</f>
        <v>32959.836610884733</v>
      </c>
      <c r="E902">
        <f t="shared" si="140"/>
        <v>25</v>
      </c>
      <c r="F902">
        <f t="shared" si="141"/>
        <v>6</v>
      </c>
      <c r="G902">
        <f t="shared" si="142"/>
        <v>2023</v>
      </c>
      <c r="H902" t="str">
        <f t="shared" si="146"/>
        <v>62023</v>
      </c>
      <c r="I902">
        <f t="shared" si="147"/>
        <v>30</v>
      </c>
      <c r="J902">
        <f t="shared" si="143"/>
        <v>2369.1122851074451</v>
      </c>
      <c r="K902">
        <f t="shared" si="144"/>
        <v>771.948115853383</v>
      </c>
      <c r="L902">
        <f t="shared" si="145"/>
        <v>1098.6612203628245</v>
      </c>
      <c r="M902" t="str">
        <f t="shared" si="148"/>
        <v>252023</v>
      </c>
      <c r="N902" t="str">
        <f t="shared" si="149"/>
        <v>25-6-2023</v>
      </c>
    </row>
    <row r="903" spans="1:14" x14ac:dyDescent="0.2">
      <c r="A903" s="1">
        <v>45098</v>
      </c>
      <c r="B903">
        <f>IFERROR(INDEX('planning dogs-n-tiger'!B$1:B$30,MATCH($H903,'planning dogs-n-tiger'!$G$1:$G$42,0)),0)</f>
        <v>71073.36855322335</v>
      </c>
      <c r="C903">
        <f>IFERROR(INDEX('planning dogs-n-tiger'!C$1:C$30,MATCH($H903,'planning dogs-n-tiger'!$G$1:$G$42,0)),0)</f>
        <v>23158.443475601489</v>
      </c>
      <c r="D903">
        <f>IFERROR(INDEX('planning dogs-n-tiger'!D$1:D$30,MATCH($H903,'planning dogs-n-tiger'!$G$1:$G$42,0)),0)</f>
        <v>32959.836610884733</v>
      </c>
      <c r="E903">
        <f t="shared" si="140"/>
        <v>25</v>
      </c>
      <c r="F903">
        <f t="shared" si="141"/>
        <v>6</v>
      </c>
      <c r="G903">
        <f t="shared" si="142"/>
        <v>2023</v>
      </c>
      <c r="H903" t="str">
        <f t="shared" si="146"/>
        <v>62023</v>
      </c>
      <c r="I903">
        <f t="shared" si="147"/>
        <v>30</v>
      </c>
      <c r="J903">
        <f t="shared" si="143"/>
        <v>2369.1122851074451</v>
      </c>
      <c r="K903">
        <f t="shared" si="144"/>
        <v>771.948115853383</v>
      </c>
      <c r="L903">
        <f t="shared" si="145"/>
        <v>1098.6612203628245</v>
      </c>
      <c r="M903" t="str">
        <f t="shared" si="148"/>
        <v>252023</v>
      </c>
      <c r="N903" t="str">
        <f t="shared" si="149"/>
        <v>25-6-2023</v>
      </c>
    </row>
    <row r="904" spans="1:14" x14ac:dyDescent="0.2">
      <c r="A904" s="1">
        <v>45099</v>
      </c>
      <c r="B904">
        <f>IFERROR(INDEX('planning dogs-n-tiger'!B$1:B$30,MATCH($H904,'planning dogs-n-tiger'!$G$1:$G$42,0)),0)</f>
        <v>71073.36855322335</v>
      </c>
      <c r="C904">
        <f>IFERROR(INDEX('planning dogs-n-tiger'!C$1:C$30,MATCH($H904,'planning dogs-n-tiger'!$G$1:$G$42,0)),0)</f>
        <v>23158.443475601489</v>
      </c>
      <c r="D904">
        <f>IFERROR(INDEX('planning dogs-n-tiger'!D$1:D$30,MATCH($H904,'planning dogs-n-tiger'!$G$1:$G$42,0)),0)</f>
        <v>32959.836610884733</v>
      </c>
      <c r="E904">
        <f t="shared" si="140"/>
        <v>25</v>
      </c>
      <c r="F904">
        <f t="shared" si="141"/>
        <v>6</v>
      </c>
      <c r="G904">
        <f t="shared" si="142"/>
        <v>2023</v>
      </c>
      <c r="H904" t="str">
        <f t="shared" si="146"/>
        <v>62023</v>
      </c>
      <c r="I904">
        <f t="shared" si="147"/>
        <v>30</v>
      </c>
      <c r="J904">
        <f t="shared" si="143"/>
        <v>2369.1122851074451</v>
      </c>
      <c r="K904">
        <f t="shared" si="144"/>
        <v>771.948115853383</v>
      </c>
      <c r="L904">
        <f t="shared" si="145"/>
        <v>1098.6612203628245</v>
      </c>
      <c r="M904" t="str">
        <f t="shared" si="148"/>
        <v>252023</v>
      </c>
      <c r="N904" t="str">
        <f t="shared" si="149"/>
        <v>25-6-2023</v>
      </c>
    </row>
    <row r="905" spans="1:14" x14ac:dyDescent="0.2">
      <c r="A905" s="1">
        <v>45100</v>
      </c>
      <c r="B905">
        <f>IFERROR(INDEX('planning dogs-n-tiger'!B$1:B$30,MATCH($H905,'planning dogs-n-tiger'!$G$1:$G$42,0)),0)</f>
        <v>71073.36855322335</v>
      </c>
      <c r="C905">
        <f>IFERROR(INDEX('planning dogs-n-tiger'!C$1:C$30,MATCH($H905,'planning dogs-n-tiger'!$G$1:$G$42,0)),0)</f>
        <v>23158.443475601489</v>
      </c>
      <c r="D905">
        <f>IFERROR(INDEX('planning dogs-n-tiger'!D$1:D$30,MATCH($H905,'planning dogs-n-tiger'!$G$1:$G$42,0)),0)</f>
        <v>32959.836610884733</v>
      </c>
      <c r="E905">
        <f t="shared" si="140"/>
        <v>25</v>
      </c>
      <c r="F905">
        <f t="shared" si="141"/>
        <v>6</v>
      </c>
      <c r="G905">
        <f t="shared" si="142"/>
        <v>2023</v>
      </c>
      <c r="H905" t="str">
        <f t="shared" si="146"/>
        <v>62023</v>
      </c>
      <c r="I905">
        <f t="shared" si="147"/>
        <v>30</v>
      </c>
      <c r="J905">
        <f t="shared" si="143"/>
        <v>2369.1122851074451</v>
      </c>
      <c r="K905">
        <f t="shared" si="144"/>
        <v>771.948115853383</v>
      </c>
      <c r="L905">
        <f t="shared" si="145"/>
        <v>1098.6612203628245</v>
      </c>
      <c r="M905" t="str">
        <f t="shared" si="148"/>
        <v>252023</v>
      </c>
      <c r="N905" t="str">
        <f t="shared" si="149"/>
        <v>25-6-2023</v>
      </c>
    </row>
    <row r="906" spans="1:14" x14ac:dyDescent="0.2">
      <c r="A906" s="1">
        <v>45101</v>
      </c>
      <c r="B906">
        <f>IFERROR(INDEX('planning dogs-n-tiger'!B$1:B$30,MATCH($H906,'planning dogs-n-tiger'!$G$1:$G$42,0)),0)</f>
        <v>71073.36855322335</v>
      </c>
      <c r="C906">
        <f>IFERROR(INDEX('planning dogs-n-tiger'!C$1:C$30,MATCH($H906,'planning dogs-n-tiger'!$G$1:$G$42,0)),0)</f>
        <v>23158.443475601489</v>
      </c>
      <c r="D906">
        <f>IFERROR(INDEX('planning dogs-n-tiger'!D$1:D$30,MATCH($H906,'planning dogs-n-tiger'!$G$1:$G$42,0)),0)</f>
        <v>32959.836610884733</v>
      </c>
      <c r="E906">
        <f t="shared" si="140"/>
        <v>25</v>
      </c>
      <c r="F906">
        <f t="shared" si="141"/>
        <v>6</v>
      </c>
      <c r="G906">
        <f t="shared" si="142"/>
        <v>2023</v>
      </c>
      <c r="H906" t="str">
        <f t="shared" si="146"/>
        <v>62023</v>
      </c>
      <c r="I906">
        <f t="shared" si="147"/>
        <v>30</v>
      </c>
      <c r="J906">
        <f t="shared" si="143"/>
        <v>2369.1122851074451</v>
      </c>
      <c r="K906">
        <f t="shared" si="144"/>
        <v>771.948115853383</v>
      </c>
      <c r="L906">
        <f t="shared" si="145"/>
        <v>1098.6612203628245</v>
      </c>
      <c r="M906" t="str">
        <f t="shared" si="148"/>
        <v>252023</v>
      </c>
      <c r="N906" t="str">
        <f t="shared" si="149"/>
        <v>25-6-2023</v>
      </c>
    </row>
    <row r="907" spans="1:14" x14ac:dyDescent="0.2">
      <c r="A907" s="1">
        <v>45102</v>
      </c>
      <c r="B907">
        <f>IFERROR(INDEX('planning dogs-n-tiger'!B$1:B$30,MATCH($H907,'planning dogs-n-tiger'!$G$1:$G$42,0)),0)</f>
        <v>71073.36855322335</v>
      </c>
      <c r="C907">
        <f>IFERROR(INDEX('planning dogs-n-tiger'!C$1:C$30,MATCH($H907,'planning dogs-n-tiger'!$G$1:$G$42,0)),0)</f>
        <v>23158.443475601489</v>
      </c>
      <c r="D907">
        <f>IFERROR(INDEX('planning dogs-n-tiger'!D$1:D$30,MATCH($H907,'planning dogs-n-tiger'!$G$1:$G$42,0)),0)</f>
        <v>32959.836610884733</v>
      </c>
      <c r="E907">
        <f t="shared" si="140"/>
        <v>25</v>
      </c>
      <c r="F907">
        <f t="shared" si="141"/>
        <v>6</v>
      </c>
      <c r="G907">
        <f t="shared" si="142"/>
        <v>2023</v>
      </c>
      <c r="H907" t="str">
        <f t="shared" si="146"/>
        <v>62023</v>
      </c>
      <c r="I907">
        <f t="shared" si="147"/>
        <v>30</v>
      </c>
      <c r="J907">
        <f t="shared" si="143"/>
        <v>2369.1122851074451</v>
      </c>
      <c r="K907">
        <f t="shared" si="144"/>
        <v>771.948115853383</v>
      </c>
      <c r="L907">
        <f t="shared" si="145"/>
        <v>1098.6612203628245</v>
      </c>
      <c r="M907" t="str">
        <f t="shared" si="148"/>
        <v>252023</v>
      </c>
      <c r="N907" t="str">
        <f t="shared" si="149"/>
        <v>25-6-2023</v>
      </c>
    </row>
    <row r="908" spans="1:14" x14ac:dyDescent="0.2">
      <c r="A908" s="1">
        <v>45103</v>
      </c>
      <c r="B908">
        <f>IFERROR(INDEX('planning dogs-n-tiger'!B$1:B$30,MATCH($H908,'planning dogs-n-tiger'!$G$1:$G$42,0)),0)</f>
        <v>71073.36855322335</v>
      </c>
      <c r="C908">
        <f>IFERROR(INDEX('planning dogs-n-tiger'!C$1:C$30,MATCH($H908,'planning dogs-n-tiger'!$G$1:$G$42,0)),0)</f>
        <v>23158.443475601489</v>
      </c>
      <c r="D908">
        <f>IFERROR(INDEX('planning dogs-n-tiger'!D$1:D$30,MATCH($H908,'planning dogs-n-tiger'!$G$1:$G$42,0)),0)</f>
        <v>32959.836610884733</v>
      </c>
      <c r="E908">
        <f t="shared" si="140"/>
        <v>26</v>
      </c>
      <c r="F908">
        <f t="shared" si="141"/>
        <v>6</v>
      </c>
      <c r="G908">
        <f t="shared" si="142"/>
        <v>2023</v>
      </c>
      <c r="H908" t="str">
        <f t="shared" si="146"/>
        <v>62023</v>
      </c>
      <c r="I908">
        <f t="shared" si="147"/>
        <v>30</v>
      </c>
      <c r="J908">
        <f t="shared" si="143"/>
        <v>2369.1122851074451</v>
      </c>
      <c r="K908">
        <f t="shared" si="144"/>
        <v>771.948115853383</v>
      </c>
      <c r="L908">
        <f t="shared" si="145"/>
        <v>1098.6612203628245</v>
      </c>
      <c r="M908" t="str">
        <f t="shared" si="148"/>
        <v>262023</v>
      </c>
      <c r="N908" t="str">
        <f t="shared" si="149"/>
        <v>26-6-2023</v>
      </c>
    </row>
    <row r="909" spans="1:14" x14ac:dyDescent="0.2">
      <c r="A909" s="1">
        <v>45104</v>
      </c>
      <c r="B909">
        <f>IFERROR(INDEX('planning dogs-n-tiger'!B$1:B$30,MATCH($H909,'planning dogs-n-tiger'!$G$1:$G$42,0)),0)</f>
        <v>71073.36855322335</v>
      </c>
      <c r="C909">
        <f>IFERROR(INDEX('planning dogs-n-tiger'!C$1:C$30,MATCH($H909,'planning dogs-n-tiger'!$G$1:$G$42,0)),0)</f>
        <v>23158.443475601489</v>
      </c>
      <c r="D909">
        <f>IFERROR(INDEX('planning dogs-n-tiger'!D$1:D$30,MATCH($H909,'planning dogs-n-tiger'!$G$1:$G$42,0)),0)</f>
        <v>32959.836610884733</v>
      </c>
      <c r="E909">
        <f t="shared" si="140"/>
        <v>26</v>
      </c>
      <c r="F909">
        <f t="shared" si="141"/>
        <v>6</v>
      </c>
      <c r="G909">
        <f t="shared" si="142"/>
        <v>2023</v>
      </c>
      <c r="H909" t="str">
        <f t="shared" si="146"/>
        <v>62023</v>
      </c>
      <c r="I909">
        <f t="shared" si="147"/>
        <v>30</v>
      </c>
      <c r="J909">
        <f t="shared" si="143"/>
        <v>2369.1122851074451</v>
      </c>
      <c r="K909">
        <f t="shared" si="144"/>
        <v>771.948115853383</v>
      </c>
      <c r="L909">
        <f t="shared" si="145"/>
        <v>1098.6612203628245</v>
      </c>
      <c r="M909" t="str">
        <f t="shared" si="148"/>
        <v>262023</v>
      </c>
      <c r="N909" t="str">
        <f t="shared" si="149"/>
        <v>26-6-2023</v>
      </c>
    </row>
    <row r="910" spans="1:14" x14ac:dyDescent="0.2">
      <c r="A910" s="1">
        <v>45105</v>
      </c>
      <c r="B910">
        <f>IFERROR(INDEX('planning dogs-n-tiger'!B$1:B$30,MATCH($H910,'planning dogs-n-tiger'!$G$1:$G$42,0)),0)</f>
        <v>71073.36855322335</v>
      </c>
      <c r="C910">
        <f>IFERROR(INDEX('planning dogs-n-tiger'!C$1:C$30,MATCH($H910,'planning dogs-n-tiger'!$G$1:$G$42,0)),0)</f>
        <v>23158.443475601489</v>
      </c>
      <c r="D910">
        <f>IFERROR(INDEX('planning dogs-n-tiger'!D$1:D$30,MATCH($H910,'planning dogs-n-tiger'!$G$1:$G$42,0)),0)</f>
        <v>32959.836610884733</v>
      </c>
      <c r="E910">
        <f t="shared" si="140"/>
        <v>26</v>
      </c>
      <c r="F910">
        <f t="shared" si="141"/>
        <v>6</v>
      </c>
      <c r="G910">
        <f t="shared" si="142"/>
        <v>2023</v>
      </c>
      <c r="H910" t="str">
        <f t="shared" si="146"/>
        <v>62023</v>
      </c>
      <c r="I910">
        <f t="shared" si="147"/>
        <v>30</v>
      </c>
      <c r="J910">
        <f t="shared" si="143"/>
        <v>2369.1122851074451</v>
      </c>
      <c r="K910">
        <f t="shared" si="144"/>
        <v>771.948115853383</v>
      </c>
      <c r="L910">
        <f t="shared" si="145"/>
        <v>1098.6612203628245</v>
      </c>
      <c r="M910" t="str">
        <f t="shared" si="148"/>
        <v>262023</v>
      </c>
      <c r="N910" t="str">
        <f t="shared" si="149"/>
        <v>26-6-2023</v>
      </c>
    </row>
    <row r="911" spans="1:14" x14ac:dyDescent="0.2">
      <c r="A911" s="1">
        <v>45106</v>
      </c>
      <c r="B911">
        <f>IFERROR(INDEX('planning dogs-n-tiger'!B$1:B$30,MATCH($H911,'planning dogs-n-tiger'!$G$1:$G$42,0)),0)</f>
        <v>71073.36855322335</v>
      </c>
      <c r="C911">
        <f>IFERROR(INDEX('planning dogs-n-tiger'!C$1:C$30,MATCH($H911,'planning dogs-n-tiger'!$G$1:$G$42,0)),0)</f>
        <v>23158.443475601489</v>
      </c>
      <c r="D911">
        <f>IFERROR(INDEX('planning dogs-n-tiger'!D$1:D$30,MATCH($H911,'planning dogs-n-tiger'!$G$1:$G$42,0)),0)</f>
        <v>32959.836610884733</v>
      </c>
      <c r="E911">
        <f t="shared" si="140"/>
        <v>26</v>
      </c>
      <c r="F911">
        <f t="shared" si="141"/>
        <v>6</v>
      </c>
      <c r="G911">
        <f t="shared" si="142"/>
        <v>2023</v>
      </c>
      <c r="H911" t="str">
        <f t="shared" si="146"/>
        <v>62023</v>
      </c>
      <c r="I911">
        <f t="shared" si="147"/>
        <v>30</v>
      </c>
      <c r="J911">
        <f t="shared" si="143"/>
        <v>2369.1122851074451</v>
      </c>
      <c r="K911">
        <f t="shared" si="144"/>
        <v>771.948115853383</v>
      </c>
      <c r="L911">
        <f t="shared" si="145"/>
        <v>1098.6612203628245</v>
      </c>
      <c r="M911" t="str">
        <f t="shared" si="148"/>
        <v>262023</v>
      </c>
      <c r="N911" t="str">
        <f t="shared" si="149"/>
        <v>26-6-2023</v>
      </c>
    </row>
    <row r="912" spans="1:14" x14ac:dyDescent="0.2">
      <c r="A912" s="1">
        <v>45107</v>
      </c>
      <c r="B912">
        <f>IFERROR(INDEX('planning dogs-n-tiger'!B$1:B$30,MATCH($H912,'planning dogs-n-tiger'!$G$1:$G$42,0)),0)</f>
        <v>71073.36855322335</v>
      </c>
      <c r="C912">
        <f>IFERROR(INDEX('planning dogs-n-tiger'!C$1:C$30,MATCH($H912,'planning dogs-n-tiger'!$G$1:$G$42,0)),0)</f>
        <v>23158.443475601489</v>
      </c>
      <c r="D912">
        <f>IFERROR(INDEX('planning dogs-n-tiger'!D$1:D$30,MATCH($H912,'planning dogs-n-tiger'!$G$1:$G$42,0)),0)</f>
        <v>32959.836610884733</v>
      </c>
      <c r="E912">
        <f t="shared" si="140"/>
        <v>26</v>
      </c>
      <c r="F912">
        <f t="shared" si="141"/>
        <v>6</v>
      </c>
      <c r="G912">
        <f t="shared" si="142"/>
        <v>2023</v>
      </c>
      <c r="H912" t="str">
        <f t="shared" si="146"/>
        <v>62023</v>
      </c>
      <c r="I912">
        <f t="shared" si="147"/>
        <v>30</v>
      </c>
      <c r="J912">
        <f t="shared" si="143"/>
        <v>2369.1122851074451</v>
      </c>
      <c r="K912">
        <f t="shared" si="144"/>
        <v>771.948115853383</v>
      </c>
      <c r="L912">
        <f t="shared" si="145"/>
        <v>1098.6612203628245</v>
      </c>
      <c r="M912" t="str">
        <f t="shared" si="148"/>
        <v>262023</v>
      </c>
      <c r="N912" t="str">
        <f t="shared" si="149"/>
        <v>26-6-2023</v>
      </c>
    </row>
    <row r="913" spans="1:14" x14ac:dyDescent="0.2">
      <c r="A913" s="1">
        <v>45108</v>
      </c>
      <c r="B913">
        <f>IFERROR(INDEX('planning dogs-n-tiger'!B$1:B$30,MATCH($H913,'planning dogs-n-tiger'!$G$1:$G$42,0)),0)</f>
        <v>76657.258826439822</v>
      </c>
      <c r="C913">
        <f>IFERROR(INDEX('planning dogs-n-tiger'!C$1:C$30,MATCH($H913,'planning dogs-n-tiger'!$G$1:$G$42,0)),0)</f>
        <v>26293.030843867735</v>
      </c>
      <c r="D913">
        <f>IFERROR(INDEX('planning dogs-n-tiger'!D$1:D$30,MATCH($H913,'planning dogs-n-tiger'!$G$1:$G$42,0)),0)</f>
        <v>28135.661631213618</v>
      </c>
      <c r="E913">
        <f t="shared" si="140"/>
        <v>26</v>
      </c>
      <c r="F913">
        <f t="shared" si="141"/>
        <v>7</v>
      </c>
      <c r="G913">
        <f t="shared" si="142"/>
        <v>2023</v>
      </c>
      <c r="H913" t="str">
        <f t="shared" si="146"/>
        <v>72023</v>
      </c>
      <c r="I913">
        <f t="shared" si="147"/>
        <v>31</v>
      </c>
      <c r="J913">
        <f t="shared" si="143"/>
        <v>2472.8148008528974</v>
      </c>
      <c r="K913">
        <f t="shared" si="144"/>
        <v>848.16228528605598</v>
      </c>
      <c r="L913">
        <f t="shared" si="145"/>
        <v>907.60198810366512</v>
      </c>
      <c r="M913" t="str">
        <f t="shared" si="148"/>
        <v>262023</v>
      </c>
      <c r="N913" t="str">
        <f t="shared" si="149"/>
        <v>26-7-2023</v>
      </c>
    </row>
    <row r="914" spans="1:14" x14ac:dyDescent="0.2">
      <c r="A914" s="1">
        <v>45109</v>
      </c>
      <c r="B914">
        <f>IFERROR(INDEX('planning dogs-n-tiger'!B$1:B$30,MATCH($H914,'planning dogs-n-tiger'!$G$1:$G$42,0)),0)</f>
        <v>76657.258826439822</v>
      </c>
      <c r="C914">
        <f>IFERROR(INDEX('planning dogs-n-tiger'!C$1:C$30,MATCH($H914,'planning dogs-n-tiger'!$G$1:$G$42,0)),0)</f>
        <v>26293.030843867735</v>
      </c>
      <c r="D914">
        <f>IFERROR(INDEX('planning dogs-n-tiger'!D$1:D$30,MATCH($H914,'planning dogs-n-tiger'!$G$1:$G$42,0)),0)</f>
        <v>28135.661631213618</v>
      </c>
      <c r="E914">
        <f t="shared" si="140"/>
        <v>26</v>
      </c>
      <c r="F914">
        <f t="shared" si="141"/>
        <v>7</v>
      </c>
      <c r="G914">
        <f t="shared" si="142"/>
        <v>2023</v>
      </c>
      <c r="H914" t="str">
        <f t="shared" si="146"/>
        <v>72023</v>
      </c>
      <c r="I914">
        <f t="shared" si="147"/>
        <v>31</v>
      </c>
      <c r="J914">
        <f t="shared" si="143"/>
        <v>2472.8148008528974</v>
      </c>
      <c r="K914">
        <f t="shared" si="144"/>
        <v>848.16228528605598</v>
      </c>
      <c r="L914">
        <f t="shared" si="145"/>
        <v>907.60198810366512</v>
      </c>
      <c r="M914" t="str">
        <f t="shared" si="148"/>
        <v>262023</v>
      </c>
      <c r="N914" t="str">
        <f t="shared" si="149"/>
        <v>26-7-2023</v>
      </c>
    </row>
    <row r="915" spans="1:14" x14ac:dyDescent="0.2">
      <c r="A915" s="1">
        <v>45110</v>
      </c>
      <c r="B915">
        <f>IFERROR(INDEX('planning dogs-n-tiger'!B$1:B$30,MATCH($H915,'planning dogs-n-tiger'!$G$1:$G$42,0)),0)</f>
        <v>76657.258826439822</v>
      </c>
      <c r="C915">
        <f>IFERROR(INDEX('planning dogs-n-tiger'!C$1:C$30,MATCH($H915,'planning dogs-n-tiger'!$G$1:$G$42,0)),0)</f>
        <v>26293.030843867735</v>
      </c>
      <c r="D915">
        <f>IFERROR(INDEX('planning dogs-n-tiger'!D$1:D$30,MATCH($H915,'planning dogs-n-tiger'!$G$1:$G$42,0)),0)</f>
        <v>28135.661631213618</v>
      </c>
      <c r="E915">
        <f t="shared" si="140"/>
        <v>27</v>
      </c>
      <c r="F915">
        <f t="shared" si="141"/>
        <v>7</v>
      </c>
      <c r="G915">
        <f t="shared" si="142"/>
        <v>2023</v>
      </c>
      <c r="H915" t="str">
        <f t="shared" si="146"/>
        <v>72023</v>
      </c>
      <c r="I915">
        <f t="shared" si="147"/>
        <v>31</v>
      </c>
      <c r="J915">
        <f t="shared" si="143"/>
        <v>2472.8148008528974</v>
      </c>
      <c r="K915">
        <f t="shared" si="144"/>
        <v>848.16228528605598</v>
      </c>
      <c r="L915">
        <f t="shared" si="145"/>
        <v>907.60198810366512</v>
      </c>
      <c r="M915" t="str">
        <f t="shared" si="148"/>
        <v>272023</v>
      </c>
      <c r="N915" t="str">
        <f t="shared" si="149"/>
        <v>27-7-2023</v>
      </c>
    </row>
    <row r="916" spans="1:14" x14ac:dyDescent="0.2">
      <c r="A916" s="1">
        <v>45111</v>
      </c>
      <c r="B916">
        <f>IFERROR(INDEX('planning dogs-n-tiger'!B$1:B$30,MATCH($H916,'planning dogs-n-tiger'!$G$1:$G$42,0)),0)</f>
        <v>76657.258826439822</v>
      </c>
      <c r="C916">
        <f>IFERROR(INDEX('planning dogs-n-tiger'!C$1:C$30,MATCH($H916,'planning dogs-n-tiger'!$G$1:$G$42,0)),0)</f>
        <v>26293.030843867735</v>
      </c>
      <c r="D916">
        <f>IFERROR(INDEX('planning dogs-n-tiger'!D$1:D$30,MATCH($H916,'planning dogs-n-tiger'!$G$1:$G$42,0)),0)</f>
        <v>28135.661631213618</v>
      </c>
      <c r="E916">
        <f t="shared" si="140"/>
        <v>27</v>
      </c>
      <c r="F916">
        <f t="shared" si="141"/>
        <v>7</v>
      </c>
      <c r="G916">
        <f t="shared" si="142"/>
        <v>2023</v>
      </c>
      <c r="H916" t="str">
        <f t="shared" si="146"/>
        <v>72023</v>
      </c>
      <c r="I916">
        <f t="shared" si="147"/>
        <v>31</v>
      </c>
      <c r="J916">
        <f t="shared" si="143"/>
        <v>2472.8148008528974</v>
      </c>
      <c r="K916">
        <f t="shared" si="144"/>
        <v>848.16228528605598</v>
      </c>
      <c r="L916">
        <f t="shared" si="145"/>
        <v>907.60198810366512</v>
      </c>
      <c r="M916" t="str">
        <f t="shared" si="148"/>
        <v>272023</v>
      </c>
      <c r="N916" t="str">
        <f t="shared" si="149"/>
        <v>27-7-2023</v>
      </c>
    </row>
    <row r="917" spans="1:14" x14ac:dyDescent="0.2">
      <c r="A917" s="1">
        <v>45112</v>
      </c>
      <c r="B917">
        <f>IFERROR(INDEX('planning dogs-n-tiger'!B$1:B$30,MATCH($H917,'planning dogs-n-tiger'!$G$1:$G$42,0)),0)</f>
        <v>76657.258826439822</v>
      </c>
      <c r="C917">
        <f>IFERROR(INDEX('planning dogs-n-tiger'!C$1:C$30,MATCH($H917,'planning dogs-n-tiger'!$G$1:$G$42,0)),0)</f>
        <v>26293.030843867735</v>
      </c>
      <c r="D917">
        <f>IFERROR(INDEX('planning dogs-n-tiger'!D$1:D$30,MATCH($H917,'planning dogs-n-tiger'!$G$1:$G$42,0)),0)</f>
        <v>28135.661631213618</v>
      </c>
      <c r="E917">
        <f t="shared" si="140"/>
        <v>27</v>
      </c>
      <c r="F917">
        <f t="shared" si="141"/>
        <v>7</v>
      </c>
      <c r="G917">
        <f t="shared" si="142"/>
        <v>2023</v>
      </c>
      <c r="H917" t="str">
        <f t="shared" si="146"/>
        <v>72023</v>
      </c>
      <c r="I917">
        <f t="shared" si="147"/>
        <v>31</v>
      </c>
      <c r="J917">
        <f t="shared" si="143"/>
        <v>2472.8148008528974</v>
      </c>
      <c r="K917">
        <f t="shared" si="144"/>
        <v>848.16228528605598</v>
      </c>
      <c r="L917">
        <f t="shared" si="145"/>
        <v>907.60198810366512</v>
      </c>
      <c r="M917" t="str">
        <f t="shared" si="148"/>
        <v>272023</v>
      </c>
      <c r="N917" t="str">
        <f t="shared" si="149"/>
        <v>27-7-2023</v>
      </c>
    </row>
    <row r="918" spans="1:14" x14ac:dyDescent="0.2">
      <c r="A918" s="1">
        <v>45113</v>
      </c>
      <c r="B918">
        <f>IFERROR(INDEX('planning dogs-n-tiger'!B$1:B$30,MATCH($H918,'planning dogs-n-tiger'!$G$1:$G$42,0)),0)</f>
        <v>76657.258826439822</v>
      </c>
      <c r="C918">
        <f>IFERROR(INDEX('planning dogs-n-tiger'!C$1:C$30,MATCH($H918,'planning dogs-n-tiger'!$G$1:$G$42,0)),0)</f>
        <v>26293.030843867735</v>
      </c>
      <c r="D918">
        <f>IFERROR(INDEX('planning dogs-n-tiger'!D$1:D$30,MATCH($H918,'planning dogs-n-tiger'!$G$1:$G$42,0)),0)</f>
        <v>28135.661631213618</v>
      </c>
      <c r="E918">
        <f t="shared" si="140"/>
        <v>27</v>
      </c>
      <c r="F918">
        <f t="shared" si="141"/>
        <v>7</v>
      </c>
      <c r="G918">
        <f t="shared" si="142"/>
        <v>2023</v>
      </c>
      <c r="H918" t="str">
        <f t="shared" si="146"/>
        <v>72023</v>
      </c>
      <c r="I918">
        <f t="shared" si="147"/>
        <v>31</v>
      </c>
      <c r="J918">
        <f t="shared" si="143"/>
        <v>2472.8148008528974</v>
      </c>
      <c r="K918">
        <f t="shared" si="144"/>
        <v>848.16228528605598</v>
      </c>
      <c r="L918">
        <f t="shared" si="145"/>
        <v>907.60198810366512</v>
      </c>
      <c r="M918" t="str">
        <f t="shared" si="148"/>
        <v>272023</v>
      </c>
      <c r="N918" t="str">
        <f t="shared" si="149"/>
        <v>27-7-2023</v>
      </c>
    </row>
    <row r="919" spans="1:14" x14ac:dyDescent="0.2">
      <c r="A919" s="1">
        <v>45114</v>
      </c>
      <c r="B919">
        <f>IFERROR(INDEX('planning dogs-n-tiger'!B$1:B$30,MATCH($H919,'planning dogs-n-tiger'!$G$1:$G$42,0)),0)</f>
        <v>76657.258826439822</v>
      </c>
      <c r="C919">
        <f>IFERROR(INDEX('planning dogs-n-tiger'!C$1:C$30,MATCH($H919,'planning dogs-n-tiger'!$G$1:$G$42,0)),0)</f>
        <v>26293.030843867735</v>
      </c>
      <c r="D919">
        <f>IFERROR(INDEX('planning dogs-n-tiger'!D$1:D$30,MATCH($H919,'planning dogs-n-tiger'!$G$1:$G$42,0)),0)</f>
        <v>28135.661631213618</v>
      </c>
      <c r="E919">
        <f t="shared" si="140"/>
        <v>27</v>
      </c>
      <c r="F919">
        <f t="shared" si="141"/>
        <v>7</v>
      </c>
      <c r="G919">
        <f t="shared" si="142"/>
        <v>2023</v>
      </c>
      <c r="H919" t="str">
        <f t="shared" si="146"/>
        <v>72023</v>
      </c>
      <c r="I919">
        <f t="shared" si="147"/>
        <v>31</v>
      </c>
      <c r="J919">
        <f t="shared" si="143"/>
        <v>2472.8148008528974</v>
      </c>
      <c r="K919">
        <f t="shared" si="144"/>
        <v>848.16228528605598</v>
      </c>
      <c r="L919">
        <f t="shared" si="145"/>
        <v>907.60198810366512</v>
      </c>
      <c r="M919" t="str">
        <f t="shared" si="148"/>
        <v>272023</v>
      </c>
      <c r="N919" t="str">
        <f t="shared" si="149"/>
        <v>27-7-2023</v>
      </c>
    </row>
    <row r="920" spans="1:14" x14ac:dyDescent="0.2">
      <c r="A920" s="1">
        <v>45115</v>
      </c>
      <c r="B920">
        <f>IFERROR(INDEX('planning dogs-n-tiger'!B$1:B$30,MATCH($H920,'planning dogs-n-tiger'!$G$1:$G$42,0)),0)</f>
        <v>76657.258826439822</v>
      </c>
      <c r="C920">
        <f>IFERROR(INDEX('planning dogs-n-tiger'!C$1:C$30,MATCH($H920,'planning dogs-n-tiger'!$G$1:$G$42,0)),0)</f>
        <v>26293.030843867735</v>
      </c>
      <c r="D920">
        <f>IFERROR(INDEX('planning dogs-n-tiger'!D$1:D$30,MATCH($H920,'planning dogs-n-tiger'!$G$1:$G$42,0)),0)</f>
        <v>28135.661631213618</v>
      </c>
      <c r="E920">
        <f t="shared" si="140"/>
        <v>27</v>
      </c>
      <c r="F920">
        <f t="shared" si="141"/>
        <v>7</v>
      </c>
      <c r="G920">
        <f t="shared" si="142"/>
        <v>2023</v>
      </c>
      <c r="H920" t="str">
        <f t="shared" si="146"/>
        <v>72023</v>
      </c>
      <c r="I920">
        <f t="shared" si="147"/>
        <v>31</v>
      </c>
      <c r="J920">
        <f t="shared" si="143"/>
        <v>2472.8148008528974</v>
      </c>
      <c r="K920">
        <f t="shared" si="144"/>
        <v>848.16228528605598</v>
      </c>
      <c r="L920">
        <f t="shared" si="145"/>
        <v>907.60198810366512</v>
      </c>
      <c r="M920" t="str">
        <f t="shared" si="148"/>
        <v>272023</v>
      </c>
      <c r="N920" t="str">
        <f t="shared" si="149"/>
        <v>27-7-2023</v>
      </c>
    </row>
    <row r="921" spans="1:14" x14ac:dyDescent="0.2">
      <c r="A921" s="1">
        <v>45116</v>
      </c>
      <c r="B921">
        <f>IFERROR(INDEX('planning dogs-n-tiger'!B$1:B$30,MATCH($H921,'planning dogs-n-tiger'!$G$1:$G$42,0)),0)</f>
        <v>76657.258826439822</v>
      </c>
      <c r="C921">
        <f>IFERROR(INDEX('planning dogs-n-tiger'!C$1:C$30,MATCH($H921,'planning dogs-n-tiger'!$G$1:$G$42,0)),0)</f>
        <v>26293.030843867735</v>
      </c>
      <c r="D921">
        <f>IFERROR(INDEX('planning dogs-n-tiger'!D$1:D$30,MATCH($H921,'planning dogs-n-tiger'!$G$1:$G$42,0)),0)</f>
        <v>28135.661631213618</v>
      </c>
      <c r="E921">
        <f t="shared" si="140"/>
        <v>27</v>
      </c>
      <c r="F921">
        <f t="shared" si="141"/>
        <v>7</v>
      </c>
      <c r="G921">
        <f t="shared" si="142"/>
        <v>2023</v>
      </c>
      <c r="H921" t="str">
        <f t="shared" si="146"/>
        <v>72023</v>
      </c>
      <c r="I921">
        <f t="shared" si="147"/>
        <v>31</v>
      </c>
      <c r="J921">
        <f t="shared" si="143"/>
        <v>2472.8148008528974</v>
      </c>
      <c r="K921">
        <f t="shared" si="144"/>
        <v>848.16228528605598</v>
      </c>
      <c r="L921">
        <f t="shared" si="145"/>
        <v>907.60198810366512</v>
      </c>
      <c r="M921" t="str">
        <f t="shared" si="148"/>
        <v>272023</v>
      </c>
      <c r="N921" t="str">
        <f t="shared" si="149"/>
        <v>27-7-2023</v>
      </c>
    </row>
    <row r="922" spans="1:14" x14ac:dyDescent="0.2">
      <c r="A922" s="1">
        <v>45117</v>
      </c>
      <c r="B922">
        <f>IFERROR(INDEX('planning dogs-n-tiger'!B$1:B$30,MATCH($H922,'planning dogs-n-tiger'!$G$1:$G$42,0)),0)</f>
        <v>76657.258826439822</v>
      </c>
      <c r="C922">
        <f>IFERROR(INDEX('planning dogs-n-tiger'!C$1:C$30,MATCH($H922,'planning dogs-n-tiger'!$G$1:$G$42,0)),0)</f>
        <v>26293.030843867735</v>
      </c>
      <c r="D922">
        <f>IFERROR(INDEX('planning dogs-n-tiger'!D$1:D$30,MATCH($H922,'planning dogs-n-tiger'!$G$1:$G$42,0)),0)</f>
        <v>28135.661631213618</v>
      </c>
      <c r="E922">
        <f t="shared" si="140"/>
        <v>28</v>
      </c>
      <c r="F922">
        <f t="shared" si="141"/>
        <v>7</v>
      </c>
      <c r="G922">
        <f t="shared" si="142"/>
        <v>2023</v>
      </c>
      <c r="H922" t="str">
        <f t="shared" si="146"/>
        <v>72023</v>
      </c>
      <c r="I922">
        <f t="shared" si="147"/>
        <v>31</v>
      </c>
      <c r="J922">
        <f t="shared" si="143"/>
        <v>2472.8148008528974</v>
      </c>
      <c r="K922">
        <f t="shared" si="144"/>
        <v>848.16228528605598</v>
      </c>
      <c r="L922">
        <f t="shared" si="145"/>
        <v>907.60198810366512</v>
      </c>
      <c r="M922" t="str">
        <f t="shared" si="148"/>
        <v>282023</v>
      </c>
      <c r="N922" t="str">
        <f t="shared" si="149"/>
        <v>28-7-2023</v>
      </c>
    </row>
    <row r="923" spans="1:14" x14ac:dyDescent="0.2">
      <c r="A923" s="1">
        <v>45118</v>
      </c>
      <c r="B923">
        <f>IFERROR(INDEX('planning dogs-n-tiger'!B$1:B$30,MATCH($H923,'planning dogs-n-tiger'!$G$1:$G$42,0)),0)</f>
        <v>76657.258826439822</v>
      </c>
      <c r="C923">
        <f>IFERROR(INDEX('planning dogs-n-tiger'!C$1:C$30,MATCH($H923,'planning dogs-n-tiger'!$G$1:$G$42,0)),0)</f>
        <v>26293.030843867735</v>
      </c>
      <c r="D923">
        <f>IFERROR(INDEX('planning dogs-n-tiger'!D$1:D$30,MATCH($H923,'planning dogs-n-tiger'!$G$1:$G$42,0)),0)</f>
        <v>28135.661631213618</v>
      </c>
      <c r="E923">
        <f t="shared" si="140"/>
        <v>28</v>
      </c>
      <c r="F923">
        <f t="shared" si="141"/>
        <v>7</v>
      </c>
      <c r="G923">
        <f t="shared" si="142"/>
        <v>2023</v>
      </c>
      <c r="H923" t="str">
        <f t="shared" si="146"/>
        <v>72023</v>
      </c>
      <c r="I923">
        <f t="shared" si="147"/>
        <v>31</v>
      </c>
      <c r="J923">
        <f t="shared" si="143"/>
        <v>2472.8148008528974</v>
      </c>
      <c r="K923">
        <f t="shared" si="144"/>
        <v>848.16228528605598</v>
      </c>
      <c r="L923">
        <f t="shared" si="145"/>
        <v>907.60198810366512</v>
      </c>
      <c r="M923" t="str">
        <f t="shared" si="148"/>
        <v>282023</v>
      </c>
      <c r="N923" t="str">
        <f t="shared" si="149"/>
        <v>28-7-2023</v>
      </c>
    </row>
    <row r="924" spans="1:14" x14ac:dyDescent="0.2">
      <c r="A924" s="1">
        <v>45119</v>
      </c>
      <c r="B924">
        <f>IFERROR(INDEX('planning dogs-n-tiger'!B$1:B$30,MATCH($H924,'planning dogs-n-tiger'!$G$1:$G$42,0)),0)</f>
        <v>76657.258826439822</v>
      </c>
      <c r="C924">
        <f>IFERROR(INDEX('planning dogs-n-tiger'!C$1:C$30,MATCH($H924,'planning dogs-n-tiger'!$G$1:$G$42,0)),0)</f>
        <v>26293.030843867735</v>
      </c>
      <c r="D924">
        <f>IFERROR(INDEX('planning dogs-n-tiger'!D$1:D$30,MATCH($H924,'planning dogs-n-tiger'!$G$1:$G$42,0)),0)</f>
        <v>28135.661631213618</v>
      </c>
      <c r="E924">
        <f t="shared" si="140"/>
        <v>28</v>
      </c>
      <c r="F924">
        <f t="shared" si="141"/>
        <v>7</v>
      </c>
      <c r="G924">
        <f t="shared" si="142"/>
        <v>2023</v>
      </c>
      <c r="H924" t="str">
        <f t="shared" si="146"/>
        <v>72023</v>
      </c>
      <c r="I924">
        <f t="shared" si="147"/>
        <v>31</v>
      </c>
      <c r="J924">
        <f t="shared" si="143"/>
        <v>2472.8148008528974</v>
      </c>
      <c r="K924">
        <f t="shared" si="144"/>
        <v>848.16228528605598</v>
      </c>
      <c r="L924">
        <f t="shared" si="145"/>
        <v>907.60198810366512</v>
      </c>
      <c r="M924" t="str">
        <f t="shared" si="148"/>
        <v>282023</v>
      </c>
      <c r="N924" t="str">
        <f t="shared" si="149"/>
        <v>28-7-2023</v>
      </c>
    </row>
    <row r="925" spans="1:14" x14ac:dyDescent="0.2">
      <c r="A925" s="1">
        <v>45120</v>
      </c>
      <c r="B925">
        <f>IFERROR(INDEX('planning dogs-n-tiger'!B$1:B$30,MATCH($H925,'planning dogs-n-tiger'!$G$1:$G$42,0)),0)</f>
        <v>76657.258826439822</v>
      </c>
      <c r="C925">
        <f>IFERROR(INDEX('planning dogs-n-tiger'!C$1:C$30,MATCH($H925,'planning dogs-n-tiger'!$G$1:$G$42,0)),0)</f>
        <v>26293.030843867735</v>
      </c>
      <c r="D925">
        <f>IFERROR(INDEX('planning dogs-n-tiger'!D$1:D$30,MATCH($H925,'planning dogs-n-tiger'!$G$1:$G$42,0)),0)</f>
        <v>28135.661631213618</v>
      </c>
      <c r="E925">
        <f t="shared" si="140"/>
        <v>28</v>
      </c>
      <c r="F925">
        <f t="shared" si="141"/>
        <v>7</v>
      </c>
      <c r="G925">
        <f t="shared" si="142"/>
        <v>2023</v>
      </c>
      <c r="H925" t="str">
        <f t="shared" si="146"/>
        <v>72023</v>
      </c>
      <c r="I925">
        <f t="shared" si="147"/>
        <v>31</v>
      </c>
      <c r="J925">
        <f t="shared" si="143"/>
        <v>2472.8148008528974</v>
      </c>
      <c r="K925">
        <f t="shared" si="144"/>
        <v>848.16228528605598</v>
      </c>
      <c r="L925">
        <f t="shared" si="145"/>
        <v>907.60198810366512</v>
      </c>
      <c r="M925" t="str">
        <f t="shared" si="148"/>
        <v>282023</v>
      </c>
      <c r="N925" t="str">
        <f t="shared" si="149"/>
        <v>28-7-2023</v>
      </c>
    </row>
    <row r="926" spans="1:14" x14ac:dyDescent="0.2">
      <c r="A926" s="1">
        <v>45121</v>
      </c>
      <c r="B926">
        <f>IFERROR(INDEX('planning dogs-n-tiger'!B$1:B$30,MATCH($H926,'planning dogs-n-tiger'!$G$1:$G$42,0)),0)</f>
        <v>76657.258826439822</v>
      </c>
      <c r="C926">
        <f>IFERROR(INDEX('planning dogs-n-tiger'!C$1:C$30,MATCH($H926,'planning dogs-n-tiger'!$G$1:$G$42,0)),0)</f>
        <v>26293.030843867735</v>
      </c>
      <c r="D926">
        <f>IFERROR(INDEX('planning dogs-n-tiger'!D$1:D$30,MATCH($H926,'planning dogs-n-tiger'!$G$1:$G$42,0)),0)</f>
        <v>28135.661631213618</v>
      </c>
      <c r="E926">
        <f t="shared" si="140"/>
        <v>28</v>
      </c>
      <c r="F926">
        <f t="shared" si="141"/>
        <v>7</v>
      </c>
      <c r="G926">
        <f t="shared" si="142"/>
        <v>2023</v>
      </c>
      <c r="H926" t="str">
        <f t="shared" si="146"/>
        <v>72023</v>
      </c>
      <c r="I926">
        <f t="shared" si="147"/>
        <v>31</v>
      </c>
      <c r="J926">
        <f t="shared" si="143"/>
        <v>2472.8148008528974</v>
      </c>
      <c r="K926">
        <f t="shared" si="144"/>
        <v>848.16228528605598</v>
      </c>
      <c r="L926">
        <f t="shared" si="145"/>
        <v>907.60198810366512</v>
      </c>
      <c r="M926" t="str">
        <f t="shared" si="148"/>
        <v>282023</v>
      </c>
      <c r="N926" t="str">
        <f t="shared" si="149"/>
        <v>28-7-2023</v>
      </c>
    </row>
    <row r="927" spans="1:14" x14ac:dyDescent="0.2">
      <c r="A927" s="1">
        <v>45122</v>
      </c>
      <c r="B927">
        <f>IFERROR(INDEX('planning dogs-n-tiger'!B$1:B$30,MATCH($H927,'planning dogs-n-tiger'!$G$1:$G$42,0)),0)</f>
        <v>76657.258826439822</v>
      </c>
      <c r="C927">
        <f>IFERROR(INDEX('planning dogs-n-tiger'!C$1:C$30,MATCH($H927,'planning dogs-n-tiger'!$G$1:$G$42,0)),0)</f>
        <v>26293.030843867735</v>
      </c>
      <c r="D927">
        <f>IFERROR(INDEX('planning dogs-n-tiger'!D$1:D$30,MATCH($H927,'planning dogs-n-tiger'!$G$1:$G$42,0)),0)</f>
        <v>28135.661631213618</v>
      </c>
      <c r="E927">
        <f t="shared" si="140"/>
        <v>28</v>
      </c>
      <c r="F927">
        <f t="shared" si="141"/>
        <v>7</v>
      </c>
      <c r="G927">
        <f t="shared" si="142"/>
        <v>2023</v>
      </c>
      <c r="H927" t="str">
        <f t="shared" si="146"/>
        <v>72023</v>
      </c>
      <c r="I927">
        <f t="shared" si="147"/>
        <v>31</v>
      </c>
      <c r="J927">
        <f t="shared" si="143"/>
        <v>2472.8148008528974</v>
      </c>
      <c r="K927">
        <f t="shared" si="144"/>
        <v>848.16228528605598</v>
      </c>
      <c r="L927">
        <f t="shared" si="145"/>
        <v>907.60198810366512</v>
      </c>
      <c r="M927" t="str">
        <f t="shared" si="148"/>
        <v>282023</v>
      </c>
      <c r="N927" t="str">
        <f t="shared" si="149"/>
        <v>28-7-2023</v>
      </c>
    </row>
    <row r="928" spans="1:14" x14ac:dyDescent="0.2">
      <c r="A928" s="1">
        <v>45123</v>
      </c>
      <c r="B928">
        <f>IFERROR(INDEX('planning dogs-n-tiger'!B$1:B$30,MATCH($H928,'planning dogs-n-tiger'!$G$1:$G$42,0)),0)</f>
        <v>76657.258826439822</v>
      </c>
      <c r="C928">
        <f>IFERROR(INDEX('planning dogs-n-tiger'!C$1:C$30,MATCH($H928,'planning dogs-n-tiger'!$G$1:$G$42,0)),0)</f>
        <v>26293.030843867735</v>
      </c>
      <c r="D928">
        <f>IFERROR(INDEX('planning dogs-n-tiger'!D$1:D$30,MATCH($H928,'planning dogs-n-tiger'!$G$1:$G$42,0)),0)</f>
        <v>28135.661631213618</v>
      </c>
      <c r="E928">
        <f t="shared" si="140"/>
        <v>28</v>
      </c>
      <c r="F928">
        <f t="shared" si="141"/>
        <v>7</v>
      </c>
      <c r="G928">
        <f t="shared" si="142"/>
        <v>2023</v>
      </c>
      <c r="H928" t="str">
        <f t="shared" si="146"/>
        <v>72023</v>
      </c>
      <c r="I928">
        <f t="shared" si="147"/>
        <v>31</v>
      </c>
      <c r="J928">
        <f t="shared" si="143"/>
        <v>2472.8148008528974</v>
      </c>
      <c r="K928">
        <f t="shared" si="144"/>
        <v>848.16228528605598</v>
      </c>
      <c r="L928">
        <f t="shared" si="145"/>
        <v>907.60198810366512</v>
      </c>
      <c r="M928" t="str">
        <f t="shared" si="148"/>
        <v>282023</v>
      </c>
      <c r="N928" t="str">
        <f t="shared" si="149"/>
        <v>28-7-2023</v>
      </c>
    </row>
    <row r="929" spans="1:14" x14ac:dyDescent="0.2">
      <c r="A929" s="1">
        <v>45124</v>
      </c>
      <c r="B929">
        <f>IFERROR(INDEX('planning dogs-n-tiger'!B$1:B$30,MATCH($H929,'planning dogs-n-tiger'!$G$1:$G$42,0)),0)</f>
        <v>76657.258826439822</v>
      </c>
      <c r="C929">
        <f>IFERROR(INDEX('planning dogs-n-tiger'!C$1:C$30,MATCH($H929,'planning dogs-n-tiger'!$G$1:$G$42,0)),0)</f>
        <v>26293.030843867735</v>
      </c>
      <c r="D929">
        <f>IFERROR(INDEX('planning dogs-n-tiger'!D$1:D$30,MATCH($H929,'planning dogs-n-tiger'!$G$1:$G$42,0)),0)</f>
        <v>28135.661631213618</v>
      </c>
      <c r="E929">
        <f t="shared" si="140"/>
        <v>29</v>
      </c>
      <c r="F929">
        <f t="shared" si="141"/>
        <v>7</v>
      </c>
      <c r="G929">
        <f t="shared" si="142"/>
        <v>2023</v>
      </c>
      <c r="H929" t="str">
        <f t="shared" si="146"/>
        <v>72023</v>
      </c>
      <c r="I929">
        <f t="shared" si="147"/>
        <v>31</v>
      </c>
      <c r="J929">
        <f t="shared" si="143"/>
        <v>2472.8148008528974</v>
      </c>
      <c r="K929">
        <f t="shared" si="144"/>
        <v>848.16228528605598</v>
      </c>
      <c r="L929">
        <f t="shared" si="145"/>
        <v>907.60198810366512</v>
      </c>
      <c r="M929" t="str">
        <f t="shared" si="148"/>
        <v>292023</v>
      </c>
      <c r="N929" t="str">
        <f t="shared" si="149"/>
        <v>29-7-2023</v>
      </c>
    </row>
    <row r="930" spans="1:14" x14ac:dyDescent="0.2">
      <c r="A930" s="1">
        <v>45125</v>
      </c>
      <c r="B930">
        <f>IFERROR(INDEX('planning dogs-n-tiger'!B$1:B$30,MATCH($H930,'planning dogs-n-tiger'!$G$1:$G$42,0)),0)</f>
        <v>76657.258826439822</v>
      </c>
      <c r="C930">
        <f>IFERROR(INDEX('planning dogs-n-tiger'!C$1:C$30,MATCH($H930,'planning dogs-n-tiger'!$G$1:$G$42,0)),0)</f>
        <v>26293.030843867735</v>
      </c>
      <c r="D930">
        <f>IFERROR(INDEX('planning dogs-n-tiger'!D$1:D$30,MATCH($H930,'planning dogs-n-tiger'!$G$1:$G$42,0)),0)</f>
        <v>28135.661631213618</v>
      </c>
      <c r="E930">
        <f t="shared" si="140"/>
        <v>29</v>
      </c>
      <c r="F930">
        <f t="shared" si="141"/>
        <v>7</v>
      </c>
      <c r="G930">
        <f t="shared" si="142"/>
        <v>2023</v>
      </c>
      <c r="H930" t="str">
        <f t="shared" si="146"/>
        <v>72023</v>
      </c>
      <c r="I930">
        <f t="shared" si="147"/>
        <v>31</v>
      </c>
      <c r="J930">
        <f t="shared" si="143"/>
        <v>2472.8148008528974</v>
      </c>
      <c r="K930">
        <f t="shared" si="144"/>
        <v>848.16228528605598</v>
      </c>
      <c r="L930">
        <f t="shared" si="145"/>
        <v>907.60198810366512</v>
      </c>
      <c r="M930" t="str">
        <f t="shared" si="148"/>
        <v>292023</v>
      </c>
      <c r="N930" t="str">
        <f t="shared" si="149"/>
        <v>29-7-2023</v>
      </c>
    </row>
    <row r="931" spans="1:14" x14ac:dyDescent="0.2">
      <c r="A931" s="1">
        <v>45126</v>
      </c>
      <c r="B931">
        <f>IFERROR(INDEX('planning dogs-n-tiger'!B$1:B$30,MATCH($H931,'planning dogs-n-tiger'!$G$1:$G$42,0)),0)</f>
        <v>76657.258826439822</v>
      </c>
      <c r="C931">
        <f>IFERROR(INDEX('planning dogs-n-tiger'!C$1:C$30,MATCH($H931,'planning dogs-n-tiger'!$G$1:$G$42,0)),0)</f>
        <v>26293.030843867735</v>
      </c>
      <c r="D931">
        <f>IFERROR(INDEX('planning dogs-n-tiger'!D$1:D$30,MATCH($H931,'planning dogs-n-tiger'!$G$1:$G$42,0)),0)</f>
        <v>28135.661631213618</v>
      </c>
      <c r="E931">
        <f t="shared" si="140"/>
        <v>29</v>
      </c>
      <c r="F931">
        <f t="shared" si="141"/>
        <v>7</v>
      </c>
      <c r="G931">
        <f t="shared" si="142"/>
        <v>2023</v>
      </c>
      <c r="H931" t="str">
        <f t="shared" si="146"/>
        <v>72023</v>
      </c>
      <c r="I931">
        <f t="shared" si="147"/>
        <v>31</v>
      </c>
      <c r="J931">
        <f t="shared" si="143"/>
        <v>2472.8148008528974</v>
      </c>
      <c r="K931">
        <f t="shared" si="144"/>
        <v>848.16228528605598</v>
      </c>
      <c r="L931">
        <f t="shared" si="145"/>
        <v>907.60198810366512</v>
      </c>
      <c r="M931" t="str">
        <f t="shared" si="148"/>
        <v>292023</v>
      </c>
      <c r="N931" t="str">
        <f t="shared" si="149"/>
        <v>29-7-2023</v>
      </c>
    </row>
    <row r="932" spans="1:14" x14ac:dyDescent="0.2">
      <c r="A932" s="1">
        <v>45127</v>
      </c>
      <c r="B932">
        <f>IFERROR(INDEX('planning dogs-n-tiger'!B$1:B$30,MATCH($H932,'planning dogs-n-tiger'!$G$1:$G$42,0)),0)</f>
        <v>76657.258826439822</v>
      </c>
      <c r="C932">
        <f>IFERROR(INDEX('planning dogs-n-tiger'!C$1:C$30,MATCH($H932,'planning dogs-n-tiger'!$G$1:$G$42,0)),0)</f>
        <v>26293.030843867735</v>
      </c>
      <c r="D932">
        <f>IFERROR(INDEX('planning dogs-n-tiger'!D$1:D$30,MATCH($H932,'planning dogs-n-tiger'!$G$1:$G$42,0)),0)</f>
        <v>28135.661631213618</v>
      </c>
      <c r="E932">
        <f t="shared" si="140"/>
        <v>29</v>
      </c>
      <c r="F932">
        <f t="shared" si="141"/>
        <v>7</v>
      </c>
      <c r="G932">
        <f t="shared" si="142"/>
        <v>2023</v>
      </c>
      <c r="H932" t="str">
        <f t="shared" si="146"/>
        <v>72023</v>
      </c>
      <c r="I932">
        <f t="shared" si="147"/>
        <v>31</v>
      </c>
      <c r="J932">
        <f t="shared" si="143"/>
        <v>2472.8148008528974</v>
      </c>
      <c r="K932">
        <f t="shared" si="144"/>
        <v>848.16228528605598</v>
      </c>
      <c r="L932">
        <f t="shared" si="145"/>
        <v>907.60198810366512</v>
      </c>
      <c r="M932" t="str">
        <f t="shared" si="148"/>
        <v>292023</v>
      </c>
      <c r="N932" t="str">
        <f t="shared" si="149"/>
        <v>29-7-2023</v>
      </c>
    </row>
    <row r="933" spans="1:14" x14ac:dyDescent="0.2">
      <c r="A933" s="1">
        <v>45128</v>
      </c>
      <c r="B933">
        <f>IFERROR(INDEX('planning dogs-n-tiger'!B$1:B$30,MATCH($H933,'planning dogs-n-tiger'!$G$1:$G$42,0)),0)</f>
        <v>76657.258826439822</v>
      </c>
      <c r="C933">
        <f>IFERROR(INDEX('planning dogs-n-tiger'!C$1:C$30,MATCH($H933,'planning dogs-n-tiger'!$G$1:$G$42,0)),0)</f>
        <v>26293.030843867735</v>
      </c>
      <c r="D933">
        <f>IFERROR(INDEX('planning dogs-n-tiger'!D$1:D$30,MATCH($H933,'planning dogs-n-tiger'!$G$1:$G$42,0)),0)</f>
        <v>28135.661631213618</v>
      </c>
      <c r="E933">
        <f t="shared" si="140"/>
        <v>29</v>
      </c>
      <c r="F933">
        <f t="shared" si="141"/>
        <v>7</v>
      </c>
      <c r="G933">
        <f t="shared" si="142"/>
        <v>2023</v>
      </c>
      <c r="H933" t="str">
        <f t="shared" si="146"/>
        <v>72023</v>
      </c>
      <c r="I933">
        <f t="shared" si="147"/>
        <v>31</v>
      </c>
      <c r="J933">
        <f t="shared" si="143"/>
        <v>2472.8148008528974</v>
      </c>
      <c r="K933">
        <f t="shared" si="144"/>
        <v>848.16228528605598</v>
      </c>
      <c r="L933">
        <f t="shared" si="145"/>
        <v>907.60198810366512</v>
      </c>
      <c r="M933" t="str">
        <f t="shared" si="148"/>
        <v>292023</v>
      </c>
      <c r="N933" t="str">
        <f t="shared" si="149"/>
        <v>29-7-2023</v>
      </c>
    </row>
    <row r="934" spans="1:14" x14ac:dyDescent="0.2">
      <c r="A934" s="1">
        <v>45129</v>
      </c>
      <c r="B934">
        <f>IFERROR(INDEX('planning dogs-n-tiger'!B$1:B$30,MATCH($H934,'planning dogs-n-tiger'!$G$1:$G$42,0)),0)</f>
        <v>76657.258826439822</v>
      </c>
      <c r="C934">
        <f>IFERROR(INDEX('planning dogs-n-tiger'!C$1:C$30,MATCH($H934,'planning dogs-n-tiger'!$G$1:$G$42,0)),0)</f>
        <v>26293.030843867735</v>
      </c>
      <c r="D934">
        <f>IFERROR(INDEX('planning dogs-n-tiger'!D$1:D$30,MATCH($H934,'planning dogs-n-tiger'!$G$1:$G$42,0)),0)</f>
        <v>28135.661631213618</v>
      </c>
      <c r="E934">
        <f t="shared" si="140"/>
        <v>29</v>
      </c>
      <c r="F934">
        <f t="shared" si="141"/>
        <v>7</v>
      </c>
      <c r="G934">
        <f t="shared" si="142"/>
        <v>2023</v>
      </c>
      <c r="H934" t="str">
        <f t="shared" si="146"/>
        <v>72023</v>
      </c>
      <c r="I934">
        <f t="shared" si="147"/>
        <v>31</v>
      </c>
      <c r="J934">
        <f t="shared" si="143"/>
        <v>2472.8148008528974</v>
      </c>
      <c r="K934">
        <f t="shared" si="144"/>
        <v>848.16228528605598</v>
      </c>
      <c r="L934">
        <f t="shared" si="145"/>
        <v>907.60198810366512</v>
      </c>
      <c r="M934" t="str">
        <f t="shared" si="148"/>
        <v>292023</v>
      </c>
      <c r="N934" t="str">
        <f t="shared" si="149"/>
        <v>29-7-2023</v>
      </c>
    </row>
    <row r="935" spans="1:14" x14ac:dyDescent="0.2">
      <c r="A935" s="1">
        <v>45130</v>
      </c>
      <c r="B935">
        <f>IFERROR(INDEX('planning dogs-n-tiger'!B$1:B$30,MATCH($H935,'planning dogs-n-tiger'!$G$1:$G$42,0)),0)</f>
        <v>76657.258826439822</v>
      </c>
      <c r="C935">
        <f>IFERROR(INDEX('planning dogs-n-tiger'!C$1:C$30,MATCH($H935,'planning dogs-n-tiger'!$G$1:$G$42,0)),0)</f>
        <v>26293.030843867735</v>
      </c>
      <c r="D935">
        <f>IFERROR(INDEX('planning dogs-n-tiger'!D$1:D$30,MATCH($H935,'planning dogs-n-tiger'!$G$1:$G$42,0)),0)</f>
        <v>28135.661631213618</v>
      </c>
      <c r="E935">
        <f t="shared" si="140"/>
        <v>29</v>
      </c>
      <c r="F935">
        <f t="shared" si="141"/>
        <v>7</v>
      </c>
      <c r="G935">
        <f t="shared" si="142"/>
        <v>2023</v>
      </c>
      <c r="H935" t="str">
        <f t="shared" si="146"/>
        <v>72023</v>
      </c>
      <c r="I935">
        <f t="shared" si="147"/>
        <v>31</v>
      </c>
      <c r="J935">
        <f t="shared" si="143"/>
        <v>2472.8148008528974</v>
      </c>
      <c r="K935">
        <f t="shared" si="144"/>
        <v>848.16228528605598</v>
      </c>
      <c r="L935">
        <f t="shared" si="145"/>
        <v>907.60198810366512</v>
      </c>
      <c r="M935" t="str">
        <f t="shared" si="148"/>
        <v>292023</v>
      </c>
      <c r="N935" t="str">
        <f t="shared" si="149"/>
        <v>29-7-2023</v>
      </c>
    </row>
    <row r="936" spans="1:14" x14ac:dyDescent="0.2">
      <c r="A936" s="1">
        <v>45131</v>
      </c>
      <c r="B936">
        <f>IFERROR(INDEX('planning dogs-n-tiger'!B$1:B$30,MATCH($H936,'planning dogs-n-tiger'!$G$1:$G$42,0)),0)</f>
        <v>76657.258826439822</v>
      </c>
      <c r="C936">
        <f>IFERROR(INDEX('planning dogs-n-tiger'!C$1:C$30,MATCH($H936,'planning dogs-n-tiger'!$G$1:$G$42,0)),0)</f>
        <v>26293.030843867735</v>
      </c>
      <c r="D936">
        <f>IFERROR(INDEX('planning dogs-n-tiger'!D$1:D$30,MATCH($H936,'planning dogs-n-tiger'!$G$1:$G$42,0)),0)</f>
        <v>28135.661631213618</v>
      </c>
      <c r="E936">
        <f t="shared" si="140"/>
        <v>30</v>
      </c>
      <c r="F936">
        <f t="shared" si="141"/>
        <v>7</v>
      </c>
      <c r="G936">
        <f t="shared" si="142"/>
        <v>2023</v>
      </c>
      <c r="H936" t="str">
        <f t="shared" si="146"/>
        <v>72023</v>
      </c>
      <c r="I936">
        <f t="shared" si="147"/>
        <v>31</v>
      </c>
      <c r="J936">
        <f t="shared" si="143"/>
        <v>2472.8148008528974</v>
      </c>
      <c r="K936">
        <f t="shared" si="144"/>
        <v>848.16228528605598</v>
      </c>
      <c r="L936">
        <f t="shared" si="145"/>
        <v>907.60198810366512</v>
      </c>
      <c r="M936" t="str">
        <f t="shared" si="148"/>
        <v>302023</v>
      </c>
      <c r="N936" t="str">
        <f t="shared" si="149"/>
        <v>30-7-2023</v>
      </c>
    </row>
    <row r="937" spans="1:14" x14ac:dyDescent="0.2">
      <c r="A937" s="1">
        <v>45132</v>
      </c>
      <c r="B937">
        <f>IFERROR(INDEX('planning dogs-n-tiger'!B$1:B$30,MATCH($H937,'planning dogs-n-tiger'!$G$1:$G$42,0)),0)</f>
        <v>76657.258826439822</v>
      </c>
      <c r="C937">
        <f>IFERROR(INDEX('planning dogs-n-tiger'!C$1:C$30,MATCH($H937,'planning dogs-n-tiger'!$G$1:$G$42,0)),0)</f>
        <v>26293.030843867735</v>
      </c>
      <c r="D937">
        <f>IFERROR(INDEX('planning dogs-n-tiger'!D$1:D$30,MATCH($H937,'planning dogs-n-tiger'!$G$1:$G$42,0)),0)</f>
        <v>28135.661631213618</v>
      </c>
      <c r="E937">
        <f t="shared" si="140"/>
        <v>30</v>
      </c>
      <c r="F937">
        <f t="shared" si="141"/>
        <v>7</v>
      </c>
      <c r="G937">
        <f t="shared" si="142"/>
        <v>2023</v>
      </c>
      <c r="H937" t="str">
        <f t="shared" si="146"/>
        <v>72023</v>
      </c>
      <c r="I937">
        <f t="shared" si="147"/>
        <v>31</v>
      </c>
      <c r="J937">
        <f t="shared" si="143"/>
        <v>2472.8148008528974</v>
      </c>
      <c r="K937">
        <f t="shared" si="144"/>
        <v>848.16228528605598</v>
      </c>
      <c r="L937">
        <f t="shared" si="145"/>
        <v>907.60198810366512</v>
      </c>
      <c r="M937" t="str">
        <f t="shared" si="148"/>
        <v>302023</v>
      </c>
      <c r="N937" t="str">
        <f t="shared" si="149"/>
        <v>30-7-2023</v>
      </c>
    </row>
    <row r="938" spans="1:14" x14ac:dyDescent="0.2">
      <c r="A938" s="1">
        <v>45133</v>
      </c>
      <c r="B938">
        <f>IFERROR(INDEX('planning dogs-n-tiger'!B$1:B$30,MATCH($H938,'planning dogs-n-tiger'!$G$1:$G$42,0)),0)</f>
        <v>76657.258826439822</v>
      </c>
      <c r="C938">
        <f>IFERROR(INDEX('planning dogs-n-tiger'!C$1:C$30,MATCH($H938,'planning dogs-n-tiger'!$G$1:$G$42,0)),0)</f>
        <v>26293.030843867735</v>
      </c>
      <c r="D938">
        <f>IFERROR(INDEX('planning dogs-n-tiger'!D$1:D$30,MATCH($H938,'planning dogs-n-tiger'!$G$1:$G$42,0)),0)</f>
        <v>28135.661631213618</v>
      </c>
      <c r="E938">
        <f t="shared" si="140"/>
        <v>30</v>
      </c>
      <c r="F938">
        <f t="shared" si="141"/>
        <v>7</v>
      </c>
      <c r="G938">
        <f t="shared" si="142"/>
        <v>2023</v>
      </c>
      <c r="H938" t="str">
        <f t="shared" si="146"/>
        <v>72023</v>
      </c>
      <c r="I938">
        <f t="shared" si="147"/>
        <v>31</v>
      </c>
      <c r="J938">
        <f t="shared" si="143"/>
        <v>2472.8148008528974</v>
      </c>
      <c r="K938">
        <f t="shared" si="144"/>
        <v>848.16228528605598</v>
      </c>
      <c r="L938">
        <f t="shared" si="145"/>
        <v>907.60198810366512</v>
      </c>
      <c r="M938" t="str">
        <f t="shared" si="148"/>
        <v>302023</v>
      </c>
      <c r="N938" t="str">
        <f t="shared" si="149"/>
        <v>30-7-2023</v>
      </c>
    </row>
    <row r="939" spans="1:14" x14ac:dyDescent="0.2">
      <c r="A939" s="1">
        <v>45134</v>
      </c>
      <c r="B939">
        <f>IFERROR(INDEX('planning dogs-n-tiger'!B$1:B$30,MATCH($H939,'planning dogs-n-tiger'!$G$1:$G$42,0)),0)</f>
        <v>76657.258826439822</v>
      </c>
      <c r="C939">
        <f>IFERROR(INDEX('planning dogs-n-tiger'!C$1:C$30,MATCH($H939,'planning dogs-n-tiger'!$G$1:$G$42,0)),0)</f>
        <v>26293.030843867735</v>
      </c>
      <c r="D939">
        <f>IFERROR(INDEX('planning dogs-n-tiger'!D$1:D$30,MATCH($H939,'planning dogs-n-tiger'!$G$1:$G$42,0)),0)</f>
        <v>28135.661631213618</v>
      </c>
      <c r="E939">
        <f t="shared" si="140"/>
        <v>30</v>
      </c>
      <c r="F939">
        <f t="shared" si="141"/>
        <v>7</v>
      </c>
      <c r="G939">
        <f t="shared" si="142"/>
        <v>2023</v>
      </c>
      <c r="H939" t="str">
        <f t="shared" si="146"/>
        <v>72023</v>
      </c>
      <c r="I939">
        <f t="shared" si="147"/>
        <v>31</v>
      </c>
      <c r="J939">
        <f t="shared" si="143"/>
        <v>2472.8148008528974</v>
      </c>
      <c r="K939">
        <f t="shared" si="144"/>
        <v>848.16228528605598</v>
      </c>
      <c r="L939">
        <f t="shared" si="145"/>
        <v>907.60198810366512</v>
      </c>
      <c r="M939" t="str">
        <f t="shared" si="148"/>
        <v>302023</v>
      </c>
      <c r="N939" t="str">
        <f t="shared" si="149"/>
        <v>30-7-2023</v>
      </c>
    </row>
    <row r="940" spans="1:14" x14ac:dyDescent="0.2">
      <c r="A940" s="1">
        <v>45135</v>
      </c>
      <c r="B940">
        <f>IFERROR(INDEX('planning dogs-n-tiger'!B$1:B$30,MATCH($H940,'planning dogs-n-tiger'!$G$1:$G$42,0)),0)</f>
        <v>76657.258826439822</v>
      </c>
      <c r="C940">
        <f>IFERROR(INDEX('planning dogs-n-tiger'!C$1:C$30,MATCH($H940,'planning dogs-n-tiger'!$G$1:$G$42,0)),0)</f>
        <v>26293.030843867735</v>
      </c>
      <c r="D940">
        <f>IFERROR(INDEX('planning dogs-n-tiger'!D$1:D$30,MATCH($H940,'planning dogs-n-tiger'!$G$1:$G$42,0)),0)</f>
        <v>28135.661631213618</v>
      </c>
      <c r="E940">
        <f t="shared" si="140"/>
        <v>30</v>
      </c>
      <c r="F940">
        <f t="shared" si="141"/>
        <v>7</v>
      </c>
      <c r="G940">
        <f t="shared" si="142"/>
        <v>2023</v>
      </c>
      <c r="H940" t="str">
        <f t="shared" si="146"/>
        <v>72023</v>
      </c>
      <c r="I940">
        <f t="shared" si="147"/>
        <v>31</v>
      </c>
      <c r="J940">
        <f t="shared" si="143"/>
        <v>2472.8148008528974</v>
      </c>
      <c r="K940">
        <f t="shared" si="144"/>
        <v>848.16228528605598</v>
      </c>
      <c r="L940">
        <f t="shared" si="145"/>
        <v>907.60198810366512</v>
      </c>
      <c r="M940" t="str">
        <f t="shared" si="148"/>
        <v>302023</v>
      </c>
      <c r="N940" t="str">
        <f t="shared" si="149"/>
        <v>30-7-2023</v>
      </c>
    </row>
    <row r="941" spans="1:14" x14ac:dyDescent="0.2">
      <c r="A941" s="1">
        <v>45136</v>
      </c>
      <c r="B941">
        <f>IFERROR(INDEX('planning dogs-n-tiger'!B$1:B$30,MATCH($H941,'planning dogs-n-tiger'!$G$1:$G$42,0)),0)</f>
        <v>76657.258826439822</v>
      </c>
      <c r="C941">
        <f>IFERROR(INDEX('planning dogs-n-tiger'!C$1:C$30,MATCH($H941,'planning dogs-n-tiger'!$G$1:$G$42,0)),0)</f>
        <v>26293.030843867735</v>
      </c>
      <c r="D941">
        <f>IFERROR(INDEX('planning dogs-n-tiger'!D$1:D$30,MATCH($H941,'planning dogs-n-tiger'!$G$1:$G$42,0)),0)</f>
        <v>28135.661631213618</v>
      </c>
      <c r="E941">
        <f t="shared" si="140"/>
        <v>30</v>
      </c>
      <c r="F941">
        <f t="shared" si="141"/>
        <v>7</v>
      </c>
      <c r="G941">
        <f t="shared" si="142"/>
        <v>2023</v>
      </c>
      <c r="H941" t="str">
        <f t="shared" si="146"/>
        <v>72023</v>
      </c>
      <c r="I941">
        <f t="shared" si="147"/>
        <v>31</v>
      </c>
      <c r="J941">
        <f t="shared" si="143"/>
        <v>2472.8148008528974</v>
      </c>
      <c r="K941">
        <f t="shared" si="144"/>
        <v>848.16228528605598</v>
      </c>
      <c r="L941">
        <f t="shared" si="145"/>
        <v>907.60198810366512</v>
      </c>
      <c r="M941" t="str">
        <f t="shared" si="148"/>
        <v>302023</v>
      </c>
      <c r="N941" t="str">
        <f t="shared" si="149"/>
        <v>30-7-2023</v>
      </c>
    </row>
    <row r="942" spans="1:14" x14ac:dyDescent="0.2">
      <c r="A942" s="1">
        <v>45137</v>
      </c>
      <c r="B942">
        <f>IFERROR(INDEX('planning dogs-n-tiger'!B$1:B$30,MATCH($H942,'planning dogs-n-tiger'!$G$1:$G$42,0)),0)</f>
        <v>76657.258826439822</v>
      </c>
      <c r="C942">
        <f>IFERROR(INDEX('planning dogs-n-tiger'!C$1:C$30,MATCH($H942,'planning dogs-n-tiger'!$G$1:$G$42,0)),0)</f>
        <v>26293.030843867735</v>
      </c>
      <c r="D942">
        <f>IFERROR(INDEX('planning dogs-n-tiger'!D$1:D$30,MATCH($H942,'planning dogs-n-tiger'!$G$1:$G$42,0)),0)</f>
        <v>28135.661631213618</v>
      </c>
      <c r="E942">
        <f t="shared" si="140"/>
        <v>30</v>
      </c>
      <c r="F942">
        <f t="shared" si="141"/>
        <v>7</v>
      </c>
      <c r="G942">
        <f t="shared" si="142"/>
        <v>2023</v>
      </c>
      <c r="H942" t="str">
        <f t="shared" si="146"/>
        <v>72023</v>
      </c>
      <c r="I942">
        <f t="shared" si="147"/>
        <v>31</v>
      </c>
      <c r="J942">
        <f t="shared" si="143"/>
        <v>2472.8148008528974</v>
      </c>
      <c r="K942">
        <f t="shared" si="144"/>
        <v>848.16228528605598</v>
      </c>
      <c r="L942">
        <f t="shared" si="145"/>
        <v>907.60198810366512</v>
      </c>
      <c r="M942" t="str">
        <f t="shared" si="148"/>
        <v>302023</v>
      </c>
      <c r="N942" t="str">
        <f t="shared" si="149"/>
        <v>30-7-2023</v>
      </c>
    </row>
    <row r="943" spans="1:14" x14ac:dyDescent="0.2">
      <c r="A943" s="1">
        <v>45138</v>
      </c>
      <c r="B943">
        <f>IFERROR(INDEX('planning dogs-n-tiger'!B$1:B$30,MATCH($H943,'planning dogs-n-tiger'!$G$1:$G$42,0)),0)</f>
        <v>76657.258826439822</v>
      </c>
      <c r="C943">
        <f>IFERROR(INDEX('planning dogs-n-tiger'!C$1:C$30,MATCH($H943,'planning dogs-n-tiger'!$G$1:$G$42,0)),0)</f>
        <v>26293.030843867735</v>
      </c>
      <c r="D943">
        <f>IFERROR(INDEX('planning dogs-n-tiger'!D$1:D$30,MATCH($H943,'planning dogs-n-tiger'!$G$1:$G$42,0)),0)</f>
        <v>28135.661631213618</v>
      </c>
      <c r="E943">
        <f t="shared" si="140"/>
        <v>31</v>
      </c>
      <c r="F943">
        <f t="shared" si="141"/>
        <v>7</v>
      </c>
      <c r="G943">
        <f t="shared" si="142"/>
        <v>2023</v>
      </c>
      <c r="H943" t="str">
        <f t="shared" si="146"/>
        <v>72023</v>
      </c>
      <c r="I943">
        <f t="shared" si="147"/>
        <v>31</v>
      </c>
      <c r="J943">
        <f t="shared" si="143"/>
        <v>2472.8148008528974</v>
      </c>
      <c r="K943">
        <f t="shared" si="144"/>
        <v>848.16228528605598</v>
      </c>
      <c r="L943">
        <f t="shared" si="145"/>
        <v>907.60198810366512</v>
      </c>
      <c r="M943" t="str">
        <f t="shared" si="148"/>
        <v>312023</v>
      </c>
      <c r="N943" t="str">
        <f t="shared" si="149"/>
        <v>31-7-2023</v>
      </c>
    </row>
    <row r="944" spans="1:14" x14ac:dyDescent="0.2">
      <c r="A944" s="1">
        <v>45139</v>
      </c>
      <c r="B944">
        <f>IFERROR(INDEX('planning dogs-n-tiger'!B$1:B$30,MATCH($H944,'planning dogs-n-tiger'!$G$1:$G$42,0)),0)</f>
        <v>76991.884982768112</v>
      </c>
      <c r="C944">
        <f>IFERROR(INDEX('planning dogs-n-tiger'!C$1:C$30,MATCH($H944,'planning dogs-n-tiger'!$G$1:$G$42,0)),0)</f>
        <v>24300.328673679094</v>
      </c>
      <c r="D944">
        <f>IFERROR(INDEX('planning dogs-n-tiger'!D$1:D$30,MATCH($H944,'planning dogs-n-tiger'!$G$1:$G$42,0)),0)</f>
        <v>26570.540075586774</v>
      </c>
      <c r="E944">
        <f t="shared" si="140"/>
        <v>31</v>
      </c>
      <c r="F944">
        <f t="shared" si="141"/>
        <v>8</v>
      </c>
      <c r="G944">
        <f t="shared" si="142"/>
        <v>2023</v>
      </c>
      <c r="H944" t="str">
        <f t="shared" si="146"/>
        <v>82023</v>
      </c>
      <c r="I944">
        <f t="shared" si="147"/>
        <v>31</v>
      </c>
      <c r="J944">
        <f t="shared" si="143"/>
        <v>2483.6091929925196</v>
      </c>
      <c r="K944">
        <f t="shared" si="144"/>
        <v>783.88157011868043</v>
      </c>
      <c r="L944">
        <f t="shared" si="145"/>
        <v>857.1141959866701</v>
      </c>
      <c r="M944" t="str">
        <f t="shared" si="148"/>
        <v>312023</v>
      </c>
      <c r="N944" t="str">
        <f t="shared" si="149"/>
        <v>31-8-2023</v>
      </c>
    </row>
    <row r="945" spans="1:14" x14ac:dyDescent="0.2">
      <c r="A945" s="1">
        <v>45140</v>
      </c>
      <c r="B945">
        <f>IFERROR(INDEX('planning dogs-n-tiger'!B$1:B$30,MATCH($H945,'planning dogs-n-tiger'!$G$1:$G$42,0)),0)</f>
        <v>76991.884982768112</v>
      </c>
      <c r="C945">
        <f>IFERROR(INDEX('planning dogs-n-tiger'!C$1:C$30,MATCH($H945,'planning dogs-n-tiger'!$G$1:$G$42,0)),0)</f>
        <v>24300.328673679094</v>
      </c>
      <c r="D945">
        <f>IFERROR(INDEX('planning dogs-n-tiger'!D$1:D$30,MATCH($H945,'planning dogs-n-tiger'!$G$1:$G$42,0)),0)</f>
        <v>26570.540075586774</v>
      </c>
      <c r="E945">
        <f t="shared" si="140"/>
        <v>31</v>
      </c>
      <c r="F945">
        <f t="shared" si="141"/>
        <v>8</v>
      </c>
      <c r="G945">
        <f t="shared" si="142"/>
        <v>2023</v>
      </c>
      <c r="H945" t="str">
        <f t="shared" si="146"/>
        <v>82023</v>
      </c>
      <c r="I945">
        <f t="shared" si="147"/>
        <v>31</v>
      </c>
      <c r="J945">
        <f t="shared" si="143"/>
        <v>2483.6091929925196</v>
      </c>
      <c r="K945">
        <f t="shared" si="144"/>
        <v>783.88157011868043</v>
      </c>
      <c r="L945">
        <f t="shared" si="145"/>
        <v>857.1141959866701</v>
      </c>
      <c r="M945" t="str">
        <f t="shared" si="148"/>
        <v>312023</v>
      </c>
      <c r="N945" t="str">
        <f t="shared" si="149"/>
        <v>31-8-2023</v>
      </c>
    </row>
    <row r="946" spans="1:14" x14ac:dyDescent="0.2">
      <c r="A946" s="1">
        <v>45141</v>
      </c>
      <c r="B946">
        <f>IFERROR(INDEX('planning dogs-n-tiger'!B$1:B$30,MATCH($H946,'planning dogs-n-tiger'!$G$1:$G$42,0)),0)</f>
        <v>76991.884982768112</v>
      </c>
      <c r="C946">
        <f>IFERROR(INDEX('planning dogs-n-tiger'!C$1:C$30,MATCH($H946,'planning dogs-n-tiger'!$G$1:$G$42,0)),0)</f>
        <v>24300.328673679094</v>
      </c>
      <c r="D946">
        <f>IFERROR(INDEX('planning dogs-n-tiger'!D$1:D$30,MATCH($H946,'planning dogs-n-tiger'!$G$1:$G$42,0)),0)</f>
        <v>26570.540075586774</v>
      </c>
      <c r="E946">
        <f t="shared" si="140"/>
        <v>31</v>
      </c>
      <c r="F946">
        <f t="shared" si="141"/>
        <v>8</v>
      </c>
      <c r="G946">
        <f t="shared" si="142"/>
        <v>2023</v>
      </c>
      <c r="H946" t="str">
        <f t="shared" si="146"/>
        <v>82023</v>
      </c>
      <c r="I946">
        <f t="shared" si="147"/>
        <v>31</v>
      </c>
      <c r="J946">
        <f t="shared" si="143"/>
        <v>2483.6091929925196</v>
      </c>
      <c r="K946">
        <f t="shared" si="144"/>
        <v>783.88157011868043</v>
      </c>
      <c r="L946">
        <f t="shared" si="145"/>
        <v>857.1141959866701</v>
      </c>
      <c r="M946" t="str">
        <f t="shared" si="148"/>
        <v>312023</v>
      </c>
      <c r="N946" t="str">
        <f t="shared" si="149"/>
        <v>31-8-2023</v>
      </c>
    </row>
    <row r="947" spans="1:14" x14ac:dyDescent="0.2">
      <c r="A947" s="1">
        <v>45142</v>
      </c>
      <c r="B947">
        <f>IFERROR(INDEX('planning dogs-n-tiger'!B$1:B$30,MATCH($H947,'planning dogs-n-tiger'!$G$1:$G$42,0)),0)</f>
        <v>76991.884982768112</v>
      </c>
      <c r="C947">
        <f>IFERROR(INDEX('planning dogs-n-tiger'!C$1:C$30,MATCH($H947,'planning dogs-n-tiger'!$G$1:$G$42,0)),0)</f>
        <v>24300.328673679094</v>
      </c>
      <c r="D947">
        <f>IFERROR(INDEX('planning dogs-n-tiger'!D$1:D$30,MATCH($H947,'planning dogs-n-tiger'!$G$1:$G$42,0)),0)</f>
        <v>26570.540075586774</v>
      </c>
      <c r="E947">
        <f t="shared" si="140"/>
        <v>31</v>
      </c>
      <c r="F947">
        <f t="shared" si="141"/>
        <v>8</v>
      </c>
      <c r="G947">
        <f t="shared" si="142"/>
        <v>2023</v>
      </c>
      <c r="H947" t="str">
        <f t="shared" si="146"/>
        <v>82023</v>
      </c>
      <c r="I947">
        <f t="shared" si="147"/>
        <v>31</v>
      </c>
      <c r="J947">
        <f t="shared" si="143"/>
        <v>2483.6091929925196</v>
      </c>
      <c r="K947">
        <f t="shared" si="144"/>
        <v>783.88157011868043</v>
      </c>
      <c r="L947">
        <f t="shared" si="145"/>
        <v>857.1141959866701</v>
      </c>
      <c r="M947" t="str">
        <f t="shared" si="148"/>
        <v>312023</v>
      </c>
      <c r="N947" t="str">
        <f t="shared" si="149"/>
        <v>31-8-2023</v>
      </c>
    </row>
    <row r="948" spans="1:14" x14ac:dyDescent="0.2">
      <c r="A948" s="1">
        <v>45143</v>
      </c>
      <c r="B948">
        <f>IFERROR(INDEX('planning dogs-n-tiger'!B$1:B$30,MATCH($H948,'planning dogs-n-tiger'!$G$1:$G$42,0)),0)</f>
        <v>76991.884982768112</v>
      </c>
      <c r="C948">
        <f>IFERROR(INDEX('planning dogs-n-tiger'!C$1:C$30,MATCH($H948,'planning dogs-n-tiger'!$G$1:$G$42,0)),0)</f>
        <v>24300.328673679094</v>
      </c>
      <c r="D948">
        <f>IFERROR(INDEX('planning dogs-n-tiger'!D$1:D$30,MATCH($H948,'planning dogs-n-tiger'!$G$1:$G$42,0)),0)</f>
        <v>26570.540075586774</v>
      </c>
      <c r="E948">
        <f t="shared" si="140"/>
        <v>31</v>
      </c>
      <c r="F948">
        <f t="shared" si="141"/>
        <v>8</v>
      </c>
      <c r="G948">
        <f t="shared" si="142"/>
        <v>2023</v>
      </c>
      <c r="H948" t="str">
        <f t="shared" si="146"/>
        <v>82023</v>
      </c>
      <c r="I948">
        <f t="shared" si="147"/>
        <v>31</v>
      </c>
      <c r="J948">
        <f t="shared" si="143"/>
        <v>2483.6091929925196</v>
      </c>
      <c r="K948">
        <f t="shared" si="144"/>
        <v>783.88157011868043</v>
      </c>
      <c r="L948">
        <f t="shared" si="145"/>
        <v>857.1141959866701</v>
      </c>
      <c r="M948" t="str">
        <f t="shared" si="148"/>
        <v>312023</v>
      </c>
      <c r="N948" t="str">
        <f t="shared" si="149"/>
        <v>31-8-2023</v>
      </c>
    </row>
    <row r="949" spans="1:14" x14ac:dyDescent="0.2">
      <c r="A949" s="1">
        <v>45144</v>
      </c>
      <c r="B949">
        <f>IFERROR(INDEX('planning dogs-n-tiger'!B$1:B$30,MATCH($H949,'planning dogs-n-tiger'!$G$1:$G$42,0)),0)</f>
        <v>76991.884982768112</v>
      </c>
      <c r="C949">
        <f>IFERROR(INDEX('planning dogs-n-tiger'!C$1:C$30,MATCH($H949,'planning dogs-n-tiger'!$G$1:$G$42,0)),0)</f>
        <v>24300.328673679094</v>
      </c>
      <c r="D949">
        <f>IFERROR(INDEX('planning dogs-n-tiger'!D$1:D$30,MATCH($H949,'planning dogs-n-tiger'!$G$1:$G$42,0)),0)</f>
        <v>26570.540075586774</v>
      </c>
      <c r="E949">
        <f t="shared" si="140"/>
        <v>31</v>
      </c>
      <c r="F949">
        <f t="shared" si="141"/>
        <v>8</v>
      </c>
      <c r="G949">
        <f t="shared" si="142"/>
        <v>2023</v>
      </c>
      <c r="H949" t="str">
        <f t="shared" si="146"/>
        <v>82023</v>
      </c>
      <c r="I949">
        <f t="shared" si="147"/>
        <v>31</v>
      </c>
      <c r="J949">
        <f t="shared" si="143"/>
        <v>2483.6091929925196</v>
      </c>
      <c r="K949">
        <f t="shared" si="144"/>
        <v>783.88157011868043</v>
      </c>
      <c r="L949">
        <f t="shared" si="145"/>
        <v>857.1141959866701</v>
      </c>
      <c r="M949" t="str">
        <f t="shared" si="148"/>
        <v>312023</v>
      </c>
      <c r="N949" t="str">
        <f t="shared" si="149"/>
        <v>31-8-2023</v>
      </c>
    </row>
    <row r="950" spans="1:14" x14ac:dyDescent="0.2">
      <c r="A950" s="1">
        <v>45145</v>
      </c>
      <c r="B950">
        <f>IFERROR(INDEX('planning dogs-n-tiger'!B$1:B$30,MATCH($H950,'planning dogs-n-tiger'!$G$1:$G$42,0)),0)</f>
        <v>76991.884982768112</v>
      </c>
      <c r="C950">
        <f>IFERROR(INDEX('planning dogs-n-tiger'!C$1:C$30,MATCH($H950,'planning dogs-n-tiger'!$G$1:$G$42,0)),0)</f>
        <v>24300.328673679094</v>
      </c>
      <c r="D950">
        <f>IFERROR(INDEX('planning dogs-n-tiger'!D$1:D$30,MATCH($H950,'planning dogs-n-tiger'!$G$1:$G$42,0)),0)</f>
        <v>26570.540075586774</v>
      </c>
      <c r="E950">
        <f t="shared" si="140"/>
        <v>32</v>
      </c>
      <c r="F950">
        <f t="shared" si="141"/>
        <v>8</v>
      </c>
      <c r="G950">
        <f t="shared" si="142"/>
        <v>2023</v>
      </c>
      <c r="H950" t="str">
        <f t="shared" si="146"/>
        <v>82023</v>
      </c>
      <c r="I950">
        <f t="shared" si="147"/>
        <v>31</v>
      </c>
      <c r="J950">
        <f t="shared" si="143"/>
        <v>2483.6091929925196</v>
      </c>
      <c r="K950">
        <f t="shared" si="144"/>
        <v>783.88157011868043</v>
      </c>
      <c r="L950">
        <f t="shared" si="145"/>
        <v>857.1141959866701</v>
      </c>
      <c r="M950" t="str">
        <f t="shared" si="148"/>
        <v>322023</v>
      </c>
      <c r="N950" t="str">
        <f t="shared" si="149"/>
        <v>32-8-2023</v>
      </c>
    </row>
    <row r="951" spans="1:14" x14ac:dyDescent="0.2">
      <c r="A951" s="1">
        <v>45146</v>
      </c>
      <c r="B951">
        <f>IFERROR(INDEX('planning dogs-n-tiger'!B$1:B$30,MATCH($H951,'planning dogs-n-tiger'!$G$1:$G$42,0)),0)</f>
        <v>76991.884982768112</v>
      </c>
      <c r="C951">
        <f>IFERROR(INDEX('planning dogs-n-tiger'!C$1:C$30,MATCH($H951,'planning dogs-n-tiger'!$G$1:$G$42,0)),0)</f>
        <v>24300.328673679094</v>
      </c>
      <c r="D951">
        <f>IFERROR(INDEX('planning dogs-n-tiger'!D$1:D$30,MATCH($H951,'planning dogs-n-tiger'!$G$1:$G$42,0)),0)</f>
        <v>26570.540075586774</v>
      </c>
      <c r="E951">
        <f t="shared" si="140"/>
        <v>32</v>
      </c>
      <c r="F951">
        <f t="shared" si="141"/>
        <v>8</v>
      </c>
      <c r="G951">
        <f t="shared" si="142"/>
        <v>2023</v>
      </c>
      <c r="H951" t="str">
        <f t="shared" si="146"/>
        <v>82023</v>
      </c>
      <c r="I951">
        <f t="shared" si="147"/>
        <v>31</v>
      </c>
      <c r="J951">
        <f t="shared" si="143"/>
        <v>2483.6091929925196</v>
      </c>
      <c r="K951">
        <f t="shared" si="144"/>
        <v>783.88157011868043</v>
      </c>
      <c r="L951">
        <f t="shared" si="145"/>
        <v>857.1141959866701</v>
      </c>
      <c r="M951" t="str">
        <f t="shared" si="148"/>
        <v>322023</v>
      </c>
      <c r="N951" t="str">
        <f t="shared" si="149"/>
        <v>32-8-2023</v>
      </c>
    </row>
    <row r="952" spans="1:14" x14ac:dyDescent="0.2">
      <c r="A952" s="1">
        <v>45147</v>
      </c>
      <c r="B952">
        <f>IFERROR(INDEX('planning dogs-n-tiger'!B$1:B$30,MATCH($H952,'planning dogs-n-tiger'!$G$1:$G$42,0)),0)</f>
        <v>76991.884982768112</v>
      </c>
      <c r="C952">
        <f>IFERROR(INDEX('planning dogs-n-tiger'!C$1:C$30,MATCH($H952,'planning dogs-n-tiger'!$G$1:$G$42,0)),0)</f>
        <v>24300.328673679094</v>
      </c>
      <c r="D952">
        <f>IFERROR(INDEX('planning dogs-n-tiger'!D$1:D$30,MATCH($H952,'planning dogs-n-tiger'!$G$1:$G$42,0)),0)</f>
        <v>26570.540075586774</v>
      </c>
      <c r="E952">
        <f t="shared" si="140"/>
        <v>32</v>
      </c>
      <c r="F952">
        <f t="shared" si="141"/>
        <v>8</v>
      </c>
      <c r="G952">
        <f t="shared" si="142"/>
        <v>2023</v>
      </c>
      <c r="H952" t="str">
        <f t="shared" si="146"/>
        <v>82023</v>
      </c>
      <c r="I952">
        <f t="shared" si="147"/>
        <v>31</v>
      </c>
      <c r="J952">
        <f t="shared" si="143"/>
        <v>2483.6091929925196</v>
      </c>
      <c r="K952">
        <f t="shared" si="144"/>
        <v>783.88157011868043</v>
      </c>
      <c r="L952">
        <f t="shared" si="145"/>
        <v>857.1141959866701</v>
      </c>
      <c r="M952" t="str">
        <f t="shared" si="148"/>
        <v>322023</v>
      </c>
      <c r="N952" t="str">
        <f t="shared" si="149"/>
        <v>32-8-2023</v>
      </c>
    </row>
    <row r="953" spans="1:14" x14ac:dyDescent="0.2">
      <c r="A953" s="1">
        <v>45148</v>
      </c>
      <c r="B953">
        <f>IFERROR(INDEX('planning dogs-n-tiger'!B$1:B$30,MATCH($H953,'planning dogs-n-tiger'!$G$1:$G$42,0)),0)</f>
        <v>76991.884982768112</v>
      </c>
      <c r="C953">
        <f>IFERROR(INDEX('planning dogs-n-tiger'!C$1:C$30,MATCH($H953,'planning dogs-n-tiger'!$G$1:$G$42,0)),0)</f>
        <v>24300.328673679094</v>
      </c>
      <c r="D953">
        <f>IFERROR(INDEX('planning dogs-n-tiger'!D$1:D$30,MATCH($H953,'planning dogs-n-tiger'!$G$1:$G$42,0)),0)</f>
        <v>26570.540075586774</v>
      </c>
      <c r="E953">
        <f t="shared" si="140"/>
        <v>32</v>
      </c>
      <c r="F953">
        <f t="shared" si="141"/>
        <v>8</v>
      </c>
      <c r="G953">
        <f t="shared" si="142"/>
        <v>2023</v>
      </c>
      <c r="H953" t="str">
        <f t="shared" si="146"/>
        <v>82023</v>
      </c>
      <c r="I953">
        <f t="shared" si="147"/>
        <v>31</v>
      </c>
      <c r="J953">
        <f t="shared" si="143"/>
        <v>2483.6091929925196</v>
      </c>
      <c r="K953">
        <f t="shared" si="144"/>
        <v>783.88157011868043</v>
      </c>
      <c r="L953">
        <f t="shared" si="145"/>
        <v>857.1141959866701</v>
      </c>
      <c r="M953" t="str">
        <f t="shared" si="148"/>
        <v>322023</v>
      </c>
      <c r="N953" t="str">
        <f t="shared" si="149"/>
        <v>32-8-2023</v>
      </c>
    </row>
    <row r="954" spans="1:14" x14ac:dyDescent="0.2">
      <c r="A954" s="1">
        <v>45149</v>
      </c>
      <c r="B954">
        <f>IFERROR(INDEX('planning dogs-n-tiger'!B$1:B$30,MATCH($H954,'planning dogs-n-tiger'!$G$1:$G$42,0)),0)</f>
        <v>76991.884982768112</v>
      </c>
      <c r="C954">
        <f>IFERROR(INDEX('planning dogs-n-tiger'!C$1:C$30,MATCH($H954,'planning dogs-n-tiger'!$G$1:$G$42,0)),0)</f>
        <v>24300.328673679094</v>
      </c>
      <c r="D954">
        <f>IFERROR(INDEX('planning dogs-n-tiger'!D$1:D$30,MATCH($H954,'planning dogs-n-tiger'!$G$1:$G$42,0)),0)</f>
        <v>26570.540075586774</v>
      </c>
      <c r="E954">
        <f t="shared" si="140"/>
        <v>32</v>
      </c>
      <c r="F954">
        <f t="shared" si="141"/>
        <v>8</v>
      </c>
      <c r="G954">
        <f t="shared" si="142"/>
        <v>2023</v>
      </c>
      <c r="H954" t="str">
        <f t="shared" si="146"/>
        <v>82023</v>
      </c>
      <c r="I954">
        <f t="shared" si="147"/>
        <v>31</v>
      </c>
      <c r="J954">
        <f t="shared" si="143"/>
        <v>2483.6091929925196</v>
      </c>
      <c r="K954">
        <f t="shared" si="144"/>
        <v>783.88157011868043</v>
      </c>
      <c r="L954">
        <f t="shared" si="145"/>
        <v>857.1141959866701</v>
      </c>
      <c r="M954" t="str">
        <f t="shared" si="148"/>
        <v>322023</v>
      </c>
      <c r="N954" t="str">
        <f t="shared" si="149"/>
        <v>32-8-2023</v>
      </c>
    </row>
    <row r="955" spans="1:14" x14ac:dyDescent="0.2">
      <c r="A955" s="1">
        <v>45150</v>
      </c>
      <c r="B955">
        <f>IFERROR(INDEX('planning dogs-n-tiger'!B$1:B$30,MATCH($H955,'planning dogs-n-tiger'!$G$1:$G$42,0)),0)</f>
        <v>76991.884982768112</v>
      </c>
      <c r="C955">
        <f>IFERROR(INDEX('planning dogs-n-tiger'!C$1:C$30,MATCH($H955,'planning dogs-n-tiger'!$G$1:$G$42,0)),0)</f>
        <v>24300.328673679094</v>
      </c>
      <c r="D955">
        <f>IFERROR(INDEX('planning dogs-n-tiger'!D$1:D$30,MATCH($H955,'planning dogs-n-tiger'!$G$1:$G$42,0)),0)</f>
        <v>26570.540075586774</v>
      </c>
      <c r="E955">
        <f t="shared" si="140"/>
        <v>32</v>
      </c>
      <c r="F955">
        <f t="shared" si="141"/>
        <v>8</v>
      </c>
      <c r="G955">
        <f t="shared" si="142"/>
        <v>2023</v>
      </c>
      <c r="H955" t="str">
        <f t="shared" si="146"/>
        <v>82023</v>
      </c>
      <c r="I955">
        <f t="shared" si="147"/>
        <v>31</v>
      </c>
      <c r="J955">
        <f t="shared" si="143"/>
        <v>2483.6091929925196</v>
      </c>
      <c r="K955">
        <f t="shared" si="144"/>
        <v>783.88157011868043</v>
      </c>
      <c r="L955">
        <f t="shared" si="145"/>
        <v>857.1141959866701</v>
      </c>
      <c r="M955" t="str">
        <f t="shared" si="148"/>
        <v>322023</v>
      </c>
      <c r="N955" t="str">
        <f t="shared" si="149"/>
        <v>32-8-2023</v>
      </c>
    </row>
    <row r="956" spans="1:14" x14ac:dyDescent="0.2">
      <c r="A956" s="1">
        <v>45151</v>
      </c>
      <c r="B956">
        <f>IFERROR(INDEX('planning dogs-n-tiger'!B$1:B$30,MATCH($H956,'planning dogs-n-tiger'!$G$1:$G$42,0)),0)</f>
        <v>76991.884982768112</v>
      </c>
      <c r="C956">
        <f>IFERROR(INDEX('planning dogs-n-tiger'!C$1:C$30,MATCH($H956,'planning dogs-n-tiger'!$G$1:$G$42,0)),0)</f>
        <v>24300.328673679094</v>
      </c>
      <c r="D956">
        <f>IFERROR(INDEX('planning dogs-n-tiger'!D$1:D$30,MATCH($H956,'planning dogs-n-tiger'!$G$1:$G$42,0)),0)</f>
        <v>26570.540075586774</v>
      </c>
      <c r="E956">
        <f t="shared" si="140"/>
        <v>32</v>
      </c>
      <c r="F956">
        <f t="shared" si="141"/>
        <v>8</v>
      </c>
      <c r="G956">
        <f t="shared" si="142"/>
        <v>2023</v>
      </c>
      <c r="H956" t="str">
        <f t="shared" si="146"/>
        <v>82023</v>
      </c>
      <c r="I956">
        <f t="shared" si="147"/>
        <v>31</v>
      </c>
      <c r="J956">
        <f t="shared" si="143"/>
        <v>2483.6091929925196</v>
      </c>
      <c r="K956">
        <f t="shared" si="144"/>
        <v>783.88157011868043</v>
      </c>
      <c r="L956">
        <f t="shared" si="145"/>
        <v>857.1141959866701</v>
      </c>
      <c r="M956" t="str">
        <f t="shared" si="148"/>
        <v>322023</v>
      </c>
      <c r="N956" t="str">
        <f t="shared" si="149"/>
        <v>32-8-2023</v>
      </c>
    </row>
    <row r="957" spans="1:14" x14ac:dyDescent="0.2">
      <c r="A957" s="1">
        <v>45152</v>
      </c>
      <c r="B957">
        <f>IFERROR(INDEX('planning dogs-n-tiger'!B$1:B$30,MATCH($H957,'planning dogs-n-tiger'!$G$1:$G$42,0)),0)</f>
        <v>76991.884982768112</v>
      </c>
      <c r="C957">
        <f>IFERROR(INDEX('planning dogs-n-tiger'!C$1:C$30,MATCH($H957,'planning dogs-n-tiger'!$G$1:$G$42,0)),0)</f>
        <v>24300.328673679094</v>
      </c>
      <c r="D957">
        <f>IFERROR(INDEX('planning dogs-n-tiger'!D$1:D$30,MATCH($H957,'planning dogs-n-tiger'!$G$1:$G$42,0)),0)</f>
        <v>26570.540075586774</v>
      </c>
      <c r="E957">
        <f t="shared" si="140"/>
        <v>33</v>
      </c>
      <c r="F957">
        <f t="shared" si="141"/>
        <v>8</v>
      </c>
      <c r="G957">
        <f t="shared" si="142"/>
        <v>2023</v>
      </c>
      <c r="H957" t="str">
        <f t="shared" si="146"/>
        <v>82023</v>
      </c>
      <c r="I957">
        <f t="shared" si="147"/>
        <v>31</v>
      </c>
      <c r="J957">
        <f t="shared" si="143"/>
        <v>2483.6091929925196</v>
      </c>
      <c r="K957">
        <f t="shared" si="144"/>
        <v>783.88157011868043</v>
      </c>
      <c r="L957">
        <f t="shared" si="145"/>
        <v>857.1141959866701</v>
      </c>
      <c r="M957" t="str">
        <f t="shared" si="148"/>
        <v>332023</v>
      </c>
      <c r="N957" t="str">
        <f t="shared" si="149"/>
        <v>33-8-2023</v>
      </c>
    </row>
    <row r="958" spans="1:14" x14ac:dyDescent="0.2">
      <c r="A958" s="1">
        <v>45153</v>
      </c>
      <c r="B958">
        <f>IFERROR(INDEX('planning dogs-n-tiger'!B$1:B$30,MATCH($H958,'planning dogs-n-tiger'!$G$1:$G$42,0)),0)</f>
        <v>76991.884982768112</v>
      </c>
      <c r="C958">
        <f>IFERROR(INDEX('planning dogs-n-tiger'!C$1:C$30,MATCH($H958,'planning dogs-n-tiger'!$G$1:$G$42,0)),0)</f>
        <v>24300.328673679094</v>
      </c>
      <c r="D958">
        <f>IFERROR(INDEX('planning dogs-n-tiger'!D$1:D$30,MATCH($H958,'planning dogs-n-tiger'!$G$1:$G$42,0)),0)</f>
        <v>26570.540075586774</v>
      </c>
      <c r="E958">
        <f t="shared" si="140"/>
        <v>33</v>
      </c>
      <c r="F958">
        <f t="shared" si="141"/>
        <v>8</v>
      </c>
      <c r="G958">
        <f t="shared" si="142"/>
        <v>2023</v>
      </c>
      <c r="H958" t="str">
        <f t="shared" si="146"/>
        <v>82023</v>
      </c>
      <c r="I958">
        <f t="shared" si="147"/>
        <v>31</v>
      </c>
      <c r="J958">
        <f t="shared" si="143"/>
        <v>2483.6091929925196</v>
      </c>
      <c r="K958">
        <f t="shared" si="144"/>
        <v>783.88157011868043</v>
      </c>
      <c r="L958">
        <f t="shared" si="145"/>
        <v>857.1141959866701</v>
      </c>
      <c r="M958" t="str">
        <f t="shared" si="148"/>
        <v>332023</v>
      </c>
      <c r="N958" t="str">
        <f t="shared" si="149"/>
        <v>33-8-2023</v>
      </c>
    </row>
    <row r="959" spans="1:14" x14ac:dyDescent="0.2">
      <c r="A959" s="1">
        <v>45154</v>
      </c>
      <c r="B959">
        <f>IFERROR(INDEX('planning dogs-n-tiger'!B$1:B$30,MATCH($H959,'planning dogs-n-tiger'!$G$1:$G$42,0)),0)</f>
        <v>76991.884982768112</v>
      </c>
      <c r="C959">
        <f>IFERROR(INDEX('planning dogs-n-tiger'!C$1:C$30,MATCH($H959,'planning dogs-n-tiger'!$G$1:$G$42,0)),0)</f>
        <v>24300.328673679094</v>
      </c>
      <c r="D959">
        <f>IFERROR(INDEX('planning dogs-n-tiger'!D$1:D$30,MATCH($H959,'planning dogs-n-tiger'!$G$1:$G$42,0)),0)</f>
        <v>26570.540075586774</v>
      </c>
      <c r="E959">
        <f t="shared" si="140"/>
        <v>33</v>
      </c>
      <c r="F959">
        <f t="shared" si="141"/>
        <v>8</v>
      </c>
      <c r="G959">
        <f t="shared" si="142"/>
        <v>2023</v>
      </c>
      <c r="H959" t="str">
        <f t="shared" si="146"/>
        <v>82023</v>
      </c>
      <c r="I959">
        <f t="shared" si="147"/>
        <v>31</v>
      </c>
      <c r="J959">
        <f t="shared" si="143"/>
        <v>2483.6091929925196</v>
      </c>
      <c r="K959">
        <f t="shared" si="144"/>
        <v>783.88157011868043</v>
      </c>
      <c r="L959">
        <f t="shared" si="145"/>
        <v>857.1141959866701</v>
      </c>
      <c r="M959" t="str">
        <f t="shared" si="148"/>
        <v>332023</v>
      </c>
      <c r="N959" t="str">
        <f t="shared" si="149"/>
        <v>33-8-2023</v>
      </c>
    </row>
    <row r="960" spans="1:14" x14ac:dyDescent="0.2">
      <c r="A960" s="1">
        <v>45155</v>
      </c>
      <c r="B960">
        <f>IFERROR(INDEX('planning dogs-n-tiger'!B$1:B$30,MATCH($H960,'planning dogs-n-tiger'!$G$1:$G$42,0)),0)</f>
        <v>76991.884982768112</v>
      </c>
      <c r="C960">
        <f>IFERROR(INDEX('planning dogs-n-tiger'!C$1:C$30,MATCH($H960,'planning dogs-n-tiger'!$G$1:$G$42,0)),0)</f>
        <v>24300.328673679094</v>
      </c>
      <c r="D960">
        <f>IFERROR(INDEX('planning dogs-n-tiger'!D$1:D$30,MATCH($H960,'planning dogs-n-tiger'!$G$1:$G$42,0)),0)</f>
        <v>26570.540075586774</v>
      </c>
      <c r="E960">
        <f t="shared" si="140"/>
        <v>33</v>
      </c>
      <c r="F960">
        <f t="shared" si="141"/>
        <v>8</v>
      </c>
      <c r="G960">
        <f t="shared" si="142"/>
        <v>2023</v>
      </c>
      <c r="H960" t="str">
        <f t="shared" si="146"/>
        <v>82023</v>
      </c>
      <c r="I960">
        <f t="shared" si="147"/>
        <v>31</v>
      </c>
      <c r="J960">
        <f t="shared" si="143"/>
        <v>2483.6091929925196</v>
      </c>
      <c r="K960">
        <f t="shared" si="144"/>
        <v>783.88157011868043</v>
      </c>
      <c r="L960">
        <f t="shared" si="145"/>
        <v>857.1141959866701</v>
      </c>
      <c r="M960" t="str">
        <f t="shared" si="148"/>
        <v>332023</v>
      </c>
      <c r="N960" t="str">
        <f t="shared" si="149"/>
        <v>33-8-2023</v>
      </c>
    </row>
    <row r="961" spans="1:14" x14ac:dyDescent="0.2">
      <c r="A961" s="1">
        <v>45156</v>
      </c>
      <c r="B961">
        <f>IFERROR(INDEX('planning dogs-n-tiger'!B$1:B$30,MATCH($H961,'planning dogs-n-tiger'!$G$1:$G$42,0)),0)</f>
        <v>76991.884982768112</v>
      </c>
      <c r="C961">
        <f>IFERROR(INDEX('planning dogs-n-tiger'!C$1:C$30,MATCH($H961,'planning dogs-n-tiger'!$G$1:$G$42,0)),0)</f>
        <v>24300.328673679094</v>
      </c>
      <c r="D961">
        <f>IFERROR(INDEX('planning dogs-n-tiger'!D$1:D$30,MATCH($H961,'planning dogs-n-tiger'!$G$1:$G$42,0)),0)</f>
        <v>26570.540075586774</v>
      </c>
      <c r="E961">
        <f t="shared" si="140"/>
        <v>33</v>
      </c>
      <c r="F961">
        <f t="shared" si="141"/>
        <v>8</v>
      </c>
      <c r="G961">
        <f t="shared" si="142"/>
        <v>2023</v>
      </c>
      <c r="H961" t="str">
        <f t="shared" si="146"/>
        <v>82023</v>
      </c>
      <c r="I961">
        <f t="shared" si="147"/>
        <v>31</v>
      </c>
      <c r="J961">
        <f t="shared" si="143"/>
        <v>2483.6091929925196</v>
      </c>
      <c r="K961">
        <f t="shared" si="144"/>
        <v>783.88157011868043</v>
      </c>
      <c r="L961">
        <f t="shared" si="145"/>
        <v>857.1141959866701</v>
      </c>
      <c r="M961" t="str">
        <f t="shared" si="148"/>
        <v>332023</v>
      </c>
      <c r="N961" t="str">
        <f t="shared" si="149"/>
        <v>33-8-2023</v>
      </c>
    </row>
    <row r="962" spans="1:14" x14ac:dyDescent="0.2">
      <c r="A962" s="1">
        <v>45157</v>
      </c>
      <c r="B962">
        <f>IFERROR(INDEX('planning dogs-n-tiger'!B$1:B$30,MATCH($H962,'planning dogs-n-tiger'!$G$1:$G$42,0)),0)</f>
        <v>76991.884982768112</v>
      </c>
      <c r="C962">
        <f>IFERROR(INDEX('planning dogs-n-tiger'!C$1:C$30,MATCH($H962,'planning dogs-n-tiger'!$G$1:$G$42,0)),0)</f>
        <v>24300.328673679094</v>
      </c>
      <c r="D962">
        <f>IFERROR(INDEX('planning dogs-n-tiger'!D$1:D$30,MATCH($H962,'planning dogs-n-tiger'!$G$1:$G$42,0)),0)</f>
        <v>26570.540075586774</v>
      </c>
      <c r="E962">
        <f t="shared" ref="E962:E1025" si="150">_xlfn.ISOWEEKNUM(A962)</f>
        <v>33</v>
      </c>
      <c r="F962">
        <f t="shared" ref="F962:F1025" si="151">MONTH(A962)</f>
        <v>8</v>
      </c>
      <c r="G962">
        <f t="shared" ref="G962:G1025" si="152">YEAR(A962)</f>
        <v>2023</v>
      </c>
      <c r="H962" t="str">
        <f t="shared" si="146"/>
        <v>82023</v>
      </c>
      <c r="I962">
        <f t="shared" si="147"/>
        <v>31</v>
      </c>
      <c r="J962">
        <f t="shared" ref="J962:J1025" si="153">B962/$I962</f>
        <v>2483.6091929925196</v>
      </c>
      <c r="K962">
        <f t="shared" ref="K962:K1025" si="154">C962/$I962</f>
        <v>783.88157011868043</v>
      </c>
      <c r="L962">
        <f t="shared" ref="L962:L1025" si="155">D962/$I962</f>
        <v>857.1141959866701</v>
      </c>
      <c r="M962" t="str">
        <f t="shared" si="148"/>
        <v>332023</v>
      </c>
      <c r="N962" t="str">
        <f t="shared" si="149"/>
        <v>33-8-2023</v>
      </c>
    </row>
    <row r="963" spans="1:14" x14ac:dyDescent="0.2">
      <c r="A963" s="1">
        <v>45158</v>
      </c>
      <c r="B963">
        <f>IFERROR(INDEX('planning dogs-n-tiger'!B$1:B$30,MATCH($H963,'planning dogs-n-tiger'!$G$1:$G$42,0)),0)</f>
        <v>76991.884982768112</v>
      </c>
      <c r="C963">
        <f>IFERROR(INDEX('planning dogs-n-tiger'!C$1:C$30,MATCH($H963,'planning dogs-n-tiger'!$G$1:$G$42,0)),0)</f>
        <v>24300.328673679094</v>
      </c>
      <c r="D963">
        <f>IFERROR(INDEX('planning dogs-n-tiger'!D$1:D$30,MATCH($H963,'planning dogs-n-tiger'!$G$1:$G$42,0)),0)</f>
        <v>26570.540075586774</v>
      </c>
      <c r="E963">
        <f t="shared" si="150"/>
        <v>33</v>
      </c>
      <c r="F963">
        <f t="shared" si="151"/>
        <v>8</v>
      </c>
      <c r="G963">
        <f t="shared" si="152"/>
        <v>2023</v>
      </c>
      <c r="H963" t="str">
        <f t="shared" ref="H963:H1026" si="156">F963&amp;G963</f>
        <v>82023</v>
      </c>
      <c r="I963">
        <f t="shared" ref="I963:I1026" si="157">DAY(EOMONTH(DATE(G963,F963,0),1))</f>
        <v>31</v>
      </c>
      <c r="J963">
        <f t="shared" si="153"/>
        <v>2483.6091929925196</v>
      </c>
      <c r="K963">
        <f t="shared" si="154"/>
        <v>783.88157011868043</v>
      </c>
      <c r="L963">
        <f t="shared" si="155"/>
        <v>857.1141959866701</v>
      </c>
      <c r="M963" t="str">
        <f t="shared" ref="M963:M1026" si="158">E963&amp;G963</f>
        <v>332023</v>
      </c>
      <c r="N963" t="str">
        <f t="shared" ref="N963:N1026" si="159">E963&amp;"-"&amp;F963&amp;"-"&amp;G963</f>
        <v>33-8-2023</v>
      </c>
    </row>
    <row r="964" spans="1:14" x14ac:dyDescent="0.2">
      <c r="A964" s="1">
        <v>45159</v>
      </c>
      <c r="B964">
        <f>IFERROR(INDEX('planning dogs-n-tiger'!B$1:B$30,MATCH($H964,'planning dogs-n-tiger'!$G$1:$G$42,0)),0)</f>
        <v>76991.884982768112</v>
      </c>
      <c r="C964">
        <f>IFERROR(INDEX('planning dogs-n-tiger'!C$1:C$30,MATCH($H964,'planning dogs-n-tiger'!$G$1:$G$42,0)),0)</f>
        <v>24300.328673679094</v>
      </c>
      <c r="D964">
        <f>IFERROR(INDEX('planning dogs-n-tiger'!D$1:D$30,MATCH($H964,'planning dogs-n-tiger'!$G$1:$G$42,0)),0)</f>
        <v>26570.540075586774</v>
      </c>
      <c r="E964">
        <f t="shared" si="150"/>
        <v>34</v>
      </c>
      <c r="F964">
        <f t="shared" si="151"/>
        <v>8</v>
      </c>
      <c r="G964">
        <f t="shared" si="152"/>
        <v>2023</v>
      </c>
      <c r="H964" t="str">
        <f t="shared" si="156"/>
        <v>82023</v>
      </c>
      <c r="I964">
        <f t="shared" si="157"/>
        <v>31</v>
      </c>
      <c r="J964">
        <f t="shared" si="153"/>
        <v>2483.6091929925196</v>
      </c>
      <c r="K964">
        <f t="shared" si="154"/>
        <v>783.88157011868043</v>
      </c>
      <c r="L964">
        <f t="shared" si="155"/>
        <v>857.1141959866701</v>
      </c>
      <c r="M964" t="str">
        <f t="shared" si="158"/>
        <v>342023</v>
      </c>
      <c r="N964" t="str">
        <f t="shared" si="159"/>
        <v>34-8-2023</v>
      </c>
    </row>
    <row r="965" spans="1:14" x14ac:dyDescent="0.2">
      <c r="A965" s="1">
        <v>45160</v>
      </c>
      <c r="B965">
        <f>IFERROR(INDEX('planning dogs-n-tiger'!B$1:B$30,MATCH($H965,'planning dogs-n-tiger'!$G$1:$G$42,0)),0)</f>
        <v>76991.884982768112</v>
      </c>
      <c r="C965">
        <f>IFERROR(INDEX('planning dogs-n-tiger'!C$1:C$30,MATCH($H965,'planning dogs-n-tiger'!$G$1:$G$42,0)),0)</f>
        <v>24300.328673679094</v>
      </c>
      <c r="D965">
        <f>IFERROR(INDEX('planning dogs-n-tiger'!D$1:D$30,MATCH($H965,'planning dogs-n-tiger'!$G$1:$G$42,0)),0)</f>
        <v>26570.540075586774</v>
      </c>
      <c r="E965">
        <f t="shared" si="150"/>
        <v>34</v>
      </c>
      <c r="F965">
        <f t="shared" si="151"/>
        <v>8</v>
      </c>
      <c r="G965">
        <f t="shared" si="152"/>
        <v>2023</v>
      </c>
      <c r="H965" t="str">
        <f t="shared" si="156"/>
        <v>82023</v>
      </c>
      <c r="I965">
        <f t="shared" si="157"/>
        <v>31</v>
      </c>
      <c r="J965">
        <f t="shared" si="153"/>
        <v>2483.6091929925196</v>
      </c>
      <c r="K965">
        <f t="shared" si="154"/>
        <v>783.88157011868043</v>
      </c>
      <c r="L965">
        <f t="shared" si="155"/>
        <v>857.1141959866701</v>
      </c>
      <c r="M965" t="str">
        <f t="shared" si="158"/>
        <v>342023</v>
      </c>
      <c r="N965" t="str">
        <f t="shared" si="159"/>
        <v>34-8-2023</v>
      </c>
    </row>
    <row r="966" spans="1:14" x14ac:dyDescent="0.2">
      <c r="A966" s="1">
        <v>45161</v>
      </c>
      <c r="B966">
        <f>IFERROR(INDEX('planning dogs-n-tiger'!B$1:B$30,MATCH($H966,'planning dogs-n-tiger'!$G$1:$G$42,0)),0)</f>
        <v>76991.884982768112</v>
      </c>
      <c r="C966">
        <f>IFERROR(INDEX('planning dogs-n-tiger'!C$1:C$30,MATCH($H966,'planning dogs-n-tiger'!$G$1:$G$42,0)),0)</f>
        <v>24300.328673679094</v>
      </c>
      <c r="D966">
        <f>IFERROR(INDEX('planning dogs-n-tiger'!D$1:D$30,MATCH($H966,'planning dogs-n-tiger'!$G$1:$G$42,0)),0)</f>
        <v>26570.540075586774</v>
      </c>
      <c r="E966">
        <f t="shared" si="150"/>
        <v>34</v>
      </c>
      <c r="F966">
        <f t="shared" si="151"/>
        <v>8</v>
      </c>
      <c r="G966">
        <f t="shared" si="152"/>
        <v>2023</v>
      </c>
      <c r="H966" t="str">
        <f t="shared" si="156"/>
        <v>82023</v>
      </c>
      <c r="I966">
        <f t="shared" si="157"/>
        <v>31</v>
      </c>
      <c r="J966">
        <f t="shared" si="153"/>
        <v>2483.6091929925196</v>
      </c>
      <c r="K966">
        <f t="shared" si="154"/>
        <v>783.88157011868043</v>
      </c>
      <c r="L966">
        <f t="shared" si="155"/>
        <v>857.1141959866701</v>
      </c>
      <c r="M966" t="str">
        <f t="shared" si="158"/>
        <v>342023</v>
      </c>
      <c r="N966" t="str">
        <f t="shared" si="159"/>
        <v>34-8-2023</v>
      </c>
    </row>
    <row r="967" spans="1:14" x14ac:dyDescent="0.2">
      <c r="A967" s="1">
        <v>45162</v>
      </c>
      <c r="B967">
        <f>IFERROR(INDEX('planning dogs-n-tiger'!B$1:B$30,MATCH($H967,'planning dogs-n-tiger'!$G$1:$G$42,0)),0)</f>
        <v>76991.884982768112</v>
      </c>
      <c r="C967">
        <f>IFERROR(INDEX('planning dogs-n-tiger'!C$1:C$30,MATCH($H967,'planning dogs-n-tiger'!$G$1:$G$42,0)),0)</f>
        <v>24300.328673679094</v>
      </c>
      <c r="D967">
        <f>IFERROR(INDEX('planning dogs-n-tiger'!D$1:D$30,MATCH($H967,'planning dogs-n-tiger'!$G$1:$G$42,0)),0)</f>
        <v>26570.540075586774</v>
      </c>
      <c r="E967">
        <f t="shared" si="150"/>
        <v>34</v>
      </c>
      <c r="F967">
        <f t="shared" si="151"/>
        <v>8</v>
      </c>
      <c r="G967">
        <f t="shared" si="152"/>
        <v>2023</v>
      </c>
      <c r="H967" t="str">
        <f t="shared" si="156"/>
        <v>82023</v>
      </c>
      <c r="I967">
        <f t="shared" si="157"/>
        <v>31</v>
      </c>
      <c r="J967">
        <f t="shared" si="153"/>
        <v>2483.6091929925196</v>
      </c>
      <c r="K967">
        <f t="shared" si="154"/>
        <v>783.88157011868043</v>
      </c>
      <c r="L967">
        <f t="shared" si="155"/>
        <v>857.1141959866701</v>
      </c>
      <c r="M967" t="str">
        <f t="shared" si="158"/>
        <v>342023</v>
      </c>
      <c r="N967" t="str">
        <f t="shared" si="159"/>
        <v>34-8-2023</v>
      </c>
    </row>
    <row r="968" spans="1:14" x14ac:dyDescent="0.2">
      <c r="A968" s="1">
        <v>45163</v>
      </c>
      <c r="B968">
        <f>IFERROR(INDEX('planning dogs-n-tiger'!B$1:B$30,MATCH($H968,'planning dogs-n-tiger'!$G$1:$G$42,0)),0)</f>
        <v>76991.884982768112</v>
      </c>
      <c r="C968">
        <f>IFERROR(INDEX('planning dogs-n-tiger'!C$1:C$30,MATCH($H968,'planning dogs-n-tiger'!$G$1:$G$42,0)),0)</f>
        <v>24300.328673679094</v>
      </c>
      <c r="D968">
        <f>IFERROR(INDEX('planning dogs-n-tiger'!D$1:D$30,MATCH($H968,'planning dogs-n-tiger'!$G$1:$G$42,0)),0)</f>
        <v>26570.540075586774</v>
      </c>
      <c r="E968">
        <f t="shared" si="150"/>
        <v>34</v>
      </c>
      <c r="F968">
        <f t="shared" si="151"/>
        <v>8</v>
      </c>
      <c r="G968">
        <f t="shared" si="152"/>
        <v>2023</v>
      </c>
      <c r="H968" t="str">
        <f t="shared" si="156"/>
        <v>82023</v>
      </c>
      <c r="I968">
        <f t="shared" si="157"/>
        <v>31</v>
      </c>
      <c r="J968">
        <f t="shared" si="153"/>
        <v>2483.6091929925196</v>
      </c>
      <c r="K968">
        <f t="shared" si="154"/>
        <v>783.88157011868043</v>
      </c>
      <c r="L968">
        <f t="shared" si="155"/>
        <v>857.1141959866701</v>
      </c>
      <c r="M968" t="str">
        <f t="shared" si="158"/>
        <v>342023</v>
      </c>
      <c r="N968" t="str">
        <f t="shared" si="159"/>
        <v>34-8-2023</v>
      </c>
    </row>
    <row r="969" spans="1:14" x14ac:dyDescent="0.2">
      <c r="A969" s="1">
        <v>45164</v>
      </c>
      <c r="B969">
        <f>IFERROR(INDEX('planning dogs-n-tiger'!B$1:B$30,MATCH($H969,'planning dogs-n-tiger'!$G$1:$G$42,0)),0)</f>
        <v>76991.884982768112</v>
      </c>
      <c r="C969">
        <f>IFERROR(INDEX('planning dogs-n-tiger'!C$1:C$30,MATCH($H969,'planning dogs-n-tiger'!$G$1:$G$42,0)),0)</f>
        <v>24300.328673679094</v>
      </c>
      <c r="D969">
        <f>IFERROR(INDEX('planning dogs-n-tiger'!D$1:D$30,MATCH($H969,'planning dogs-n-tiger'!$G$1:$G$42,0)),0)</f>
        <v>26570.540075586774</v>
      </c>
      <c r="E969">
        <f t="shared" si="150"/>
        <v>34</v>
      </c>
      <c r="F969">
        <f t="shared" si="151"/>
        <v>8</v>
      </c>
      <c r="G969">
        <f t="shared" si="152"/>
        <v>2023</v>
      </c>
      <c r="H969" t="str">
        <f t="shared" si="156"/>
        <v>82023</v>
      </c>
      <c r="I969">
        <f t="shared" si="157"/>
        <v>31</v>
      </c>
      <c r="J969">
        <f t="shared" si="153"/>
        <v>2483.6091929925196</v>
      </c>
      <c r="K969">
        <f t="shared" si="154"/>
        <v>783.88157011868043</v>
      </c>
      <c r="L969">
        <f t="shared" si="155"/>
        <v>857.1141959866701</v>
      </c>
      <c r="M969" t="str">
        <f t="shared" si="158"/>
        <v>342023</v>
      </c>
      <c r="N969" t="str">
        <f t="shared" si="159"/>
        <v>34-8-2023</v>
      </c>
    </row>
    <row r="970" spans="1:14" x14ac:dyDescent="0.2">
      <c r="A970" s="1">
        <v>45165</v>
      </c>
      <c r="B970">
        <f>IFERROR(INDEX('planning dogs-n-tiger'!B$1:B$30,MATCH($H970,'planning dogs-n-tiger'!$G$1:$G$42,0)),0)</f>
        <v>76991.884982768112</v>
      </c>
      <c r="C970">
        <f>IFERROR(INDEX('planning dogs-n-tiger'!C$1:C$30,MATCH($H970,'planning dogs-n-tiger'!$G$1:$G$42,0)),0)</f>
        <v>24300.328673679094</v>
      </c>
      <c r="D970">
        <f>IFERROR(INDEX('planning dogs-n-tiger'!D$1:D$30,MATCH($H970,'planning dogs-n-tiger'!$G$1:$G$42,0)),0)</f>
        <v>26570.540075586774</v>
      </c>
      <c r="E970">
        <f t="shared" si="150"/>
        <v>34</v>
      </c>
      <c r="F970">
        <f t="shared" si="151"/>
        <v>8</v>
      </c>
      <c r="G970">
        <f t="shared" si="152"/>
        <v>2023</v>
      </c>
      <c r="H970" t="str">
        <f t="shared" si="156"/>
        <v>82023</v>
      </c>
      <c r="I970">
        <f t="shared" si="157"/>
        <v>31</v>
      </c>
      <c r="J970">
        <f t="shared" si="153"/>
        <v>2483.6091929925196</v>
      </c>
      <c r="K970">
        <f t="shared" si="154"/>
        <v>783.88157011868043</v>
      </c>
      <c r="L970">
        <f t="shared" si="155"/>
        <v>857.1141959866701</v>
      </c>
      <c r="M970" t="str">
        <f t="shared" si="158"/>
        <v>342023</v>
      </c>
      <c r="N970" t="str">
        <f t="shared" si="159"/>
        <v>34-8-2023</v>
      </c>
    </row>
    <row r="971" spans="1:14" x14ac:dyDescent="0.2">
      <c r="A971" s="1">
        <v>45166</v>
      </c>
      <c r="B971">
        <f>IFERROR(INDEX('planning dogs-n-tiger'!B$1:B$30,MATCH($H971,'planning dogs-n-tiger'!$G$1:$G$42,0)),0)</f>
        <v>76991.884982768112</v>
      </c>
      <c r="C971">
        <f>IFERROR(INDEX('planning dogs-n-tiger'!C$1:C$30,MATCH($H971,'planning dogs-n-tiger'!$G$1:$G$42,0)),0)</f>
        <v>24300.328673679094</v>
      </c>
      <c r="D971">
        <f>IFERROR(INDEX('planning dogs-n-tiger'!D$1:D$30,MATCH($H971,'planning dogs-n-tiger'!$G$1:$G$42,0)),0)</f>
        <v>26570.540075586774</v>
      </c>
      <c r="E971">
        <f t="shared" si="150"/>
        <v>35</v>
      </c>
      <c r="F971">
        <f t="shared" si="151"/>
        <v>8</v>
      </c>
      <c r="G971">
        <f t="shared" si="152"/>
        <v>2023</v>
      </c>
      <c r="H971" t="str">
        <f t="shared" si="156"/>
        <v>82023</v>
      </c>
      <c r="I971">
        <f t="shared" si="157"/>
        <v>31</v>
      </c>
      <c r="J971">
        <f t="shared" si="153"/>
        <v>2483.6091929925196</v>
      </c>
      <c r="K971">
        <f t="shared" si="154"/>
        <v>783.88157011868043</v>
      </c>
      <c r="L971">
        <f t="shared" si="155"/>
        <v>857.1141959866701</v>
      </c>
      <c r="M971" t="str">
        <f t="shared" si="158"/>
        <v>352023</v>
      </c>
      <c r="N971" t="str">
        <f t="shared" si="159"/>
        <v>35-8-2023</v>
      </c>
    </row>
    <row r="972" spans="1:14" x14ac:dyDescent="0.2">
      <c r="A972" s="1">
        <v>45167</v>
      </c>
      <c r="B972">
        <f>IFERROR(INDEX('planning dogs-n-tiger'!B$1:B$30,MATCH($H972,'planning dogs-n-tiger'!$G$1:$G$42,0)),0)</f>
        <v>76991.884982768112</v>
      </c>
      <c r="C972">
        <f>IFERROR(INDEX('planning dogs-n-tiger'!C$1:C$30,MATCH($H972,'planning dogs-n-tiger'!$G$1:$G$42,0)),0)</f>
        <v>24300.328673679094</v>
      </c>
      <c r="D972">
        <f>IFERROR(INDEX('planning dogs-n-tiger'!D$1:D$30,MATCH($H972,'planning dogs-n-tiger'!$G$1:$G$42,0)),0)</f>
        <v>26570.540075586774</v>
      </c>
      <c r="E972">
        <f t="shared" si="150"/>
        <v>35</v>
      </c>
      <c r="F972">
        <f t="shared" si="151"/>
        <v>8</v>
      </c>
      <c r="G972">
        <f t="shared" si="152"/>
        <v>2023</v>
      </c>
      <c r="H972" t="str">
        <f t="shared" si="156"/>
        <v>82023</v>
      </c>
      <c r="I972">
        <f t="shared" si="157"/>
        <v>31</v>
      </c>
      <c r="J972">
        <f t="shared" si="153"/>
        <v>2483.6091929925196</v>
      </c>
      <c r="K972">
        <f t="shared" si="154"/>
        <v>783.88157011868043</v>
      </c>
      <c r="L972">
        <f t="shared" si="155"/>
        <v>857.1141959866701</v>
      </c>
      <c r="M972" t="str">
        <f t="shared" si="158"/>
        <v>352023</v>
      </c>
      <c r="N972" t="str">
        <f t="shared" si="159"/>
        <v>35-8-2023</v>
      </c>
    </row>
    <row r="973" spans="1:14" x14ac:dyDescent="0.2">
      <c r="A973" s="1">
        <v>45168</v>
      </c>
      <c r="B973">
        <f>IFERROR(INDEX('planning dogs-n-tiger'!B$1:B$30,MATCH($H973,'planning dogs-n-tiger'!$G$1:$G$42,0)),0)</f>
        <v>76991.884982768112</v>
      </c>
      <c r="C973">
        <f>IFERROR(INDEX('planning dogs-n-tiger'!C$1:C$30,MATCH($H973,'planning dogs-n-tiger'!$G$1:$G$42,0)),0)</f>
        <v>24300.328673679094</v>
      </c>
      <c r="D973">
        <f>IFERROR(INDEX('planning dogs-n-tiger'!D$1:D$30,MATCH($H973,'planning dogs-n-tiger'!$G$1:$G$42,0)),0)</f>
        <v>26570.540075586774</v>
      </c>
      <c r="E973">
        <f t="shared" si="150"/>
        <v>35</v>
      </c>
      <c r="F973">
        <f t="shared" si="151"/>
        <v>8</v>
      </c>
      <c r="G973">
        <f t="shared" si="152"/>
        <v>2023</v>
      </c>
      <c r="H973" t="str">
        <f t="shared" si="156"/>
        <v>82023</v>
      </c>
      <c r="I973">
        <f t="shared" si="157"/>
        <v>31</v>
      </c>
      <c r="J973">
        <f t="shared" si="153"/>
        <v>2483.6091929925196</v>
      </c>
      <c r="K973">
        <f t="shared" si="154"/>
        <v>783.88157011868043</v>
      </c>
      <c r="L973">
        <f t="shared" si="155"/>
        <v>857.1141959866701</v>
      </c>
      <c r="M973" t="str">
        <f t="shared" si="158"/>
        <v>352023</v>
      </c>
      <c r="N973" t="str">
        <f t="shared" si="159"/>
        <v>35-8-2023</v>
      </c>
    </row>
    <row r="974" spans="1:14" x14ac:dyDescent="0.2">
      <c r="A974" s="1">
        <v>45169</v>
      </c>
      <c r="B974">
        <f>IFERROR(INDEX('planning dogs-n-tiger'!B$1:B$30,MATCH($H974,'planning dogs-n-tiger'!$G$1:$G$42,0)),0)</f>
        <v>76991.884982768112</v>
      </c>
      <c r="C974">
        <f>IFERROR(INDEX('planning dogs-n-tiger'!C$1:C$30,MATCH($H974,'planning dogs-n-tiger'!$G$1:$G$42,0)),0)</f>
        <v>24300.328673679094</v>
      </c>
      <c r="D974">
        <f>IFERROR(INDEX('planning dogs-n-tiger'!D$1:D$30,MATCH($H974,'planning dogs-n-tiger'!$G$1:$G$42,0)),0)</f>
        <v>26570.540075586774</v>
      </c>
      <c r="E974">
        <f t="shared" si="150"/>
        <v>35</v>
      </c>
      <c r="F974">
        <f t="shared" si="151"/>
        <v>8</v>
      </c>
      <c r="G974">
        <f t="shared" si="152"/>
        <v>2023</v>
      </c>
      <c r="H974" t="str">
        <f t="shared" si="156"/>
        <v>82023</v>
      </c>
      <c r="I974">
        <f t="shared" si="157"/>
        <v>31</v>
      </c>
      <c r="J974">
        <f t="shared" si="153"/>
        <v>2483.6091929925196</v>
      </c>
      <c r="K974">
        <f t="shared" si="154"/>
        <v>783.88157011868043</v>
      </c>
      <c r="L974">
        <f t="shared" si="155"/>
        <v>857.1141959866701</v>
      </c>
      <c r="M974" t="str">
        <f t="shared" si="158"/>
        <v>352023</v>
      </c>
      <c r="N974" t="str">
        <f t="shared" si="159"/>
        <v>35-8-2023</v>
      </c>
    </row>
    <row r="975" spans="1:14" x14ac:dyDescent="0.2">
      <c r="A975" s="1">
        <v>45170</v>
      </c>
      <c r="B975">
        <f>IFERROR(INDEX('planning dogs-n-tiger'!B$1:B$30,MATCH($H975,'planning dogs-n-tiger'!$G$1:$G$42,0)),0)</f>
        <v>71272.577009805333</v>
      </c>
      <c r="C975">
        <f>IFERROR(INDEX('planning dogs-n-tiger'!C$1:C$30,MATCH($H975,'planning dogs-n-tiger'!$G$1:$G$42,0)),0)</f>
        <v>28486.720979707981</v>
      </c>
      <c r="D975">
        <f>IFERROR(INDEX('planning dogs-n-tiger'!D$1:D$30,MATCH($H975,'planning dogs-n-tiger'!$G$1:$G$42,0)),0)</f>
        <v>26073.818573355551</v>
      </c>
      <c r="E975">
        <f t="shared" si="150"/>
        <v>35</v>
      </c>
      <c r="F975">
        <f t="shared" si="151"/>
        <v>9</v>
      </c>
      <c r="G975">
        <f t="shared" si="152"/>
        <v>2023</v>
      </c>
      <c r="H975" t="str">
        <f t="shared" si="156"/>
        <v>92023</v>
      </c>
      <c r="I975">
        <f t="shared" si="157"/>
        <v>30</v>
      </c>
      <c r="J975">
        <f t="shared" si="153"/>
        <v>2375.7525669935112</v>
      </c>
      <c r="K975">
        <f t="shared" si="154"/>
        <v>949.55736599026602</v>
      </c>
      <c r="L975">
        <f t="shared" si="155"/>
        <v>869.1272857785184</v>
      </c>
      <c r="M975" t="str">
        <f t="shared" si="158"/>
        <v>352023</v>
      </c>
      <c r="N975" t="str">
        <f t="shared" si="159"/>
        <v>35-9-2023</v>
      </c>
    </row>
    <row r="976" spans="1:14" x14ac:dyDescent="0.2">
      <c r="A976" s="1">
        <v>45171</v>
      </c>
      <c r="B976">
        <f>IFERROR(INDEX('planning dogs-n-tiger'!B$1:B$30,MATCH($H976,'planning dogs-n-tiger'!$G$1:$G$42,0)),0)</f>
        <v>71272.577009805333</v>
      </c>
      <c r="C976">
        <f>IFERROR(INDEX('planning dogs-n-tiger'!C$1:C$30,MATCH($H976,'planning dogs-n-tiger'!$G$1:$G$42,0)),0)</f>
        <v>28486.720979707981</v>
      </c>
      <c r="D976">
        <f>IFERROR(INDEX('planning dogs-n-tiger'!D$1:D$30,MATCH($H976,'planning dogs-n-tiger'!$G$1:$G$42,0)),0)</f>
        <v>26073.818573355551</v>
      </c>
      <c r="E976">
        <f t="shared" si="150"/>
        <v>35</v>
      </c>
      <c r="F976">
        <f t="shared" si="151"/>
        <v>9</v>
      </c>
      <c r="G976">
        <f t="shared" si="152"/>
        <v>2023</v>
      </c>
      <c r="H976" t="str">
        <f t="shared" si="156"/>
        <v>92023</v>
      </c>
      <c r="I976">
        <f t="shared" si="157"/>
        <v>30</v>
      </c>
      <c r="J976">
        <f t="shared" si="153"/>
        <v>2375.7525669935112</v>
      </c>
      <c r="K976">
        <f t="shared" si="154"/>
        <v>949.55736599026602</v>
      </c>
      <c r="L976">
        <f t="shared" si="155"/>
        <v>869.1272857785184</v>
      </c>
      <c r="M976" t="str">
        <f t="shared" si="158"/>
        <v>352023</v>
      </c>
      <c r="N976" t="str">
        <f t="shared" si="159"/>
        <v>35-9-2023</v>
      </c>
    </row>
    <row r="977" spans="1:14" x14ac:dyDescent="0.2">
      <c r="A977" s="1">
        <v>45172</v>
      </c>
      <c r="B977">
        <f>IFERROR(INDEX('planning dogs-n-tiger'!B$1:B$30,MATCH($H977,'planning dogs-n-tiger'!$G$1:$G$42,0)),0)</f>
        <v>71272.577009805333</v>
      </c>
      <c r="C977">
        <f>IFERROR(INDEX('planning dogs-n-tiger'!C$1:C$30,MATCH($H977,'planning dogs-n-tiger'!$G$1:$G$42,0)),0)</f>
        <v>28486.720979707981</v>
      </c>
      <c r="D977">
        <f>IFERROR(INDEX('planning dogs-n-tiger'!D$1:D$30,MATCH($H977,'planning dogs-n-tiger'!$G$1:$G$42,0)),0)</f>
        <v>26073.818573355551</v>
      </c>
      <c r="E977">
        <f t="shared" si="150"/>
        <v>35</v>
      </c>
      <c r="F977">
        <f t="shared" si="151"/>
        <v>9</v>
      </c>
      <c r="G977">
        <f t="shared" si="152"/>
        <v>2023</v>
      </c>
      <c r="H977" t="str">
        <f t="shared" si="156"/>
        <v>92023</v>
      </c>
      <c r="I977">
        <f t="shared" si="157"/>
        <v>30</v>
      </c>
      <c r="J977">
        <f t="shared" si="153"/>
        <v>2375.7525669935112</v>
      </c>
      <c r="K977">
        <f t="shared" si="154"/>
        <v>949.55736599026602</v>
      </c>
      <c r="L977">
        <f t="shared" si="155"/>
        <v>869.1272857785184</v>
      </c>
      <c r="M977" t="str">
        <f t="shared" si="158"/>
        <v>352023</v>
      </c>
      <c r="N977" t="str">
        <f t="shared" si="159"/>
        <v>35-9-2023</v>
      </c>
    </row>
    <row r="978" spans="1:14" x14ac:dyDescent="0.2">
      <c r="A978" s="1">
        <v>45173</v>
      </c>
      <c r="B978">
        <f>IFERROR(INDEX('planning dogs-n-tiger'!B$1:B$30,MATCH($H978,'planning dogs-n-tiger'!$G$1:$G$42,0)),0)</f>
        <v>71272.577009805333</v>
      </c>
      <c r="C978">
        <f>IFERROR(INDEX('planning dogs-n-tiger'!C$1:C$30,MATCH($H978,'planning dogs-n-tiger'!$G$1:$G$42,0)),0)</f>
        <v>28486.720979707981</v>
      </c>
      <c r="D978">
        <f>IFERROR(INDEX('planning dogs-n-tiger'!D$1:D$30,MATCH($H978,'planning dogs-n-tiger'!$G$1:$G$42,0)),0)</f>
        <v>26073.818573355551</v>
      </c>
      <c r="E978">
        <f t="shared" si="150"/>
        <v>36</v>
      </c>
      <c r="F978">
        <f t="shared" si="151"/>
        <v>9</v>
      </c>
      <c r="G978">
        <f t="shared" si="152"/>
        <v>2023</v>
      </c>
      <c r="H978" t="str">
        <f t="shared" si="156"/>
        <v>92023</v>
      </c>
      <c r="I978">
        <f t="shared" si="157"/>
        <v>30</v>
      </c>
      <c r="J978">
        <f t="shared" si="153"/>
        <v>2375.7525669935112</v>
      </c>
      <c r="K978">
        <f t="shared" si="154"/>
        <v>949.55736599026602</v>
      </c>
      <c r="L978">
        <f t="shared" si="155"/>
        <v>869.1272857785184</v>
      </c>
      <c r="M978" t="str">
        <f t="shared" si="158"/>
        <v>362023</v>
      </c>
      <c r="N978" t="str">
        <f t="shared" si="159"/>
        <v>36-9-2023</v>
      </c>
    </row>
    <row r="979" spans="1:14" x14ac:dyDescent="0.2">
      <c r="A979" s="1">
        <v>45174</v>
      </c>
      <c r="B979">
        <f>IFERROR(INDEX('planning dogs-n-tiger'!B$1:B$30,MATCH($H979,'planning dogs-n-tiger'!$G$1:$G$42,0)),0)</f>
        <v>71272.577009805333</v>
      </c>
      <c r="C979">
        <f>IFERROR(INDEX('planning dogs-n-tiger'!C$1:C$30,MATCH($H979,'planning dogs-n-tiger'!$G$1:$G$42,0)),0)</f>
        <v>28486.720979707981</v>
      </c>
      <c r="D979">
        <f>IFERROR(INDEX('planning dogs-n-tiger'!D$1:D$30,MATCH($H979,'planning dogs-n-tiger'!$G$1:$G$42,0)),0)</f>
        <v>26073.818573355551</v>
      </c>
      <c r="E979">
        <f t="shared" si="150"/>
        <v>36</v>
      </c>
      <c r="F979">
        <f t="shared" si="151"/>
        <v>9</v>
      </c>
      <c r="G979">
        <f t="shared" si="152"/>
        <v>2023</v>
      </c>
      <c r="H979" t="str">
        <f t="shared" si="156"/>
        <v>92023</v>
      </c>
      <c r="I979">
        <f t="shared" si="157"/>
        <v>30</v>
      </c>
      <c r="J979">
        <f t="shared" si="153"/>
        <v>2375.7525669935112</v>
      </c>
      <c r="K979">
        <f t="shared" si="154"/>
        <v>949.55736599026602</v>
      </c>
      <c r="L979">
        <f t="shared" si="155"/>
        <v>869.1272857785184</v>
      </c>
      <c r="M979" t="str">
        <f t="shared" si="158"/>
        <v>362023</v>
      </c>
      <c r="N979" t="str">
        <f t="shared" si="159"/>
        <v>36-9-2023</v>
      </c>
    </row>
    <row r="980" spans="1:14" x14ac:dyDescent="0.2">
      <c r="A980" s="1">
        <v>45175</v>
      </c>
      <c r="B980">
        <f>IFERROR(INDEX('planning dogs-n-tiger'!B$1:B$30,MATCH($H980,'planning dogs-n-tiger'!$G$1:$G$42,0)),0)</f>
        <v>71272.577009805333</v>
      </c>
      <c r="C980">
        <f>IFERROR(INDEX('planning dogs-n-tiger'!C$1:C$30,MATCH($H980,'planning dogs-n-tiger'!$G$1:$G$42,0)),0)</f>
        <v>28486.720979707981</v>
      </c>
      <c r="D980">
        <f>IFERROR(INDEX('planning dogs-n-tiger'!D$1:D$30,MATCH($H980,'planning dogs-n-tiger'!$G$1:$G$42,0)),0)</f>
        <v>26073.818573355551</v>
      </c>
      <c r="E980">
        <f t="shared" si="150"/>
        <v>36</v>
      </c>
      <c r="F980">
        <f t="shared" si="151"/>
        <v>9</v>
      </c>
      <c r="G980">
        <f t="shared" si="152"/>
        <v>2023</v>
      </c>
      <c r="H980" t="str">
        <f t="shared" si="156"/>
        <v>92023</v>
      </c>
      <c r="I980">
        <f t="shared" si="157"/>
        <v>30</v>
      </c>
      <c r="J980">
        <f t="shared" si="153"/>
        <v>2375.7525669935112</v>
      </c>
      <c r="K980">
        <f t="shared" si="154"/>
        <v>949.55736599026602</v>
      </c>
      <c r="L980">
        <f t="shared" si="155"/>
        <v>869.1272857785184</v>
      </c>
      <c r="M980" t="str">
        <f t="shared" si="158"/>
        <v>362023</v>
      </c>
      <c r="N980" t="str">
        <f t="shared" si="159"/>
        <v>36-9-2023</v>
      </c>
    </row>
    <row r="981" spans="1:14" x14ac:dyDescent="0.2">
      <c r="A981" s="1">
        <v>45176</v>
      </c>
      <c r="B981">
        <f>IFERROR(INDEX('planning dogs-n-tiger'!B$1:B$30,MATCH($H981,'planning dogs-n-tiger'!$G$1:$G$42,0)),0)</f>
        <v>71272.577009805333</v>
      </c>
      <c r="C981">
        <f>IFERROR(INDEX('planning dogs-n-tiger'!C$1:C$30,MATCH($H981,'planning dogs-n-tiger'!$G$1:$G$42,0)),0)</f>
        <v>28486.720979707981</v>
      </c>
      <c r="D981">
        <f>IFERROR(INDEX('planning dogs-n-tiger'!D$1:D$30,MATCH($H981,'planning dogs-n-tiger'!$G$1:$G$42,0)),0)</f>
        <v>26073.818573355551</v>
      </c>
      <c r="E981">
        <f t="shared" si="150"/>
        <v>36</v>
      </c>
      <c r="F981">
        <f t="shared" si="151"/>
        <v>9</v>
      </c>
      <c r="G981">
        <f t="shared" si="152"/>
        <v>2023</v>
      </c>
      <c r="H981" t="str">
        <f t="shared" si="156"/>
        <v>92023</v>
      </c>
      <c r="I981">
        <f t="shared" si="157"/>
        <v>30</v>
      </c>
      <c r="J981">
        <f t="shared" si="153"/>
        <v>2375.7525669935112</v>
      </c>
      <c r="K981">
        <f t="shared" si="154"/>
        <v>949.55736599026602</v>
      </c>
      <c r="L981">
        <f t="shared" si="155"/>
        <v>869.1272857785184</v>
      </c>
      <c r="M981" t="str">
        <f t="shared" si="158"/>
        <v>362023</v>
      </c>
      <c r="N981" t="str">
        <f t="shared" si="159"/>
        <v>36-9-2023</v>
      </c>
    </row>
    <row r="982" spans="1:14" x14ac:dyDescent="0.2">
      <c r="A982" s="1">
        <v>45177</v>
      </c>
      <c r="B982">
        <f>IFERROR(INDEX('planning dogs-n-tiger'!B$1:B$30,MATCH($H982,'planning dogs-n-tiger'!$G$1:$G$42,0)),0)</f>
        <v>71272.577009805333</v>
      </c>
      <c r="C982">
        <f>IFERROR(INDEX('planning dogs-n-tiger'!C$1:C$30,MATCH($H982,'planning dogs-n-tiger'!$G$1:$G$42,0)),0)</f>
        <v>28486.720979707981</v>
      </c>
      <c r="D982">
        <f>IFERROR(INDEX('planning dogs-n-tiger'!D$1:D$30,MATCH($H982,'planning dogs-n-tiger'!$G$1:$G$42,0)),0)</f>
        <v>26073.818573355551</v>
      </c>
      <c r="E982">
        <f t="shared" si="150"/>
        <v>36</v>
      </c>
      <c r="F982">
        <f t="shared" si="151"/>
        <v>9</v>
      </c>
      <c r="G982">
        <f t="shared" si="152"/>
        <v>2023</v>
      </c>
      <c r="H982" t="str">
        <f t="shared" si="156"/>
        <v>92023</v>
      </c>
      <c r="I982">
        <f t="shared" si="157"/>
        <v>30</v>
      </c>
      <c r="J982">
        <f t="shared" si="153"/>
        <v>2375.7525669935112</v>
      </c>
      <c r="K982">
        <f t="shared" si="154"/>
        <v>949.55736599026602</v>
      </c>
      <c r="L982">
        <f t="shared" si="155"/>
        <v>869.1272857785184</v>
      </c>
      <c r="M982" t="str">
        <f t="shared" si="158"/>
        <v>362023</v>
      </c>
      <c r="N982" t="str">
        <f t="shared" si="159"/>
        <v>36-9-2023</v>
      </c>
    </row>
    <row r="983" spans="1:14" x14ac:dyDescent="0.2">
      <c r="A983" s="1">
        <v>45178</v>
      </c>
      <c r="B983">
        <f>IFERROR(INDEX('planning dogs-n-tiger'!B$1:B$30,MATCH($H983,'planning dogs-n-tiger'!$G$1:$G$42,0)),0)</f>
        <v>71272.577009805333</v>
      </c>
      <c r="C983">
        <f>IFERROR(INDEX('planning dogs-n-tiger'!C$1:C$30,MATCH($H983,'planning dogs-n-tiger'!$G$1:$G$42,0)),0)</f>
        <v>28486.720979707981</v>
      </c>
      <c r="D983">
        <f>IFERROR(INDEX('planning dogs-n-tiger'!D$1:D$30,MATCH($H983,'planning dogs-n-tiger'!$G$1:$G$42,0)),0)</f>
        <v>26073.818573355551</v>
      </c>
      <c r="E983">
        <f t="shared" si="150"/>
        <v>36</v>
      </c>
      <c r="F983">
        <f t="shared" si="151"/>
        <v>9</v>
      </c>
      <c r="G983">
        <f t="shared" si="152"/>
        <v>2023</v>
      </c>
      <c r="H983" t="str">
        <f t="shared" si="156"/>
        <v>92023</v>
      </c>
      <c r="I983">
        <f t="shared" si="157"/>
        <v>30</v>
      </c>
      <c r="J983">
        <f t="shared" si="153"/>
        <v>2375.7525669935112</v>
      </c>
      <c r="K983">
        <f t="shared" si="154"/>
        <v>949.55736599026602</v>
      </c>
      <c r="L983">
        <f t="shared" si="155"/>
        <v>869.1272857785184</v>
      </c>
      <c r="M983" t="str">
        <f t="shared" si="158"/>
        <v>362023</v>
      </c>
      <c r="N983" t="str">
        <f t="shared" si="159"/>
        <v>36-9-2023</v>
      </c>
    </row>
    <row r="984" spans="1:14" x14ac:dyDescent="0.2">
      <c r="A984" s="1">
        <v>45179</v>
      </c>
      <c r="B984">
        <f>IFERROR(INDEX('planning dogs-n-tiger'!B$1:B$30,MATCH($H984,'planning dogs-n-tiger'!$G$1:$G$42,0)),0)</f>
        <v>71272.577009805333</v>
      </c>
      <c r="C984">
        <f>IFERROR(INDEX('planning dogs-n-tiger'!C$1:C$30,MATCH($H984,'planning dogs-n-tiger'!$G$1:$G$42,0)),0)</f>
        <v>28486.720979707981</v>
      </c>
      <c r="D984">
        <f>IFERROR(INDEX('planning dogs-n-tiger'!D$1:D$30,MATCH($H984,'planning dogs-n-tiger'!$G$1:$G$42,0)),0)</f>
        <v>26073.818573355551</v>
      </c>
      <c r="E984">
        <f t="shared" si="150"/>
        <v>36</v>
      </c>
      <c r="F984">
        <f t="shared" si="151"/>
        <v>9</v>
      </c>
      <c r="G984">
        <f t="shared" si="152"/>
        <v>2023</v>
      </c>
      <c r="H984" t="str">
        <f t="shared" si="156"/>
        <v>92023</v>
      </c>
      <c r="I984">
        <f t="shared" si="157"/>
        <v>30</v>
      </c>
      <c r="J984">
        <f t="shared" si="153"/>
        <v>2375.7525669935112</v>
      </c>
      <c r="K984">
        <f t="shared" si="154"/>
        <v>949.55736599026602</v>
      </c>
      <c r="L984">
        <f t="shared" si="155"/>
        <v>869.1272857785184</v>
      </c>
      <c r="M984" t="str">
        <f t="shared" si="158"/>
        <v>362023</v>
      </c>
      <c r="N984" t="str">
        <f t="shared" si="159"/>
        <v>36-9-2023</v>
      </c>
    </row>
    <row r="985" spans="1:14" x14ac:dyDescent="0.2">
      <c r="A985" s="1">
        <v>45180</v>
      </c>
      <c r="B985">
        <f>IFERROR(INDEX('planning dogs-n-tiger'!B$1:B$30,MATCH($H985,'planning dogs-n-tiger'!$G$1:$G$42,0)),0)</f>
        <v>71272.577009805333</v>
      </c>
      <c r="C985">
        <f>IFERROR(INDEX('planning dogs-n-tiger'!C$1:C$30,MATCH($H985,'planning dogs-n-tiger'!$G$1:$G$42,0)),0)</f>
        <v>28486.720979707981</v>
      </c>
      <c r="D985">
        <f>IFERROR(INDEX('planning dogs-n-tiger'!D$1:D$30,MATCH($H985,'planning dogs-n-tiger'!$G$1:$G$42,0)),0)</f>
        <v>26073.818573355551</v>
      </c>
      <c r="E985">
        <f t="shared" si="150"/>
        <v>37</v>
      </c>
      <c r="F985">
        <f t="shared" si="151"/>
        <v>9</v>
      </c>
      <c r="G985">
        <f t="shared" si="152"/>
        <v>2023</v>
      </c>
      <c r="H985" t="str">
        <f t="shared" si="156"/>
        <v>92023</v>
      </c>
      <c r="I985">
        <f t="shared" si="157"/>
        <v>30</v>
      </c>
      <c r="J985">
        <f t="shared" si="153"/>
        <v>2375.7525669935112</v>
      </c>
      <c r="K985">
        <f t="shared" si="154"/>
        <v>949.55736599026602</v>
      </c>
      <c r="L985">
        <f t="shared" si="155"/>
        <v>869.1272857785184</v>
      </c>
      <c r="M985" t="str">
        <f t="shared" si="158"/>
        <v>372023</v>
      </c>
      <c r="N985" t="str">
        <f t="shared" si="159"/>
        <v>37-9-2023</v>
      </c>
    </row>
    <row r="986" spans="1:14" x14ac:dyDescent="0.2">
      <c r="A986" s="1">
        <v>45181</v>
      </c>
      <c r="B986">
        <f>IFERROR(INDEX('planning dogs-n-tiger'!B$1:B$30,MATCH($H986,'planning dogs-n-tiger'!$G$1:$G$42,0)),0)</f>
        <v>71272.577009805333</v>
      </c>
      <c r="C986">
        <f>IFERROR(INDEX('planning dogs-n-tiger'!C$1:C$30,MATCH($H986,'planning dogs-n-tiger'!$G$1:$G$42,0)),0)</f>
        <v>28486.720979707981</v>
      </c>
      <c r="D986">
        <f>IFERROR(INDEX('planning dogs-n-tiger'!D$1:D$30,MATCH($H986,'planning dogs-n-tiger'!$G$1:$G$42,0)),0)</f>
        <v>26073.818573355551</v>
      </c>
      <c r="E986">
        <f t="shared" si="150"/>
        <v>37</v>
      </c>
      <c r="F986">
        <f t="shared" si="151"/>
        <v>9</v>
      </c>
      <c r="G986">
        <f t="shared" si="152"/>
        <v>2023</v>
      </c>
      <c r="H986" t="str">
        <f t="shared" si="156"/>
        <v>92023</v>
      </c>
      <c r="I986">
        <f t="shared" si="157"/>
        <v>30</v>
      </c>
      <c r="J986">
        <f t="shared" si="153"/>
        <v>2375.7525669935112</v>
      </c>
      <c r="K986">
        <f t="shared" si="154"/>
        <v>949.55736599026602</v>
      </c>
      <c r="L986">
        <f t="shared" si="155"/>
        <v>869.1272857785184</v>
      </c>
      <c r="M986" t="str">
        <f t="shared" si="158"/>
        <v>372023</v>
      </c>
      <c r="N986" t="str">
        <f t="shared" si="159"/>
        <v>37-9-2023</v>
      </c>
    </row>
    <row r="987" spans="1:14" x14ac:dyDescent="0.2">
      <c r="A987" s="1">
        <v>45182</v>
      </c>
      <c r="B987">
        <f>IFERROR(INDEX('planning dogs-n-tiger'!B$1:B$30,MATCH($H987,'planning dogs-n-tiger'!$G$1:$G$42,0)),0)</f>
        <v>71272.577009805333</v>
      </c>
      <c r="C987">
        <f>IFERROR(INDEX('planning dogs-n-tiger'!C$1:C$30,MATCH($H987,'planning dogs-n-tiger'!$G$1:$G$42,0)),0)</f>
        <v>28486.720979707981</v>
      </c>
      <c r="D987">
        <f>IFERROR(INDEX('planning dogs-n-tiger'!D$1:D$30,MATCH($H987,'planning dogs-n-tiger'!$G$1:$G$42,0)),0)</f>
        <v>26073.818573355551</v>
      </c>
      <c r="E987">
        <f t="shared" si="150"/>
        <v>37</v>
      </c>
      <c r="F987">
        <f t="shared" si="151"/>
        <v>9</v>
      </c>
      <c r="G987">
        <f t="shared" si="152"/>
        <v>2023</v>
      </c>
      <c r="H987" t="str">
        <f t="shared" si="156"/>
        <v>92023</v>
      </c>
      <c r="I987">
        <f t="shared" si="157"/>
        <v>30</v>
      </c>
      <c r="J987">
        <f t="shared" si="153"/>
        <v>2375.7525669935112</v>
      </c>
      <c r="K987">
        <f t="shared" si="154"/>
        <v>949.55736599026602</v>
      </c>
      <c r="L987">
        <f t="shared" si="155"/>
        <v>869.1272857785184</v>
      </c>
      <c r="M987" t="str">
        <f t="shared" si="158"/>
        <v>372023</v>
      </c>
      <c r="N987" t="str">
        <f t="shared" si="159"/>
        <v>37-9-2023</v>
      </c>
    </row>
    <row r="988" spans="1:14" x14ac:dyDescent="0.2">
      <c r="A988" s="1">
        <v>45183</v>
      </c>
      <c r="B988">
        <f>IFERROR(INDEX('planning dogs-n-tiger'!B$1:B$30,MATCH($H988,'planning dogs-n-tiger'!$G$1:$G$42,0)),0)</f>
        <v>71272.577009805333</v>
      </c>
      <c r="C988">
        <f>IFERROR(INDEX('planning dogs-n-tiger'!C$1:C$30,MATCH($H988,'planning dogs-n-tiger'!$G$1:$G$42,0)),0)</f>
        <v>28486.720979707981</v>
      </c>
      <c r="D988">
        <f>IFERROR(INDEX('planning dogs-n-tiger'!D$1:D$30,MATCH($H988,'planning dogs-n-tiger'!$G$1:$G$42,0)),0)</f>
        <v>26073.818573355551</v>
      </c>
      <c r="E988">
        <f t="shared" si="150"/>
        <v>37</v>
      </c>
      <c r="F988">
        <f t="shared" si="151"/>
        <v>9</v>
      </c>
      <c r="G988">
        <f t="shared" si="152"/>
        <v>2023</v>
      </c>
      <c r="H988" t="str">
        <f t="shared" si="156"/>
        <v>92023</v>
      </c>
      <c r="I988">
        <f t="shared" si="157"/>
        <v>30</v>
      </c>
      <c r="J988">
        <f t="shared" si="153"/>
        <v>2375.7525669935112</v>
      </c>
      <c r="K988">
        <f t="shared" si="154"/>
        <v>949.55736599026602</v>
      </c>
      <c r="L988">
        <f t="shared" si="155"/>
        <v>869.1272857785184</v>
      </c>
      <c r="M988" t="str">
        <f t="shared" si="158"/>
        <v>372023</v>
      </c>
      <c r="N988" t="str">
        <f t="shared" si="159"/>
        <v>37-9-2023</v>
      </c>
    </row>
    <row r="989" spans="1:14" x14ac:dyDescent="0.2">
      <c r="A989" s="1">
        <v>45184</v>
      </c>
      <c r="B989">
        <f>IFERROR(INDEX('planning dogs-n-tiger'!B$1:B$30,MATCH($H989,'planning dogs-n-tiger'!$G$1:$G$42,0)),0)</f>
        <v>71272.577009805333</v>
      </c>
      <c r="C989">
        <f>IFERROR(INDEX('planning dogs-n-tiger'!C$1:C$30,MATCH($H989,'planning dogs-n-tiger'!$G$1:$G$42,0)),0)</f>
        <v>28486.720979707981</v>
      </c>
      <c r="D989">
        <f>IFERROR(INDEX('planning dogs-n-tiger'!D$1:D$30,MATCH($H989,'planning dogs-n-tiger'!$G$1:$G$42,0)),0)</f>
        <v>26073.818573355551</v>
      </c>
      <c r="E989">
        <f t="shared" si="150"/>
        <v>37</v>
      </c>
      <c r="F989">
        <f t="shared" si="151"/>
        <v>9</v>
      </c>
      <c r="G989">
        <f t="shared" si="152"/>
        <v>2023</v>
      </c>
      <c r="H989" t="str">
        <f t="shared" si="156"/>
        <v>92023</v>
      </c>
      <c r="I989">
        <f t="shared" si="157"/>
        <v>30</v>
      </c>
      <c r="J989">
        <f t="shared" si="153"/>
        <v>2375.7525669935112</v>
      </c>
      <c r="K989">
        <f t="shared" si="154"/>
        <v>949.55736599026602</v>
      </c>
      <c r="L989">
        <f t="shared" si="155"/>
        <v>869.1272857785184</v>
      </c>
      <c r="M989" t="str">
        <f t="shared" si="158"/>
        <v>372023</v>
      </c>
      <c r="N989" t="str">
        <f t="shared" si="159"/>
        <v>37-9-2023</v>
      </c>
    </row>
    <row r="990" spans="1:14" x14ac:dyDescent="0.2">
      <c r="A990" s="1">
        <v>45185</v>
      </c>
      <c r="B990">
        <f>IFERROR(INDEX('planning dogs-n-tiger'!B$1:B$30,MATCH($H990,'planning dogs-n-tiger'!$G$1:$G$42,0)),0)</f>
        <v>71272.577009805333</v>
      </c>
      <c r="C990">
        <f>IFERROR(INDEX('planning dogs-n-tiger'!C$1:C$30,MATCH($H990,'planning dogs-n-tiger'!$G$1:$G$42,0)),0)</f>
        <v>28486.720979707981</v>
      </c>
      <c r="D990">
        <f>IFERROR(INDEX('planning dogs-n-tiger'!D$1:D$30,MATCH($H990,'planning dogs-n-tiger'!$G$1:$G$42,0)),0)</f>
        <v>26073.818573355551</v>
      </c>
      <c r="E990">
        <f t="shared" si="150"/>
        <v>37</v>
      </c>
      <c r="F990">
        <f t="shared" si="151"/>
        <v>9</v>
      </c>
      <c r="G990">
        <f t="shared" si="152"/>
        <v>2023</v>
      </c>
      <c r="H990" t="str">
        <f t="shared" si="156"/>
        <v>92023</v>
      </c>
      <c r="I990">
        <f t="shared" si="157"/>
        <v>30</v>
      </c>
      <c r="J990">
        <f t="shared" si="153"/>
        <v>2375.7525669935112</v>
      </c>
      <c r="K990">
        <f t="shared" si="154"/>
        <v>949.55736599026602</v>
      </c>
      <c r="L990">
        <f t="shared" si="155"/>
        <v>869.1272857785184</v>
      </c>
      <c r="M990" t="str">
        <f t="shared" si="158"/>
        <v>372023</v>
      </c>
      <c r="N990" t="str">
        <f t="shared" si="159"/>
        <v>37-9-2023</v>
      </c>
    </row>
    <row r="991" spans="1:14" x14ac:dyDescent="0.2">
      <c r="A991" s="1">
        <v>45186</v>
      </c>
      <c r="B991">
        <f>IFERROR(INDEX('planning dogs-n-tiger'!B$1:B$30,MATCH($H991,'planning dogs-n-tiger'!$G$1:$G$42,0)),0)</f>
        <v>71272.577009805333</v>
      </c>
      <c r="C991">
        <f>IFERROR(INDEX('planning dogs-n-tiger'!C$1:C$30,MATCH($H991,'planning dogs-n-tiger'!$G$1:$G$42,0)),0)</f>
        <v>28486.720979707981</v>
      </c>
      <c r="D991">
        <f>IFERROR(INDEX('planning dogs-n-tiger'!D$1:D$30,MATCH($H991,'planning dogs-n-tiger'!$G$1:$G$42,0)),0)</f>
        <v>26073.818573355551</v>
      </c>
      <c r="E991">
        <f t="shared" si="150"/>
        <v>37</v>
      </c>
      <c r="F991">
        <f t="shared" si="151"/>
        <v>9</v>
      </c>
      <c r="G991">
        <f t="shared" si="152"/>
        <v>2023</v>
      </c>
      <c r="H991" t="str">
        <f t="shared" si="156"/>
        <v>92023</v>
      </c>
      <c r="I991">
        <f t="shared" si="157"/>
        <v>30</v>
      </c>
      <c r="J991">
        <f t="shared" si="153"/>
        <v>2375.7525669935112</v>
      </c>
      <c r="K991">
        <f t="shared" si="154"/>
        <v>949.55736599026602</v>
      </c>
      <c r="L991">
        <f t="shared" si="155"/>
        <v>869.1272857785184</v>
      </c>
      <c r="M991" t="str">
        <f t="shared" si="158"/>
        <v>372023</v>
      </c>
      <c r="N991" t="str">
        <f t="shared" si="159"/>
        <v>37-9-2023</v>
      </c>
    </row>
    <row r="992" spans="1:14" x14ac:dyDescent="0.2">
      <c r="A992" s="1">
        <v>45187</v>
      </c>
      <c r="B992">
        <f>IFERROR(INDEX('planning dogs-n-tiger'!B$1:B$30,MATCH($H992,'planning dogs-n-tiger'!$G$1:$G$42,0)),0)</f>
        <v>71272.577009805333</v>
      </c>
      <c r="C992">
        <f>IFERROR(INDEX('planning dogs-n-tiger'!C$1:C$30,MATCH($H992,'planning dogs-n-tiger'!$G$1:$G$42,0)),0)</f>
        <v>28486.720979707981</v>
      </c>
      <c r="D992">
        <f>IFERROR(INDEX('planning dogs-n-tiger'!D$1:D$30,MATCH($H992,'planning dogs-n-tiger'!$G$1:$G$42,0)),0)</f>
        <v>26073.818573355551</v>
      </c>
      <c r="E992">
        <f t="shared" si="150"/>
        <v>38</v>
      </c>
      <c r="F992">
        <f t="shared" si="151"/>
        <v>9</v>
      </c>
      <c r="G992">
        <f t="shared" si="152"/>
        <v>2023</v>
      </c>
      <c r="H992" t="str">
        <f t="shared" si="156"/>
        <v>92023</v>
      </c>
      <c r="I992">
        <f t="shared" si="157"/>
        <v>30</v>
      </c>
      <c r="J992">
        <f t="shared" si="153"/>
        <v>2375.7525669935112</v>
      </c>
      <c r="K992">
        <f t="shared" si="154"/>
        <v>949.55736599026602</v>
      </c>
      <c r="L992">
        <f t="shared" si="155"/>
        <v>869.1272857785184</v>
      </c>
      <c r="M992" t="str">
        <f t="shared" si="158"/>
        <v>382023</v>
      </c>
      <c r="N992" t="str">
        <f t="shared" si="159"/>
        <v>38-9-2023</v>
      </c>
    </row>
    <row r="993" spans="1:14" x14ac:dyDescent="0.2">
      <c r="A993" s="1">
        <v>45188</v>
      </c>
      <c r="B993">
        <f>IFERROR(INDEX('planning dogs-n-tiger'!B$1:B$30,MATCH($H993,'planning dogs-n-tiger'!$G$1:$G$42,0)),0)</f>
        <v>71272.577009805333</v>
      </c>
      <c r="C993">
        <f>IFERROR(INDEX('planning dogs-n-tiger'!C$1:C$30,MATCH($H993,'planning dogs-n-tiger'!$G$1:$G$42,0)),0)</f>
        <v>28486.720979707981</v>
      </c>
      <c r="D993">
        <f>IFERROR(INDEX('planning dogs-n-tiger'!D$1:D$30,MATCH($H993,'planning dogs-n-tiger'!$G$1:$G$42,0)),0)</f>
        <v>26073.818573355551</v>
      </c>
      <c r="E993">
        <f t="shared" si="150"/>
        <v>38</v>
      </c>
      <c r="F993">
        <f t="shared" si="151"/>
        <v>9</v>
      </c>
      <c r="G993">
        <f t="shared" si="152"/>
        <v>2023</v>
      </c>
      <c r="H993" t="str">
        <f t="shared" si="156"/>
        <v>92023</v>
      </c>
      <c r="I993">
        <f t="shared" si="157"/>
        <v>30</v>
      </c>
      <c r="J993">
        <f t="shared" si="153"/>
        <v>2375.7525669935112</v>
      </c>
      <c r="K993">
        <f t="shared" si="154"/>
        <v>949.55736599026602</v>
      </c>
      <c r="L993">
        <f t="shared" si="155"/>
        <v>869.1272857785184</v>
      </c>
      <c r="M993" t="str">
        <f t="shared" si="158"/>
        <v>382023</v>
      </c>
      <c r="N993" t="str">
        <f t="shared" si="159"/>
        <v>38-9-2023</v>
      </c>
    </row>
    <row r="994" spans="1:14" x14ac:dyDescent="0.2">
      <c r="A994" s="1">
        <v>45189</v>
      </c>
      <c r="B994">
        <f>IFERROR(INDEX('planning dogs-n-tiger'!B$1:B$30,MATCH($H994,'planning dogs-n-tiger'!$G$1:$G$42,0)),0)</f>
        <v>71272.577009805333</v>
      </c>
      <c r="C994">
        <f>IFERROR(INDEX('planning dogs-n-tiger'!C$1:C$30,MATCH($H994,'planning dogs-n-tiger'!$G$1:$G$42,0)),0)</f>
        <v>28486.720979707981</v>
      </c>
      <c r="D994">
        <f>IFERROR(INDEX('planning dogs-n-tiger'!D$1:D$30,MATCH($H994,'planning dogs-n-tiger'!$G$1:$G$42,0)),0)</f>
        <v>26073.818573355551</v>
      </c>
      <c r="E994">
        <f t="shared" si="150"/>
        <v>38</v>
      </c>
      <c r="F994">
        <f t="shared" si="151"/>
        <v>9</v>
      </c>
      <c r="G994">
        <f t="shared" si="152"/>
        <v>2023</v>
      </c>
      <c r="H994" t="str">
        <f t="shared" si="156"/>
        <v>92023</v>
      </c>
      <c r="I994">
        <f t="shared" si="157"/>
        <v>30</v>
      </c>
      <c r="J994">
        <f t="shared" si="153"/>
        <v>2375.7525669935112</v>
      </c>
      <c r="K994">
        <f t="shared" si="154"/>
        <v>949.55736599026602</v>
      </c>
      <c r="L994">
        <f t="shared" si="155"/>
        <v>869.1272857785184</v>
      </c>
      <c r="M994" t="str">
        <f t="shared" si="158"/>
        <v>382023</v>
      </c>
      <c r="N994" t="str">
        <f t="shared" si="159"/>
        <v>38-9-2023</v>
      </c>
    </row>
    <row r="995" spans="1:14" x14ac:dyDescent="0.2">
      <c r="A995" s="1">
        <v>45190</v>
      </c>
      <c r="B995">
        <f>IFERROR(INDEX('planning dogs-n-tiger'!B$1:B$30,MATCH($H995,'planning dogs-n-tiger'!$G$1:$G$42,0)),0)</f>
        <v>71272.577009805333</v>
      </c>
      <c r="C995">
        <f>IFERROR(INDEX('planning dogs-n-tiger'!C$1:C$30,MATCH($H995,'planning dogs-n-tiger'!$G$1:$G$42,0)),0)</f>
        <v>28486.720979707981</v>
      </c>
      <c r="D995">
        <f>IFERROR(INDEX('planning dogs-n-tiger'!D$1:D$30,MATCH($H995,'planning dogs-n-tiger'!$G$1:$G$42,0)),0)</f>
        <v>26073.818573355551</v>
      </c>
      <c r="E995">
        <f t="shared" si="150"/>
        <v>38</v>
      </c>
      <c r="F995">
        <f t="shared" si="151"/>
        <v>9</v>
      </c>
      <c r="G995">
        <f t="shared" si="152"/>
        <v>2023</v>
      </c>
      <c r="H995" t="str">
        <f t="shared" si="156"/>
        <v>92023</v>
      </c>
      <c r="I995">
        <f t="shared" si="157"/>
        <v>30</v>
      </c>
      <c r="J995">
        <f t="shared" si="153"/>
        <v>2375.7525669935112</v>
      </c>
      <c r="K995">
        <f t="shared" si="154"/>
        <v>949.55736599026602</v>
      </c>
      <c r="L995">
        <f t="shared" si="155"/>
        <v>869.1272857785184</v>
      </c>
      <c r="M995" t="str">
        <f t="shared" si="158"/>
        <v>382023</v>
      </c>
      <c r="N995" t="str">
        <f t="shared" si="159"/>
        <v>38-9-2023</v>
      </c>
    </row>
    <row r="996" spans="1:14" x14ac:dyDescent="0.2">
      <c r="A996" s="1">
        <v>45191</v>
      </c>
      <c r="B996">
        <f>IFERROR(INDEX('planning dogs-n-tiger'!B$1:B$30,MATCH($H996,'planning dogs-n-tiger'!$G$1:$G$42,0)),0)</f>
        <v>71272.577009805333</v>
      </c>
      <c r="C996">
        <f>IFERROR(INDEX('planning dogs-n-tiger'!C$1:C$30,MATCH($H996,'planning dogs-n-tiger'!$G$1:$G$42,0)),0)</f>
        <v>28486.720979707981</v>
      </c>
      <c r="D996">
        <f>IFERROR(INDEX('planning dogs-n-tiger'!D$1:D$30,MATCH($H996,'planning dogs-n-tiger'!$G$1:$G$42,0)),0)</f>
        <v>26073.818573355551</v>
      </c>
      <c r="E996">
        <f t="shared" si="150"/>
        <v>38</v>
      </c>
      <c r="F996">
        <f t="shared" si="151"/>
        <v>9</v>
      </c>
      <c r="G996">
        <f t="shared" si="152"/>
        <v>2023</v>
      </c>
      <c r="H996" t="str">
        <f t="shared" si="156"/>
        <v>92023</v>
      </c>
      <c r="I996">
        <f t="shared" si="157"/>
        <v>30</v>
      </c>
      <c r="J996">
        <f t="shared" si="153"/>
        <v>2375.7525669935112</v>
      </c>
      <c r="K996">
        <f t="shared" si="154"/>
        <v>949.55736599026602</v>
      </c>
      <c r="L996">
        <f t="shared" si="155"/>
        <v>869.1272857785184</v>
      </c>
      <c r="M996" t="str">
        <f t="shared" si="158"/>
        <v>382023</v>
      </c>
      <c r="N996" t="str">
        <f t="shared" si="159"/>
        <v>38-9-2023</v>
      </c>
    </row>
    <row r="997" spans="1:14" x14ac:dyDescent="0.2">
      <c r="A997" s="1">
        <v>45192</v>
      </c>
      <c r="B997">
        <f>IFERROR(INDEX('planning dogs-n-tiger'!B$1:B$30,MATCH($H997,'planning dogs-n-tiger'!$G$1:$G$42,0)),0)</f>
        <v>71272.577009805333</v>
      </c>
      <c r="C997">
        <f>IFERROR(INDEX('planning dogs-n-tiger'!C$1:C$30,MATCH($H997,'planning dogs-n-tiger'!$G$1:$G$42,0)),0)</f>
        <v>28486.720979707981</v>
      </c>
      <c r="D997">
        <f>IFERROR(INDEX('planning dogs-n-tiger'!D$1:D$30,MATCH($H997,'planning dogs-n-tiger'!$G$1:$G$42,0)),0)</f>
        <v>26073.818573355551</v>
      </c>
      <c r="E997">
        <f t="shared" si="150"/>
        <v>38</v>
      </c>
      <c r="F997">
        <f t="shared" si="151"/>
        <v>9</v>
      </c>
      <c r="G997">
        <f t="shared" si="152"/>
        <v>2023</v>
      </c>
      <c r="H997" t="str">
        <f t="shared" si="156"/>
        <v>92023</v>
      </c>
      <c r="I997">
        <f t="shared" si="157"/>
        <v>30</v>
      </c>
      <c r="J997">
        <f t="shared" si="153"/>
        <v>2375.7525669935112</v>
      </c>
      <c r="K997">
        <f t="shared" si="154"/>
        <v>949.55736599026602</v>
      </c>
      <c r="L997">
        <f t="shared" si="155"/>
        <v>869.1272857785184</v>
      </c>
      <c r="M997" t="str">
        <f t="shared" si="158"/>
        <v>382023</v>
      </c>
      <c r="N997" t="str">
        <f t="shared" si="159"/>
        <v>38-9-2023</v>
      </c>
    </row>
    <row r="998" spans="1:14" x14ac:dyDescent="0.2">
      <c r="A998" s="1">
        <v>45193</v>
      </c>
      <c r="B998">
        <f>IFERROR(INDEX('planning dogs-n-tiger'!B$1:B$30,MATCH($H998,'planning dogs-n-tiger'!$G$1:$G$42,0)),0)</f>
        <v>71272.577009805333</v>
      </c>
      <c r="C998">
        <f>IFERROR(INDEX('planning dogs-n-tiger'!C$1:C$30,MATCH($H998,'planning dogs-n-tiger'!$G$1:$G$42,0)),0)</f>
        <v>28486.720979707981</v>
      </c>
      <c r="D998">
        <f>IFERROR(INDEX('planning dogs-n-tiger'!D$1:D$30,MATCH($H998,'planning dogs-n-tiger'!$G$1:$G$42,0)),0)</f>
        <v>26073.818573355551</v>
      </c>
      <c r="E998">
        <f t="shared" si="150"/>
        <v>38</v>
      </c>
      <c r="F998">
        <f t="shared" si="151"/>
        <v>9</v>
      </c>
      <c r="G998">
        <f t="shared" si="152"/>
        <v>2023</v>
      </c>
      <c r="H998" t="str">
        <f t="shared" si="156"/>
        <v>92023</v>
      </c>
      <c r="I998">
        <f t="shared" si="157"/>
        <v>30</v>
      </c>
      <c r="J998">
        <f t="shared" si="153"/>
        <v>2375.7525669935112</v>
      </c>
      <c r="K998">
        <f t="shared" si="154"/>
        <v>949.55736599026602</v>
      </c>
      <c r="L998">
        <f t="shared" si="155"/>
        <v>869.1272857785184</v>
      </c>
      <c r="M998" t="str">
        <f t="shared" si="158"/>
        <v>382023</v>
      </c>
      <c r="N998" t="str">
        <f t="shared" si="159"/>
        <v>38-9-2023</v>
      </c>
    </row>
    <row r="999" spans="1:14" x14ac:dyDescent="0.2">
      <c r="A999" s="1">
        <v>45194</v>
      </c>
      <c r="B999">
        <f>IFERROR(INDEX('planning dogs-n-tiger'!B$1:B$30,MATCH($H999,'planning dogs-n-tiger'!$G$1:$G$42,0)),0)</f>
        <v>71272.577009805333</v>
      </c>
      <c r="C999">
        <f>IFERROR(INDEX('planning dogs-n-tiger'!C$1:C$30,MATCH($H999,'planning dogs-n-tiger'!$G$1:$G$42,0)),0)</f>
        <v>28486.720979707981</v>
      </c>
      <c r="D999">
        <f>IFERROR(INDEX('planning dogs-n-tiger'!D$1:D$30,MATCH($H999,'planning dogs-n-tiger'!$G$1:$G$42,0)),0)</f>
        <v>26073.818573355551</v>
      </c>
      <c r="E999">
        <f t="shared" si="150"/>
        <v>39</v>
      </c>
      <c r="F999">
        <f t="shared" si="151"/>
        <v>9</v>
      </c>
      <c r="G999">
        <f t="shared" si="152"/>
        <v>2023</v>
      </c>
      <c r="H999" t="str">
        <f t="shared" si="156"/>
        <v>92023</v>
      </c>
      <c r="I999">
        <f t="shared" si="157"/>
        <v>30</v>
      </c>
      <c r="J999">
        <f t="shared" si="153"/>
        <v>2375.7525669935112</v>
      </c>
      <c r="K999">
        <f t="shared" si="154"/>
        <v>949.55736599026602</v>
      </c>
      <c r="L999">
        <f t="shared" si="155"/>
        <v>869.1272857785184</v>
      </c>
      <c r="M999" t="str">
        <f t="shared" si="158"/>
        <v>392023</v>
      </c>
      <c r="N999" t="str">
        <f t="shared" si="159"/>
        <v>39-9-2023</v>
      </c>
    </row>
    <row r="1000" spans="1:14" x14ac:dyDescent="0.2">
      <c r="A1000" s="1">
        <v>45195</v>
      </c>
      <c r="B1000">
        <f>IFERROR(INDEX('planning dogs-n-tiger'!B$1:B$30,MATCH($H1000,'planning dogs-n-tiger'!$G$1:$G$42,0)),0)</f>
        <v>71272.577009805333</v>
      </c>
      <c r="C1000">
        <f>IFERROR(INDEX('planning dogs-n-tiger'!C$1:C$30,MATCH($H1000,'planning dogs-n-tiger'!$G$1:$G$42,0)),0)</f>
        <v>28486.720979707981</v>
      </c>
      <c r="D1000">
        <f>IFERROR(INDEX('planning dogs-n-tiger'!D$1:D$30,MATCH($H1000,'planning dogs-n-tiger'!$G$1:$G$42,0)),0)</f>
        <v>26073.818573355551</v>
      </c>
      <c r="E1000">
        <f t="shared" si="150"/>
        <v>39</v>
      </c>
      <c r="F1000">
        <f t="shared" si="151"/>
        <v>9</v>
      </c>
      <c r="G1000">
        <f t="shared" si="152"/>
        <v>2023</v>
      </c>
      <c r="H1000" t="str">
        <f t="shared" si="156"/>
        <v>92023</v>
      </c>
      <c r="I1000">
        <f t="shared" si="157"/>
        <v>30</v>
      </c>
      <c r="J1000">
        <f t="shared" si="153"/>
        <v>2375.7525669935112</v>
      </c>
      <c r="K1000">
        <f t="shared" si="154"/>
        <v>949.55736599026602</v>
      </c>
      <c r="L1000">
        <f t="shared" si="155"/>
        <v>869.1272857785184</v>
      </c>
      <c r="M1000" t="str">
        <f t="shared" si="158"/>
        <v>392023</v>
      </c>
      <c r="N1000" t="str">
        <f t="shared" si="159"/>
        <v>39-9-2023</v>
      </c>
    </row>
    <row r="1001" spans="1:14" x14ac:dyDescent="0.2">
      <c r="A1001" s="1">
        <v>45196</v>
      </c>
      <c r="B1001">
        <f>IFERROR(INDEX('planning dogs-n-tiger'!B$1:B$30,MATCH($H1001,'planning dogs-n-tiger'!$G$1:$G$42,0)),0)</f>
        <v>71272.577009805333</v>
      </c>
      <c r="C1001">
        <f>IFERROR(INDEX('planning dogs-n-tiger'!C$1:C$30,MATCH($H1001,'planning dogs-n-tiger'!$G$1:$G$42,0)),0)</f>
        <v>28486.720979707981</v>
      </c>
      <c r="D1001">
        <f>IFERROR(INDEX('planning dogs-n-tiger'!D$1:D$30,MATCH($H1001,'planning dogs-n-tiger'!$G$1:$G$42,0)),0)</f>
        <v>26073.818573355551</v>
      </c>
      <c r="E1001">
        <f t="shared" si="150"/>
        <v>39</v>
      </c>
      <c r="F1001">
        <f t="shared" si="151"/>
        <v>9</v>
      </c>
      <c r="G1001">
        <f t="shared" si="152"/>
        <v>2023</v>
      </c>
      <c r="H1001" t="str">
        <f t="shared" si="156"/>
        <v>92023</v>
      </c>
      <c r="I1001">
        <f t="shared" si="157"/>
        <v>30</v>
      </c>
      <c r="J1001">
        <f t="shared" si="153"/>
        <v>2375.7525669935112</v>
      </c>
      <c r="K1001">
        <f t="shared" si="154"/>
        <v>949.55736599026602</v>
      </c>
      <c r="L1001">
        <f t="shared" si="155"/>
        <v>869.1272857785184</v>
      </c>
      <c r="M1001" t="str">
        <f t="shared" si="158"/>
        <v>392023</v>
      </c>
      <c r="N1001" t="str">
        <f t="shared" si="159"/>
        <v>39-9-2023</v>
      </c>
    </row>
    <row r="1002" spans="1:14" x14ac:dyDescent="0.2">
      <c r="A1002" s="1">
        <v>45197</v>
      </c>
      <c r="B1002">
        <f>IFERROR(INDEX('planning dogs-n-tiger'!B$1:B$30,MATCH($H1002,'planning dogs-n-tiger'!$G$1:$G$42,0)),0)</f>
        <v>71272.577009805333</v>
      </c>
      <c r="C1002">
        <f>IFERROR(INDEX('planning dogs-n-tiger'!C$1:C$30,MATCH($H1002,'planning dogs-n-tiger'!$G$1:$G$42,0)),0)</f>
        <v>28486.720979707981</v>
      </c>
      <c r="D1002">
        <f>IFERROR(INDEX('planning dogs-n-tiger'!D$1:D$30,MATCH($H1002,'planning dogs-n-tiger'!$G$1:$G$42,0)),0)</f>
        <v>26073.818573355551</v>
      </c>
      <c r="E1002">
        <f t="shared" si="150"/>
        <v>39</v>
      </c>
      <c r="F1002">
        <f t="shared" si="151"/>
        <v>9</v>
      </c>
      <c r="G1002">
        <f t="shared" si="152"/>
        <v>2023</v>
      </c>
      <c r="H1002" t="str">
        <f t="shared" si="156"/>
        <v>92023</v>
      </c>
      <c r="I1002">
        <f t="shared" si="157"/>
        <v>30</v>
      </c>
      <c r="J1002">
        <f t="shared" si="153"/>
        <v>2375.7525669935112</v>
      </c>
      <c r="K1002">
        <f t="shared" si="154"/>
        <v>949.55736599026602</v>
      </c>
      <c r="L1002">
        <f t="shared" si="155"/>
        <v>869.1272857785184</v>
      </c>
      <c r="M1002" t="str">
        <f t="shared" si="158"/>
        <v>392023</v>
      </c>
      <c r="N1002" t="str">
        <f t="shared" si="159"/>
        <v>39-9-2023</v>
      </c>
    </row>
    <row r="1003" spans="1:14" x14ac:dyDescent="0.2">
      <c r="A1003" s="1">
        <v>45198</v>
      </c>
      <c r="B1003">
        <f>IFERROR(INDEX('planning dogs-n-tiger'!B$1:B$30,MATCH($H1003,'planning dogs-n-tiger'!$G$1:$G$42,0)),0)</f>
        <v>71272.577009805333</v>
      </c>
      <c r="C1003">
        <f>IFERROR(INDEX('planning dogs-n-tiger'!C$1:C$30,MATCH($H1003,'planning dogs-n-tiger'!$G$1:$G$42,0)),0)</f>
        <v>28486.720979707981</v>
      </c>
      <c r="D1003">
        <f>IFERROR(INDEX('planning dogs-n-tiger'!D$1:D$30,MATCH($H1003,'planning dogs-n-tiger'!$G$1:$G$42,0)),0)</f>
        <v>26073.818573355551</v>
      </c>
      <c r="E1003">
        <f t="shared" si="150"/>
        <v>39</v>
      </c>
      <c r="F1003">
        <f t="shared" si="151"/>
        <v>9</v>
      </c>
      <c r="G1003">
        <f t="shared" si="152"/>
        <v>2023</v>
      </c>
      <c r="H1003" t="str">
        <f t="shared" si="156"/>
        <v>92023</v>
      </c>
      <c r="I1003">
        <f t="shared" si="157"/>
        <v>30</v>
      </c>
      <c r="J1003">
        <f t="shared" si="153"/>
        <v>2375.7525669935112</v>
      </c>
      <c r="K1003">
        <f t="shared" si="154"/>
        <v>949.55736599026602</v>
      </c>
      <c r="L1003">
        <f t="shared" si="155"/>
        <v>869.1272857785184</v>
      </c>
      <c r="M1003" t="str">
        <f t="shared" si="158"/>
        <v>392023</v>
      </c>
      <c r="N1003" t="str">
        <f t="shared" si="159"/>
        <v>39-9-2023</v>
      </c>
    </row>
    <row r="1004" spans="1:14" x14ac:dyDescent="0.2">
      <c r="A1004" s="1">
        <v>45199</v>
      </c>
      <c r="B1004">
        <f>IFERROR(INDEX('planning dogs-n-tiger'!B$1:B$30,MATCH($H1004,'planning dogs-n-tiger'!$G$1:$G$42,0)),0)</f>
        <v>71272.577009805333</v>
      </c>
      <c r="C1004">
        <f>IFERROR(INDEX('planning dogs-n-tiger'!C$1:C$30,MATCH($H1004,'planning dogs-n-tiger'!$G$1:$G$42,0)),0)</f>
        <v>28486.720979707981</v>
      </c>
      <c r="D1004">
        <f>IFERROR(INDEX('planning dogs-n-tiger'!D$1:D$30,MATCH($H1004,'planning dogs-n-tiger'!$G$1:$G$42,0)),0)</f>
        <v>26073.818573355551</v>
      </c>
      <c r="E1004">
        <f t="shared" si="150"/>
        <v>39</v>
      </c>
      <c r="F1004">
        <f t="shared" si="151"/>
        <v>9</v>
      </c>
      <c r="G1004">
        <f t="shared" si="152"/>
        <v>2023</v>
      </c>
      <c r="H1004" t="str">
        <f t="shared" si="156"/>
        <v>92023</v>
      </c>
      <c r="I1004">
        <f t="shared" si="157"/>
        <v>30</v>
      </c>
      <c r="J1004">
        <f t="shared" si="153"/>
        <v>2375.7525669935112</v>
      </c>
      <c r="K1004">
        <f t="shared" si="154"/>
        <v>949.55736599026602</v>
      </c>
      <c r="L1004">
        <f t="shared" si="155"/>
        <v>869.1272857785184</v>
      </c>
      <c r="M1004" t="str">
        <f t="shared" si="158"/>
        <v>392023</v>
      </c>
      <c r="N1004" t="str">
        <f t="shared" si="159"/>
        <v>39-9-2023</v>
      </c>
    </row>
    <row r="1005" spans="1:14" x14ac:dyDescent="0.2">
      <c r="A1005" s="1">
        <v>45200</v>
      </c>
      <c r="B1005">
        <f>IFERROR(INDEX('planning dogs-n-tiger'!B$1:B$30,MATCH($H1005,'planning dogs-n-tiger'!$G$1:$G$42,0)),0)</f>
        <v>75878.621219469787</v>
      </c>
      <c r="C1005">
        <f>IFERROR(INDEX('planning dogs-n-tiger'!C$1:C$30,MATCH($H1005,'planning dogs-n-tiger'!$G$1:$G$42,0)),0)</f>
        <v>34489.476034356114</v>
      </c>
      <c r="D1005">
        <f>IFERROR(INDEX('planning dogs-n-tiger'!D$1:D$30,MATCH($H1005,'planning dogs-n-tiger'!$G$1:$G$42,0)),0)</f>
        <v>17790.750068888203</v>
      </c>
      <c r="E1005">
        <f t="shared" si="150"/>
        <v>39</v>
      </c>
      <c r="F1005">
        <f t="shared" si="151"/>
        <v>10</v>
      </c>
      <c r="G1005">
        <f t="shared" si="152"/>
        <v>2023</v>
      </c>
      <c r="H1005" t="str">
        <f t="shared" si="156"/>
        <v>102023</v>
      </c>
      <c r="I1005">
        <f t="shared" si="157"/>
        <v>31</v>
      </c>
      <c r="J1005">
        <f t="shared" si="153"/>
        <v>2447.6974586925739</v>
      </c>
      <c r="K1005">
        <f t="shared" si="154"/>
        <v>1112.5637430437457</v>
      </c>
      <c r="L1005">
        <f t="shared" si="155"/>
        <v>573.89516351252269</v>
      </c>
      <c r="M1005" t="str">
        <f t="shared" si="158"/>
        <v>392023</v>
      </c>
      <c r="N1005" t="str">
        <f t="shared" si="159"/>
        <v>39-10-2023</v>
      </c>
    </row>
    <row r="1006" spans="1:14" x14ac:dyDescent="0.2">
      <c r="A1006" s="1">
        <v>45201</v>
      </c>
      <c r="B1006">
        <f>IFERROR(INDEX('planning dogs-n-tiger'!B$1:B$30,MATCH($H1006,'planning dogs-n-tiger'!$G$1:$G$42,0)),0)</f>
        <v>75878.621219469787</v>
      </c>
      <c r="C1006">
        <f>IFERROR(INDEX('planning dogs-n-tiger'!C$1:C$30,MATCH($H1006,'planning dogs-n-tiger'!$G$1:$G$42,0)),0)</f>
        <v>34489.476034356114</v>
      </c>
      <c r="D1006">
        <f>IFERROR(INDEX('planning dogs-n-tiger'!D$1:D$30,MATCH($H1006,'planning dogs-n-tiger'!$G$1:$G$42,0)),0)</f>
        <v>17790.750068888203</v>
      </c>
      <c r="E1006">
        <f t="shared" si="150"/>
        <v>40</v>
      </c>
      <c r="F1006">
        <f t="shared" si="151"/>
        <v>10</v>
      </c>
      <c r="G1006">
        <f t="shared" si="152"/>
        <v>2023</v>
      </c>
      <c r="H1006" t="str">
        <f t="shared" si="156"/>
        <v>102023</v>
      </c>
      <c r="I1006">
        <f t="shared" si="157"/>
        <v>31</v>
      </c>
      <c r="J1006">
        <f t="shared" si="153"/>
        <v>2447.6974586925739</v>
      </c>
      <c r="K1006">
        <f t="shared" si="154"/>
        <v>1112.5637430437457</v>
      </c>
      <c r="L1006">
        <f t="shared" si="155"/>
        <v>573.89516351252269</v>
      </c>
      <c r="M1006" t="str">
        <f t="shared" si="158"/>
        <v>402023</v>
      </c>
      <c r="N1006" t="str">
        <f t="shared" si="159"/>
        <v>40-10-2023</v>
      </c>
    </row>
    <row r="1007" spans="1:14" x14ac:dyDescent="0.2">
      <c r="A1007" s="1">
        <v>45202</v>
      </c>
      <c r="B1007">
        <f>IFERROR(INDEX('planning dogs-n-tiger'!B$1:B$30,MATCH($H1007,'planning dogs-n-tiger'!$G$1:$G$42,0)),0)</f>
        <v>75878.621219469787</v>
      </c>
      <c r="C1007">
        <f>IFERROR(INDEX('planning dogs-n-tiger'!C$1:C$30,MATCH($H1007,'planning dogs-n-tiger'!$G$1:$G$42,0)),0)</f>
        <v>34489.476034356114</v>
      </c>
      <c r="D1007">
        <f>IFERROR(INDEX('planning dogs-n-tiger'!D$1:D$30,MATCH($H1007,'planning dogs-n-tiger'!$G$1:$G$42,0)),0)</f>
        <v>17790.750068888203</v>
      </c>
      <c r="E1007">
        <f t="shared" si="150"/>
        <v>40</v>
      </c>
      <c r="F1007">
        <f t="shared" si="151"/>
        <v>10</v>
      </c>
      <c r="G1007">
        <f t="shared" si="152"/>
        <v>2023</v>
      </c>
      <c r="H1007" t="str">
        <f t="shared" si="156"/>
        <v>102023</v>
      </c>
      <c r="I1007">
        <f t="shared" si="157"/>
        <v>31</v>
      </c>
      <c r="J1007">
        <f t="shared" si="153"/>
        <v>2447.6974586925739</v>
      </c>
      <c r="K1007">
        <f t="shared" si="154"/>
        <v>1112.5637430437457</v>
      </c>
      <c r="L1007">
        <f t="shared" si="155"/>
        <v>573.89516351252269</v>
      </c>
      <c r="M1007" t="str">
        <f t="shared" si="158"/>
        <v>402023</v>
      </c>
      <c r="N1007" t="str">
        <f t="shared" si="159"/>
        <v>40-10-2023</v>
      </c>
    </row>
    <row r="1008" spans="1:14" x14ac:dyDescent="0.2">
      <c r="A1008" s="1">
        <v>45203</v>
      </c>
      <c r="B1008">
        <f>IFERROR(INDEX('planning dogs-n-tiger'!B$1:B$30,MATCH($H1008,'planning dogs-n-tiger'!$G$1:$G$42,0)),0)</f>
        <v>75878.621219469787</v>
      </c>
      <c r="C1008">
        <f>IFERROR(INDEX('planning dogs-n-tiger'!C$1:C$30,MATCH($H1008,'planning dogs-n-tiger'!$G$1:$G$42,0)),0)</f>
        <v>34489.476034356114</v>
      </c>
      <c r="D1008">
        <f>IFERROR(INDEX('planning dogs-n-tiger'!D$1:D$30,MATCH($H1008,'planning dogs-n-tiger'!$G$1:$G$42,0)),0)</f>
        <v>17790.750068888203</v>
      </c>
      <c r="E1008">
        <f t="shared" si="150"/>
        <v>40</v>
      </c>
      <c r="F1008">
        <f t="shared" si="151"/>
        <v>10</v>
      </c>
      <c r="G1008">
        <f t="shared" si="152"/>
        <v>2023</v>
      </c>
      <c r="H1008" t="str">
        <f t="shared" si="156"/>
        <v>102023</v>
      </c>
      <c r="I1008">
        <f t="shared" si="157"/>
        <v>31</v>
      </c>
      <c r="J1008">
        <f t="shared" si="153"/>
        <v>2447.6974586925739</v>
      </c>
      <c r="K1008">
        <f t="shared" si="154"/>
        <v>1112.5637430437457</v>
      </c>
      <c r="L1008">
        <f t="shared" si="155"/>
        <v>573.89516351252269</v>
      </c>
      <c r="M1008" t="str">
        <f t="shared" si="158"/>
        <v>402023</v>
      </c>
      <c r="N1008" t="str">
        <f t="shared" si="159"/>
        <v>40-10-2023</v>
      </c>
    </row>
    <row r="1009" spans="1:14" x14ac:dyDescent="0.2">
      <c r="A1009" s="1">
        <v>45204</v>
      </c>
      <c r="B1009">
        <f>IFERROR(INDEX('planning dogs-n-tiger'!B$1:B$30,MATCH($H1009,'planning dogs-n-tiger'!$G$1:$G$42,0)),0)</f>
        <v>75878.621219469787</v>
      </c>
      <c r="C1009">
        <f>IFERROR(INDEX('planning dogs-n-tiger'!C$1:C$30,MATCH($H1009,'planning dogs-n-tiger'!$G$1:$G$42,0)),0)</f>
        <v>34489.476034356114</v>
      </c>
      <c r="D1009">
        <f>IFERROR(INDEX('planning dogs-n-tiger'!D$1:D$30,MATCH($H1009,'planning dogs-n-tiger'!$G$1:$G$42,0)),0)</f>
        <v>17790.750068888203</v>
      </c>
      <c r="E1009">
        <f t="shared" si="150"/>
        <v>40</v>
      </c>
      <c r="F1009">
        <f t="shared" si="151"/>
        <v>10</v>
      </c>
      <c r="G1009">
        <f t="shared" si="152"/>
        <v>2023</v>
      </c>
      <c r="H1009" t="str">
        <f t="shared" si="156"/>
        <v>102023</v>
      </c>
      <c r="I1009">
        <f t="shared" si="157"/>
        <v>31</v>
      </c>
      <c r="J1009">
        <f t="shared" si="153"/>
        <v>2447.6974586925739</v>
      </c>
      <c r="K1009">
        <f t="shared" si="154"/>
        <v>1112.5637430437457</v>
      </c>
      <c r="L1009">
        <f t="shared" si="155"/>
        <v>573.89516351252269</v>
      </c>
      <c r="M1009" t="str">
        <f t="shared" si="158"/>
        <v>402023</v>
      </c>
      <c r="N1009" t="str">
        <f t="shared" si="159"/>
        <v>40-10-2023</v>
      </c>
    </row>
    <row r="1010" spans="1:14" x14ac:dyDescent="0.2">
      <c r="A1010" s="1">
        <v>45205</v>
      </c>
      <c r="B1010">
        <f>IFERROR(INDEX('planning dogs-n-tiger'!B$1:B$30,MATCH($H1010,'planning dogs-n-tiger'!$G$1:$G$42,0)),0)</f>
        <v>75878.621219469787</v>
      </c>
      <c r="C1010">
        <f>IFERROR(INDEX('planning dogs-n-tiger'!C$1:C$30,MATCH($H1010,'planning dogs-n-tiger'!$G$1:$G$42,0)),0)</f>
        <v>34489.476034356114</v>
      </c>
      <c r="D1010">
        <f>IFERROR(INDEX('planning dogs-n-tiger'!D$1:D$30,MATCH($H1010,'planning dogs-n-tiger'!$G$1:$G$42,0)),0)</f>
        <v>17790.750068888203</v>
      </c>
      <c r="E1010">
        <f t="shared" si="150"/>
        <v>40</v>
      </c>
      <c r="F1010">
        <f t="shared" si="151"/>
        <v>10</v>
      </c>
      <c r="G1010">
        <f t="shared" si="152"/>
        <v>2023</v>
      </c>
      <c r="H1010" t="str">
        <f t="shared" si="156"/>
        <v>102023</v>
      </c>
      <c r="I1010">
        <f t="shared" si="157"/>
        <v>31</v>
      </c>
      <c r="J1010">
        <f t="shared" si="153"/>
        <v>2447.6974586925739</v>
      </c>
      <c r="K1010">
        <f t="shared" si="154"/>
        <v>1112.5637430437457</v>
      </c>
      <c r="L1010">
        <f t="shared" si="155"/>
        <v>573.89516351252269</v>
      </c>
      <c r="M1010" t="str">
        <f t="shared" si="158"/>
        <v>402023</v>
      </c>
      <c r="N1010" t="str">
        <f t="shared" si="159"/>
        <v>40-10-2023</v>
      </c>
    </row>
    <row r="1011" spans="1:14" x14ac:dyDescent="0.2">
      <c r="A1011" s="1">
        <v>45206</v>
      </c>
      <c r="B1011">
        <f>IFERROR(INDEX('planning dogs-n-tiger'!B$1:B$30,MATCH($H1011,'planning dogs-n-tiger'!$G$1:$G$42,0)),0)</f>
        <v>75878.621219469787</v>
      </c>
      <c r="C1011">
        <f>IFERROR(INDEX('planning dogs-n-tiger'!C$1:C$30,MATCH($H1011,'planning dogs-n-tiger'!$G$1:$G$42,0)),0)</f>
        <v>34489.476034356114</v>
      </c>
      <c r="D1011">
        <f>IFERROR(INDEX('planning dogs-n-tiger'!D$1:D$30,MATCH($H1011,'planning dogs-n-tiger'!$G$1:$G$42,0)),0)</f>
        <v>17790.750068888203</v>
      </c>
      <c r="E1011">
        <f t="shared" si="150"/>
        <v>40</v>
      </c>
      <c r="F1011">
        <f t="shared" si="151"/>
        <v>10</v>
      </c>
      <c r="G1011">
        <f t="shared" si="152"/>
        <v>2023</v>
      </c>
      <c r="H1011" t="str">
        <f t="shared" si="156"/>
        <v>102023</v>
      </c>
      <c r="I1011">
        <f t="shared" si="157"/>
        <v>31</v>
      </c>
      <c r="J1011">
        <f t="shared" si="153"/>
        <v>2447.6974586925739</v>
      </c>
      <c r="K1011">
        <f t="shared" si="154"/>
        <v>1112.5637430437457</v>
      </c>
      <c r="L1011">
        <f t="shared" si="155"/>
        <v>573.89516351252269</v>
      </c>
      <c r="M1011" t="str">
        <f t="shared" si="158"/>
        <v>402023</v>
      </c>
      <c r="N1011" t="str">
        <f t="shared" si="159"/>
        <v>40-10-2023</v>
      </c>
    </row>
    <row r="1012" spans="1:14" x14ac:dyDescent="0.2">
      <c r="A1012" s="1">
        <v>45207</v>
      </c>
      <c r="B1012">
        <f>IFERROR(INDEX('planning dogs-n-tiger'!B$1:B$30,MATCH($H1012,'planning dogs-n-tiger'!$G$1:$G$42,0)),0)</f>
        <v>75878.621219469787</v>
      </c>
      <c r="C1012">
        <f>IFERROR(INDEX('planning dogs-n-tiger'!C$1:C$30,MATCH($H1012,'planning dogs-n-tiger'!$G$1:$G$42,0)),0)</f>
        <v>34489.476034356114</v>
      </c>
      <c r="D1012">
        <f>IFERROR(INDEX('planning dogs-n-tiger'!D$1:D$30,MATCH($H1012,'planning dogs-n-tiger'!$G$1:$G$42,0)),0)</f>
        <v>17790.750068888203</v>
      </c>
      <c r="E1012">
        <f t="shared" si="150"/>
        <v>40</v>
      </c>
      <c r="F1012">
        <f t="shared" si="151"/>
        <v>10</v>
      </c>
      <c r="G1012">
        <f t="shared" si="152"/>
        <v>2023</v>
      </c>
      <c r="H1012" t="str">
        <f t="shared" si="156"/>
        <v>102023</v>
      </c>
      <c r="I1012">
        <f t="shared" si="157"/>
        <v>31</v>
      </c>
      <c r="J1012">
        <f t="shared" si="153"/>
        <v>2447.6974586925739</v>
      </c>
      <c r="K1012">
        <f t="shared" si="154"/>
        <v>1112.5637430437457</v>
      </c>
      <c r="L1012">
        <f t="shared" si="155"/>
        <v>573.89516351252269</v>
      </c>
      <c r="M1012" t="str">
        <f t="shared" si="158"/>
        <v>402023</v>
      </c>
      <c r="N1012" t="str">
        <f t="shared" si="159"/>
        <v>40-10-2023</v>
      </c>
    </row>
    <row r="1013" spans="1:14" x14ac:dyDescent="0.2">
      <c r="A1013" s="1">
        <v>45208</v>
      </c>
      <c r="B1013">
        <f>IFERROR(INDEX('planning dogs-n-tiger'!B$1:B$30,MATCH($H1013,'planning dogs-n-tiger'!$G$1:$G$42,0)),0)</f>
        <v>75878.621219469787</v>
      </c>
      <c r="C1013">
        <f>IFERROR(INDEX('planning dogs-n-tiger'!C$1:C$30,MATCH($H1013,'planning dogs-n-tiger'!$G$1:$G$42,0)),0)</f>
        <v>34489.476034356114</v>
      </c>
      <c r="D1013">
        <f>IFERROR(INDEX('planning dogs-n-tiger'!D$1:D$30,MATCH($H1013,'planning dogs-n-tiger'!$G$1:$G$42,0)),0)</f>
        <v>17790.750068888203</v>
      </c>
      <c r="E1013">
        <f t="shared" si="150"/>
        <v>41</v>
      </c>
      <c r="F1013">
        <f t="shared" si="151"/>
        <v>10</v>
      </c>
      <c r="G1013">
        <f t="shared" si="152"/>
        <v>2023</v>
      </c>
      <c r="H1013" t="str">
        <f t="shared" si="156"/>
        <v>102023</v>
      </c>
      <c r="I1013">
        <f t="shared" si="157"/>
        <v>31</v>
      </c>
      <c r="J1013">
        <f t="shared" si="153"/>
        <v>2447.6974586925739</v>
      </c>
      <c r="K1013">
        <f t="shared" si="154"/>
        <v>1112.5637430437457</v>
      </c>
      <c r="L1013">
        <f t="shared" si="155"/>
        <v>573.89516351252269</v>
      </c>
      <c r="M1013" t="str">
        <f t="shared" si="158"/>
        <v>412023</v>
      </c>
      <c r="N1013" t="str">
        <f t="shared" si="159"/>
        <v>41-10-2023</v>
      </c>
    </row>
    <row r="1014" spans="1:14" x14ac:dyDescent="0.2">
      <c r="A1014" s="1">
        <v>45209</v>
      </c>
      <c r="B1014">
        <f>IFERROR(INDEX('planning dogs-n-tiger'!B$1:B$30,MATCH($H1014,'planning dogs-n-tiger'!$G$1:$G$42,0)),0)</f>
        <v>75878.621219469787</v>
      </c>
      <c r="C1014">
        <f>IFERROR(INDEX('planning dogs-n-tiger'!C$1:C$30,MATCH($H1014,'planning dogs-n-tiger'!$G$1:$G$42,0)),0)</f>
        <v>34489.476034356114</v>
      </c>
      <c r="D1014">
        <f>IFERROR(INDEX('planning dogs-n-tiger'!D$1:D$30,MATCH($H1014,'planning dogs-n-tiger'!$G$1:$G$42,0)),0)</f>
        <v>17790.750068888203</v>
      </c>
      <c r="E1014">
        <f t="shared" si="150"/>
        <v>41</v>
      </c>
      <c r="F1014">
        <f t="shared" si="151"/>
        <v>10</v>
      </c>
      <c r="G1014">
        <f t="shared" si="152"/>
        <v>2023</v>
      </c>
      <c r="H1014" t="str">
        <f t="shared" si="156"/>
        <v>102023</v>
      </c>
      <c r="I1014">
        <f t="shared" si="157"/>
        <v>31</v>
      </c>
      <c r="J1014">
        <f t="shared" si="153"/>
        <v>2447.6974586925739</v>
      </c>
      <c r="K1014">
        <f t="shared" si="154"/>
        <v>1112.5637430437457</v>
      </c>
      <c r="L1014">
        <f t="shared" si="155"/>
        <v>573.89516351252269</v>
      </c>
      <c r="M1014" t="str">
        <f t="shared" si="158"/>
        <v>412023</v>
      </c>
      <c r="N1014" t="str">
        <f t="shared" si="159"/>
        <v>41-10-2023</v>
      </c>
    </row>
    <row r="1015" spans="1:14" x14ac:dyDescent="0.2">
      <c r="A1015" s="1">
        <v>45210</v>
      </c>
      <c r="B1015">
        <f>IFERROR(INDEX('planning dogs-n-tiger'!B$1:B$30,MATCH($H1015,'planning dogs-n-tiger'!$G$1:$G$42,0)),0)</f>
        <v>75878.621219469787</v>
      </c>
      <c r="C1015">
        <f>IFERROR(INDEX('planning dogs-n-tiger'!C$1:C$30,MATCH($H1015,'planning dogs-n-tiger'!$G$1:$G$42,0)),0)</f>
        <v>34489.476034356114</v>
      </c>
      <c r="D1015">
        <f>IFERROR(INDEX('planning dogs-n-tiger'!D$1:D$30,MATCH($H1015,'planning dogs-n-tiger'!$G$1:$G$42,0)),0)</f>
        <v>17790.750068888203</v>
      </c>
      <c r="E1015">
        <f t="shared" si="150"/>
        <v>41</v>
      </c>
      <c r="F1015">
        <f t="shared" si="151"/>
        <v>10</v>
      </c>
      <c r="G1015">
        <f t="shared" si="152"/>
        <v>2023</v>
      </c>
      <c r="H1015" t="str">
        <f t="shared" si="156"/>
        <v>102023</v>
      </c>
      <c r="I1015">
        <f t="shared" si="157"/>
        <v>31</v>
      </c>
      <c r="J1015">
        <f t="shared" si="153"/>
        <v>2447.6974586925739</v>
      </c>
      <c r="K1015">
        <f t="shared" si="154"/>
        <v>1112.5637430437457</v>
      </c>
      <c r="L1015">
        <f t="shared" si="155"/>
        <v>573.89516351252269</v>
      </c>
      <c r="M1015" t="str">
        <f t="shared" si="158"/>
        <v>412023</v>
      </c>
      <c r="N1015" t="str">
        <f t="shared" si="159"/>
        <v>41-10-2023</v>
      </c>
    </row>
    <row r="1016" spans="1:14" x14ac:dyDescent="0.2">
      <c r="A1016" s="1">
        <v>45211</v>
      </c>
      <c r="B1016">
        <f>IFERROR(INDEX('planning dogs-n-tiger'!B$1:B$30,MATCH($H1016,'planning dogs-n-tiger'!$G$1:$G$42,0)),0)</f>
        <v>75878.621219469787</v>
      </c>
      <c r="C1016">
        <f>IFERROR(INDEX('planning dogs-n-tiger'!C$1:C$30,MATCH($H1016,'planning dogs-n-tiger'!$G$1:$G$42,0)),0)</f>
        <v>34489.476034356114</v>
      </c>
      <c r="D1016">
        <f>IFERROR(INDEX('planning dogs-n-tiger'!D$1:D$30,MATCH($H1016,'planning dogs-n-tiger'!$G$1:$G$42,0)),0)</f>
        <v>17790.750068888203</v>
      </c>
      <c r="E1016">
        <f t="shared" si="150"/>
        <v>41</v>
      </c>
      <c r="F1016">
        <f t="shared" si="151"/>
        <v>10</v>
      </c>
      <c r="G1016">
        <f t="shared" si="152"/>
        <v>2023</v>
      </c>
      <c r="H1016" t="str">
        <f t="shared" si="156"/>
        <v>102023</v>
      </c>
      <c r="I1016">
        <f t="shared" si="157"/>
        <v>31</v>
      </c>
      <c r="J1016">
        <f t="shared" si="153"/>
        <v>2447.6974586925739</v>
      </c>
      <c r="K1016">
        <f t="shared" si="154"/>
        <v>1112.5637430437457</v>
      </c>
      <c r="L1016">
        <f t="shared" si="155"/>
        <v>573.89516351252269</v>
      </c>
      <c r="M1016" t="str">
        <f t="shared" si="158"/>
        <v>412023</v>
      </c>
      <c r="N1016" t="str">
        <f t="shared" si="159"/>
        <v>41-10-2023</v>
      </c>
    </row>
    <row r="1017" spans="1:14" x14ac:dyDescent="0.2">
      <c r="A1017" s="1">
        <v>45212</v>
      </c>
      <c r="B1017">
        <f>IFERROR(INDEX('planning dogs-n-tiger'!B$1:B$30,MATCH($H1017,'planning dogs-n-tiger'!$G$1:$G$42,0)),0)</f>
        <v>75878.621219469787</v>
      </c>
      <c r="C1017">
        <f>IFERROR(INDEX('planning dogs-n-tiger'!C$1:C$30,MATCH($H1017,'planning dogs-n-tiger'!$G$1:$G$42,0)),0)</f>
        <v>34489.476034356114</v>
      </c>
      <c r="D1017">
        <f>IFERROR(INDEX('planning dogs-n-tiger'!D$1:D$30,MATCH($H1017,'planning dogs-n-tiger'!$G$1:$G$42,0)),0)</f>
        <v>17790.750068888203</v>
      </c>
      <c r="E1017">
        <f t="shared" si="150"/>
        <v>41</v>
      </c>
      <c r="F1017">
        <f t="shared" si="151"/>
        <v>10</v>
      </c>
      <c r="G1017">
        <f t="shared" si="152"/>
        <v>2023</v>
      </c>
      <c r="H1017" t="str">
        <f t="shared" si="156"/>
        <v>102023</v>
      </c>
      <c r="I1017">
        <f t="shared" si="157"/>
        <v>31</v>
      </c>
      <c r="J1017">
        <f t="shared" si="153"/>
        <v>2447.6974586925739</v>
      </c>
      <c r="K1017">
        <f t="shared" si="154"/>
        <v>1112.5637430437457</v>
      </c>
      <c r="L1017">
        <f t="shared" si="155"/>
        <v>573.89516351252269</v>
      </c>
      <c r="M1017" t="str">
        <f t="shared" si="158"/>
        <v>412023</v>
      </c>
      <c r="N1017" t="str">
        <f t="shared" si="159"/>
        <v>41-10-2023</v>
      </c>
    </row>
    <row r="1018" spans="1:14" x14ac:dyDescent="0.2">
      <c r="A1018" s="1">
        <v>45213</v>
      </c>
      <c r="B1018">
        <f>IFERROR(INDEX('planning dogs-n-tiger'!B$1:B$30,MATCH($H1018,'planning dogs-n-tiger'!$G$1:$G$42,0)),0)</f>
        <v>75878.621219469787</v>
      </c>
      <c r="C1018">
        <f>IFERROR(INDEX('planning dogs-n-tiger'!C$1:C$30,MATCH($H1018,'planning dogs-n-tiger'!$G$1:$G$42,0)),0)</f>
        <v>34489.476034356114</v>
      </c>
      <c r="D1018">
        <f>IFERROR(INDEX('planning dogs-n-tiger'!D$1:D$30,MATCH($H1018,'planning dogs-n-tiger'!$G$1:$G$42,0)),0)</f>
        <v>17790.750068888203</v>
      </c>
      <c r="E1018">
        <f t="shared" si="150"/>
        <v>41</v>
      </c>
      <c r="F1018">
        <f t="shared" si="151"/>
        <v>10</v>
      </c>
      <c r="G1018">
        <f t="shared" si="152"/>
        <v>2023</v>
      </c>
      <c r="H1018" t="str">
        <f t="shared" si="156"/>
        <v>102023</v>
      </c>
      <c r="I1018">
        <f t="shared" si="157"/>
        <v>31</v>
      </c>
      <c r="J1018">
        <f t="shared" si="153"/>
        <v>2447.6974586925739</v>
      </c>
      <c r="K1018">
        <f t="shared" si="154"/>
        <v>1112.5637430437457</v>
      </c>
      <c r="L1018">
        <f t="shared" si="155"/>
        <v>573.89516351252269</v>
      </c>
      <c r="M1018" t="str">
        <f t="shared" si="158"/>
        <v>412023</v>
      </c>
      <c r="N1018" t="str">
        <f t="shared" si="159"/>
        <v>41-10-2023</v>
      </c>
    </row>
    <row r="1019" spans="1:14" x14ac:dyDescent="0.2">
      <c r="A1019" s="1">
        <v>45214</v>
      </c>
      <c r="B1019">
        <f>IFERROR(INDEX('planning dogs-n-tiger'!B$1:B$30,MATCH($H1019,'planning dogs-n-tiger'!$G$1:$G$42,0)),0)</f>
        <v>75878.621219469787</v>
      </c>
      <c r="C1019">
        <f>IFERROR(INDEX('planning dogs-n-tiger'!C$1:C$30,MATCH($H1019,'planning dogs-n-tiger'!$G$1:$G$42,0)),0)</f>
        <v>34489.476034356114</v>
      </c>
      <c r="D1019">
        <f>IFERROR(INDEX('planning dogs-n-tiger'!D$1:D$30,MATCH($H1019,'planning dogs-n-tiger'!$G$1:$G$42,0)),0)</f>
        <v>17790.750068888203</v>
      </c>
      <c r="E1019">
        <f t="shared" si="150"/>
        <v>41</v>
      </c>
      <c r="F1019">
        <f t="shared" si="151"/>
        <v>10</v>
      </c>
      <c r="G1019">
        <f t="shared" si="152"/>
        <v>2023</v>
      </c>
      <c r="H1019" t="str">
        <f t="shared" si="156"/>
        <v>102023</v>
      </c>
      <c r="I1019">
        <f t="shared" si="157"/>
        <v>31</v>
      </c>
      <c r="J1019">
        <f t="shared" si="153"/>
        <v>2447.6974586925739</v>
      </c>
      <c r="K1019">
        <f t="shared" si="154"/>
        <v>1112.5637430437457</v>
      </c>
      <c r="L1019">
        <f t="shared" si="155"/>
        <v>573.89516351252269</v>
      </c>
      <c r="M1019" t="str">
        <f t="shared" si="158"/>
        <v>412023</v>
      </c>
      <c r="N1019" t="str">
        <f t="shared" si="159"/>
        <v>41-10-2023</v>
      </c>
    </row>
    <row r="1020" spans="1:14" x14ac:dyDescent="0.2">
      <c r="A1020" s="1">
        <v>45215</v>
      </c>
      <c r="B1020">
        <f>IFERROR(INDEX('planning dogs-n-tiger'!B$1:B$30,MATCH($H1020,'planning dogs-n-tiger'!$G$1:$G$42,0)),0)</f>
        <v>75878.621219469787</v>
      </c>
      <c r="C1020">
        <f>IFERROR(INDEX('planning dogs-n-tiger'!C$1:C$30,MATCH($H1020,'planning dogs-n-tiger'!$G$1:$G$42,0)),0)</f>
        <v>34489.476034356114</v>
      </c>
      <c r="D1020">
        <f>IFERROR(INDEX('planning dogs-n-tiger'!D$1:D$30,MATCH($H1020,'planning dogs-n-tiger'!$G$1:$G$42,0)),0)</f>
        <v>17790.750068888203</v>
      </c>
      <c r="E1020">
        <f t="shared" si="150"/>
        <v>42</v>
      </c>
      <c r="F1020">
        <f t="shared" si="151"/>
        <v>10</v>
      </c>
      <c r="G1020">
        <f t="shared" si="152"/>
        <v>2023</v>
      </c>
      <c r="H1020" t="str">
        <f t="shared" si="156"/>
        <v>102023</v>
      </c>
      <c r="I1020">
        <f t="shared" si="157"/>
        <v>31</v>
      </c>
      <c r="J1020">
        <f t="shared" si="153"/>
        <v>2447.6974586925739</v>
      </c>
      <c r="K1020">
        <f t="shared" si="154"/>
        <v>1112.5637430437457</v>
      </c>
      <c r="L1020">
        <f t="shared" si="155"/>
        <v>573.89516351252269</v>
      </c>
      <c r="M1020" t="str">
        <f t="shared" si="158"/>
        <v>422023</v>
      </c>
      <c r="N1020" t="str">
        <f t="shared" si="159"/>
        <v>42-10-2023</v>
      </c>
    </row>
    <row r="1021" spans="1:14" x14ac:dyDescent="0.2">
      <c r="A1021" s="1">
        <v>45216</v>
      </c>
      <c r="B1021">
        <f>IFERROR(INDEX('planning dogs-n-tiger'!B$1:B$30,MATCH($H1021,'planning dogs-n-tiger'!$G$1:$G$42,0)),0)</f>
        <v>75878.621219469787</v>
      </c>
      <c r="C1021">
        <f>IFERROR(INDEX('planning dogs-n-tiger'!C$1:C$30,MATCH($H1021,'planning dogs-n-tiger'!$G$1:$G$42,0)),0)</f>
        <v>34489.476034356114</v>
      </c>
      <c r="D1021">
        <f>IFERROR(INDEX('planning dogs-n-tiger'!D$1:D$30,MATCH($H1021,'planning dogs-n-tiger'!$G$1:$G$42,0)),0)</f>
        <v>17790.750068888203</v>
      </c>
      <c r="E1021">
        <f t="shared" si="150"/>
        <v>42</v>
      </c>
      <c r="F1021">
        <f t="shared" si="151"/>
        <v>10</v>
      </c>
      <c r="G1021">
        <f t="shared" si="152"/>
        <v>2023</v>
      </c>
      <c r="H1021" t="str">
        <f t="shared" si="156"/>
        <v>102023</v>
      </c>
      <c r="I1021">
        <f t="shared" si="157"/>
        <v>31</v>
      </c>
      <c r="J1021">
        <f t="shared" si="153"/>
        <v>2447.6974586925739</v>
      </c>
      <c r="K1021">
        <f t="shared" si="154"/>
        <v>1112.5637430437457</v>
      </c>
      <c r="L1021">
        <f t="shared" si="155"/>
        <v>573.89516351252269</v>
      </c>
      <c r="M1021" t="str">
        <f t="shared" si="158"/>
        <v>422023</v>
      </c>
      <c r="N1021" t="str">
        <f t="shared" si="159"/>
        <v>42-10-2023</v>
      </c>
    </row>
    <row r="1022" spans="1:14" x14ac:dyDescent="0.2">
      <c r="A1022" s="1">
        <v>45217</v>
      </c>
      <c r="B1022">
        <f>IFERROR(INDEX('planning dogs-n-tiger'!B$1:B$30,MATCH($H1022,'planning dogs-n-tiger'!$G$1:$G$42,0)),0)</f>
        <v>75878.621219469787</v>
      </c>
      <c r="C1022">
        <f>IFERROR(INDEX('planning dogs-n-tiger'!C$1:C$30,MATCH($H1022,'planning dogs-n-tiger'!$G$1:$G$42,0)),0)</f>
        <v>34489.476034356114</v>
      </c>
      <c r="D1022">
        <f>IFERROR(INDEX('planning dogs-n-tiger'!D$1:D$30,MATCH($H1022,'planning dogs-n-tiger'!$G$1:$G$42,0)),0)</f>
        <v>17790.750068888203</v>
      </c>
      <c r="E1022">
        <f t="shared" si="150"/>
        <v>42</v>
      </c>
      <c r="F1022">
        <f t="shared" si="151"/>
        <v>10</v>
      </c>
      <c r="G1022">
        <f t="shared" si="152"/>
        <v>2023</v>
      </c>
      <c r="H1022" t="str">
        <f t="shared" si="156"/>
        <v>102023</v>
      </c>
      <c r="I1022">
        <f t="shared" si="157"/>
        <v>31</v>
      </c>
      <c r="J1022">
        <f t="shared" si="153"/>
        <v>2447.6974586925739</v>
      </c>
      <c r="K1022">
        <f t="shared" si="154"/>
        <v>1112.5637430437457</v>
      </c>
      <c r="L1022">
        <f t="shared" si="155"/>
        <v>573.89516351252269</v>
      </c>
      <c r="M1022" t="str">
        <f t="shared" si="158"/>
        <v>422023</v>
      </c>
      <c r="N1022" t="str">
        <f t="shared" si="159"/>
        <v>42-10-2023</v>
      </c>
    </row>
    <row r="1023" spans="1:14" x14ac:dyDescent="0.2">
      <c r="A1023" s="1">
        <v>45218</v>
      </c>
      <c r="B1023">
        <f>IFERROR(INDEX('planning dogs-n-tiger'!B$1:B$30,MATCH($H1023,'planning dogs-n-tiger'!$G$1:$G$42,0)),0)</f>
        <v>75878.621219469787</v>
      </c>
      <c r="C1023">
        <f>IFERROR(INDEX('planning dogs-n-tiger'!C$1:C$30,MATCH($H1023,'planning dogs-n-tiger'!$G$1:$G$42,0)),0)</f>
        <v>34489.476034356114</v>
      </c>
      <c r="D1023">
        <f>IFERROR(INDEX('planning dogs-n-tiger'!D$1:D$30,MATCH($H1023,'planning dogs-n-tiger'!$G$1:$G$42,0)),0)</f>
        <v>17790.750068888203</v>
      </c>
      <c r="E1023">
        <f t="shared" si="150"/>
        <v>42</v>
      </c>
      <c r="F1023">
        <f t="shared" si="151"/>
        <v>10</v>
      </c>
      <c r="G1023">
        <f t="shared" si="152"/>
        <v>2023</v>
      </c>
      <c r="H1023" t="str">
        <f t="shared" si="156"/>
        <v>102023</v>
      </c>
      <c r="I1023">
        <f t="shared" si="157"/>
        <v>31</v>
      </c>
      <c r="J1023">
        <f t="shared" si="153"/>
        <v>2447.6974586925739</v>
      </c>
      <c r="K1023">
        <f t="shared" si="154"/>
        <v>1112.5637430437457</v>
      </c>
      <c r="L1023">
        <f t="shared" si="155"/>
        <v>573.89516351252269</v>
      </c>
      <c r="M1023" t="str">
        <f t="shared" si="158"/>
        <v>422023</v>
      </c>
      <c r="N1023" t="str">
        <f t="shared" si="159"/>
        <v>42-10-2023</v>
      </c>
    </row>
    <row r="1024" spans="1:14" x14ac:dyDescent="0.2">
      <c r="A1024" s="1">
        <v>45219</v>
      </c>
      <c r="B1024">
        <f>IFERROR(INDEX('planning dogs-n-tiger'!B$1:B$30,MATCH($H1024,'planning dogs-n-tiger'!$G$1:$G$42,0)),0)</f>
        <v>75878.621219469787</v>
      </c>
      <c r="C1024">
        <f>IFERROR(INDEX('planning dogs-n-tiger'!C$1:C$30,MATCH($H1024,'planning dogs-n-tiger'!$G$1:$G$42,0)),0)</f>
        <v>34489.476034356114</v>
      </c>
      <c r="D1024">
        <f>IFERROR(INDEX('planning dogs-n-tiger'!D$1:D$30,MATCH($H1024,'planning dogs-n-tiger'!$G$1:$G$42,0)),0)</f>
        <v>17790.750068888203</v>
      </c>
      <c r="E1024">
        <f t="shared" si="150"/>
        <v>42</v>
      </c>
      <c r="F1024">
        <f t="shared" si="151"/>
        <v>10</v>
      </c>
      <c r="G1024">
        <f t="shared" si="152"/>
        <v>2023</v>
      </c>
      <c r="H1024" t="str">
        <f t="shared" si="156"/>
        <v>102023</v>
      </c>
      <c r="I1024">
        <f t="shared" si="157"/>
        <v>31</v>
      </c>
      <c r="J1024">
        <f t="shared" si="153"/>
        <v>2447.6974586925739</v>
      </c>
      <c r="K1024">
        <f t="shared" si="154"/>
        <v>1112.5637430437457</v>
      </c>
      <c r="L1024">
        <f t="shared" si="155"/>
        <v>573.89516351252269</v>
      </c>
      <c r="M1024" t="str">
        <f t="shared" si="158"/>
        <v>422023</v>
      </c>
      <c r="N1024" t="str">
        <f t="shared" si="159"/>
        <v>42-10-2023</v>
      </c>
    </row>
    <row r="1025" spans="1:14" x14ac:dyDescent="0.2">
      <c r="A1025" s="1">
        <v>45220</v>
      </c>
      <c r="B1025">
        <f>IFERROR(INDEX('planning dogs-n-tiger'!B$1:B$30,MATCH($H1025,'planning dogs-n-tiger'!$G$1:$G$42,0)),0)</f>
        <v>75878.621219469787</v>
      </c>
      <c r="C1025">
        <f>IFERROR(INDEX('planning dogs-n-tiger'!C$1:C$30,MATCH($H1025,'planning dogs-n-tiger'!$G$1:$G$42,0)),0)</f>
        <v>34489.476034356114</v>
      </c>
      <c r="D1025">
        <f>IFERROR(INDEX('planning dogs-n-tiger'!D$1:D$30,MATCH($H1025,'planning dogs-n-tiger'!$G$1:$G$42,0)),0)</f>
        <v>17790.750068888203</v>
      </c>
      <c r="E1025">
        <f t="shared" si="150"/>
        <v>42</v>
      </c>
      <c r="F1025">
        <f t="shared" si="151"/>
        <v>10</v>
      </c>
      <c r="G1025">
        <f t="shared" si="152"/>
        <v>2023</v>
      </c>
      <c r="H1025" t="str">
        <f t="shared" si="156"/>
        <v>102023</v>
      </c>
      <c r="I1025">
        <f t="shared" si="157"/>
        <v>31</v>
      </c>
      <c r="J1025">
        <f t="shared" si="153"/>
        <v>2447.6974586925739</v>
      </c>
      <c r="K1025">
        <f t="shared" si="154"/>
        <v>1112.5637430437457</v>
      </c>
      <c r="L1025">
        <f t="shared" si="155"/>
        <v>573.89516351252269</v>
      </c>
      <c r="M1025" t="str">
        <f t="shared" si="158"/>
        <v>422023</v>
      </c>
      <c r="N1025" t="str">
        <f t="shared" si="159"/>
        <v>42-10-2023</v>
      </c>
    </row>
    <row r="1026" spans="1:14" x14ac:dyDescent="0.2">
      <c r="A1026" s="1">
        <v>45221</v>
      </c>
      <c r="B1026">
        <f>IFERROR(INDEX('planning dogs-n-tiger'!B$1:B$30,MATCH($H1026,'planning dogs-n-tiger'!$G$1:$G$42,0)),0)</f>
        <v>75878.621219469787</v>
      </c>
      <c r="C1026">
        <f>IFERROR(INDEX('planning dogs-n-tiger'!C$1:C$30,MATCH($H1026,'planning dogs-n-tiger'!$G$1:$G$42,0)),0)</f>
        <v>34489.476034356114</v>
      </c>
      <c r="D1026">
        <f>IFERROR(INDEX('planning dogs-n-tiger'!D$1:D$30,MATCH($H1026,'planning dogs-n-tiger'!$G$1:$G$42,0)),0)</f>
        <v>17790.750068888203</v>
      </c>
      <c r="E1026">
        <f t="shared" ref="E1026:E1089" si="160">_xlfn.ISOWEEKNUM(A1026)</f>
        <v>42</v>
      </c>
      <c r="F1026">
        <f t="shared" ref="F1026:F1089" si="161">MONTH(A1026)</f>
        <v>10</v>
      </c>
      <c r="G1026">
        <f t="shared" ref="G1026:G1089" si="162">YEAR(A1026)</f>
        <v>2023</v>
      </c>
      <c r="H1026" t="str">
        <f t="shared" si="156"/>
        <v>102023</v>
      </c>
      <c r="I1026">
        <f t="shared" si="157"/>
        <v>31</v>
      </c>
      <c r="J1026">
        <f t="shared" ref="J1026:J1089" si="163">B1026/$I1026</f>
        <v>2447.6974586925739</v>
      </c>
      <c r="K1026">
        <f t="shared" ref="K1026:K1089" si="164">C1026/$I1026</f>
        <v>1112.5637430437457</v>
      </c>
      <c r="L1026">
        <f t="shared" ref="L1026:L1089" si="165">D1026/$I1026</f>
        <v>573.89516351252269</v>
      </c>
      <c r="M1026" t="str">
        <f t="shared" si="158"/>
        <v>422023</v>
      </c>
      <c r="N1026" t="str">
        <f t="shared" si="159"/>
        <v>42-10-2023</v>
      </c>
    </row>
    <row r="1027" spans="1:14" x14ac:dyDescent="0.2">
      <c r="A1027" s="1">
        <v>45222</v>
      </c>
      <c r="B1027">
        <f>IFERROR(INDEX('planning dogs-n-tiger'!B$1:B$30,MATCH($H1027,'planning dogs-n-tiger'!$G$1:$G$42,0)),0)</f>
        <v>75878.621219469787</v>
      </c>
      <c r="C1027">
        <f>IFERROR(INDEX('planning dogs-n-tiger'!C$1:C$30,MATCH($H1027,'planning dogs-n-tiger'!$G$1:$G$42,0)),0)</f>
        <v>34489.476034356114</v>
      </c>
      <c r="D1027">
        <f>IFERROR(INDEX('planning dogs-n-tiger'!D$1:D$30,MATCH($H1027,'planning dogs-n-tiger'!$G$1:$G$42,0)),0)</f>
        <v>17790.750068888203</v>
      </c>
      <c r="E1027">
        <f t="shared" si="160"/>
        <v>43</v>
      </c>
      <c r="F1027">
        <f t="shared" si="161"/>
        <v>10</v>
      </c>
      <c r="G1027">
        <f t="shared" si="162"/>
        <v>2023</v>
      </c>
      <c r="H1027" t="str">
        <f t="shared" ref="H1027:H1090" si="166">F1027&amp;G1027</f>
        <v>102023</v>
      </c>
      <c r="I1027">
        <f t="shared" ref="I1027:I1090" si="167">DAY(EOMONTH(DATE(G1027,F1027,0),1))</f>
        <v>31</v>
      </c>
      <c r="J1027">
        <f t="shared" si="163"/>
        <v>2447.6974586925739</v>
      </c>
      <c r="K1027">
        <f t="shared" si="164"/>
        <v>1112.5637430437457</v>
      </c>
      <c r="L1027">
        <f t="shared" si="165"/>
        <v>573.89516351252269</v>
      </c>
      <c r="M1027" t="str">
        <f t="shared" ref="M1027:M1090" si="168">E1027&amp;G1027</f>
        <v>432023</v>
      </c>
      <c r="N1027" t="str">
        <f t="shared" ref="N1027:N1090" si="169">E1027&amp;"-"&amp;F1027&amp;"-"&amp;G1027</f>
        <v>43-10-2023</v>
      </c>
    </row>
    <row r="1028" spans="1:14" x14ac:dyDescent="0.2">
      <c r="A1028" s="1">
        <v>45223</v>
      </c>
      <c r="B1028">
        <f>IFERROR(INDEX('planning dogs-n-tiger'!B$1:B$30,MATCH($H1028,'planning dogs-n-tiger'!$G$1:$G$42,0)),0)</f>
        <v>75878.621219469787</v>
      </c>
      <c r="C1028">
        <f>IFERROR(INDEX('planning dogs-n-tiger'!C$1:C$30,MATCH($H1028,'planning dogs-n-tiger'!$G$1:$G$42,0)),0)</f>
        <v>34489.476034356114</v>
      </c>
      <c r="D1028">
        <f>IFERROR(INDEX('planning dogs-n-tiger'!D$1:D$30,MATCH($H1028,'planning dogs-n-tiger'!$G$1:$G$42,0)),0)</f>
        <v>17790.750068888203</v>
      </c>
      <c r="E1028">
        <f t="shared" si="160"/>
        <v>43</v>
      </c>
      <c r="F1028">
        <f t="shared" si="161"/>
        <v>10</v>
      </c>
      <c r="G1028">
        <f t="shared" si="162"/>
        <v>2023</v>
      </c>
      <c r="H1028" t="str">
        <f t="shared" si="166"/>
        <v>102023</v>
      </c>
      <c r="I1028">
        <f t="shared" si="167"/>
        <v>31</v>
      </c>
      <c r="J1028">
        <f t="shared" si="163"/>
        <v>2447.6974586925739</v>
      </c>
      <c r="K1028">
        <f t="shared" si="164"/>
        <v>1112.5637430437457</v>
      </c>
      <c r="L1028">
        <f t="shared" si="165"/>
        <v>573.89516351252269</v>
      </c>
      <c r="M1028" t="str">
        <f t="shared" si="168"/>
        <v>432023</v>
      </c>
      <c r="N1028" t="str">
        <f t="shared" si="169"/>
        <v>43-10-2023</v>
      </c>
    </row>
    <row r="1029" spans="1:14" x14ac:dyDescent="0.2">
      <c r="A1029" s="1">
        <v>45224</v>
      </c>
      <c r="B1029">
        <f>IFERROR(INDEX('planning dogs-n-tiger'!B$1:B$30,MATCH($H1029,'planning dogs-n-tiger'!$G$1:$G$42,0)),0)</f>
        <v>75878.621219469787</v>
      </c>
      <c r="C1029">
        <f>IFERROR(INDEX('planning dogs-n-tiger'!C$1:C$30,MATCH($H1029,'planning dogs-n-tiger'!$G$1:$G$42,0)),0)</f>
        <v>34489.476034356114</v>
      </c>
      <c r="D1029">
        <f>IFERROR(INDEX('planning dogs-n-tiger'!D$1:D$30,MATCH($H1029,'planning dogs-n-tiger'!$G$1:$G$42,0)),0)</f>
        <v>17790.750068888203</v>
      </c>
      <c r="E1029">
        <f t="shared" si="160"/>
        <v>43</v>
      </c>
      <c r="F1029">
        <f t="shared" si="161"/>
        <v>10</v>
      </c>
      <c r="G1029">
        <f t="shared" si="162"/>
        <v>2023</v>
      </c>
      <c r="H1029" t="str">
        <f t="shared" si="166"/>
        <v>102023</v>
      </c>
      <c r="I1029">
        <f t="shared" si="167"/>
        <v>31</v>
      </c>
      <c r="J1029">
        <f t="shared" si="163"/>
        <v>2447.6974586925739</v>
      </c>
      <c r="K1029">
        <f t="shared" si="164"/>
        <v>1112.5637430437457</v>
      </c>
      <c r="L1029">
        <f t="shared" si="165"/>
        <v>573.89516351252269</v>
      </c>
      <c r="M1029" t="str">
        <f t="shared" si="168"/>
        <v>432023</v>
      </c>
      <c r="N1029" t="str">
        <f t="shared" si="169"/>
        <v>43-10-2023</v>
      </c>
    </row>
    <row r="1030" spans="1:14" x14ac:dyDescent="0.2">
      <c r="A1030" s="1">
        <v>45225</v>
      </c>
      <c r="B1030">
        <f>IFERROR(INDEX('planning dogs-n-tiger'!B$1:B$30,MATCH($H1030,'planning dogs-n-tiger'!$G$1:$G$42,0)),0)</f>
        <v>75878.621219469787</v>
      </c>
      <c r="C1030">
        <f>IFERROR(INDEX('planning dogs-n-tiger'!C$1:C$30,MATCH($H1030,'planning dogs-n-tiger'!$G$1:$G$42,0)),0)</f>
        <v>34489.476034356114</v>
      </c>
      <c r="D1030">
        <f>IFERROR(INDEX('planning dogs-n-tiger'!D$1:D$30,MATCH($H1030,'planning dogs-n-tiger'!$G$1:$G$42,0)),0)</f>
        <v>17790.750068888203</v>
      </c>
      <c r="E1030">
        <f t="shared" si="160"/>
        <v>43</v>
      </c>
      <c r="F1030">
        <f t="shared" si="161"/>
        <v>10</v>
      </c>
      <c r="G1030">
        <f t="shared" si="162"/>
        <v>2023</v>
      </c>
      <c r="H1030" t="str">
        <f t="shared" si="166"/>
        <v>102023</v>
      </c>
      <c r="I1030">
        <f t="shared" si="167"/>
        <v>31</v>
      </c>
      <c r="J1030">
        <f t="shared" si="163"/>
        <v>2447.6974586925739</v>
      </c>
      <c r="K1030">
        <f t="shared" si="164"/>
        <v>1112.5637430437457</v>
      </c>
      <c r="L1030">
        <f t="shared" si="165"/>
        <v>573.89516351252269</v>
      </c>
      <c r="M1030" t="str">
        <f t="shared" si="168"/>
        <v>432023</v>
      </c>
      <c r="N1030" t="str">
        <f t="shared" si="169"/>
        <v>43-10-2023</v>
      </c>
    </row>
    <row r="1031" spans="1:14" x14ac:dyDescent="0.2">
      <c r="A1031" s="1">
        <v>45226</v>
      </c>
      <c r="B1031">
        <f>IFERROR(INDEX('planning dogs-n-tiger'!B$1:B$30,MATCH($H1031,'planning dogs-n-tiger'!$G$1:$G$42,0)),0)</f>
        <v>75878.621219469787</v>
      </c>
      <c r="C1031">
        <f>IFERROR(INDEX('planning dogs-n-tiger'!C$1:C$30,MATCH($H1031,'planning dogs-n-tiger'!$G$1:$G$42,0)),0)</f>
        <v>34489.476034356114</v>
      </c>
      <c r="D1031">
        <f>IFERROR(INDEX('planning dogs-n-tiger'!D$1:D$30,MATCH($H1031,'planning dogs-n-tiger'!$G$1:$G$42,0)),0)</f>
        <v>17790.750068888203</v>
      </c>
      <c r="E1031">
        <f t="shared" si="160"/>
        <v>43</v>
      </c>
      <c r="F1031">
        <f t="shared" si="161"/>
        <v>10</v>
      </c>
      <c r="G1031">
        <f t="shared" si="162"/>
        <v>2023</v>
      </c>
      <c r="H1031" t="str">
        <f t="shared" si="166"/>
        <v>102023</v>
      </c>
      <c r="I1031">
        <f t="shared" si="167"/>
        <v>31</v>
      </c>
      <c r="J1031">
        <f t="shared" si="163"/>
        <v>2447.6974586925739</v>
      </c>
      <c r="K1031">
        <f t="shared" si="164"/>
        <v>1112.5637430437457</v>
      </c>
      <c r="L1031">
        <f t="shared" si="165"/>
        <v>573.89516351252269</v>
      </c>
      <c r="M1031" t="str">
        <f t="shared" si="168"/>
        <v>432023</v>
      </c>
      <c r="N1031" t="str">
        <f t="shared" si="169"/>
        <v>43-10-2023</v>
      </c>
    </row>
    <row r="1032" spans="1:14" x14ac:dyDescent="0.2">
      <c r="A1032" s="1">
        <v>45227</v>
      </c>
      <c r="B1032">
        <f>IFERROR(INDEX('planning dogs-n-tiger'!B$1:B$30,MATCH($H1032,'planning dogs-n-tiger'!$G$1:$G$42,0)),0)</f>
        <v>75878.621219469787</v>
      </c>
      <c r="C1032">
        <f>IFERROR(INDEX('planning dogs-n-tiger'!C$1:C$30,MATCH($H1032,'planning dogs-n-tiger'!$G$1:$G$42,0)),0)</f>
        <v>34489.476034356114</v>
      </c>
      <c r="D1032">
        <f>IFERROR(INDEX('planning dogs-n-tiger'!D$1:D$30,MATCH($H1032,'planning dogs-n-tiger'!$G$1:$G$42,0)),0)</f>
        <v>17790.750068888203</v>
      </c>
      <c r="E1032">
        <f t="shared" si="160"/>
        <v>43</v>
      </c>
      <c r="F1032">
        <f t="shared" si="161"/>
        <v>10</v>
      </c>
      <c r="G1032">
        <f t="shared" si="162"/>
        <v>2023</v>
      </c>
      <c r="H1032" t="str">
        <f t="shared" si="166"/>
        <v>102023</v>
      </c>
      <c r="I1032">
        <f t="shared" si="167"/>
        <v>31</v>
      </c>
      <c r="J1032">
        <f t="shared" si="163"/>
        <v>2447.6974586925739</v>
      </c>
      <c r="K1032">
        <f t="shared" si="164"/>
        <v>1112.5637430437457</v>
      </c>
      <c r="L1032">
        <f t="shared" si="165"/>
        <v>573.89516351252269</v>
      </c>
      <c r="M1032" t="str">
        <f t="shared" si="168"/>
        <v>432023</v>
      </c>
      <c r="N1032" t="str">
        <f t="shared" si="169"/>
        <v>43-10-2023</v>
      </c>
    </row>
    <row r="1033" spans="1:14" x14ac:dyDescent="0.2">
      <c r="A1033" s="1">
        <v>45228</v>
      </c>
      <c r="B1033">
        <f>IFERROR(INDEX('planning dogs-n-tiger'!B$1:B$30,MATCH($H1033,'planning dogs-n-tiger'!$G$1:$G$42,0)),0)</f>
        <v>75878.621219469787</v>
      </c>
      <c r="C1033">
        <f>IFERROR(INDEX('planning dogs-n-tiger'!C$1:C$30,MATCH($H1033,'planning dogs-n-tiger'!$G$1:$G$42,0)),0)</f>
        <v>34489.476034356114</v>
      </c>
      <c r="D1033">
        <f>IFERROR(INDEX('planning dogs-n-tiger'!D$1:D$30,MATCH($H1033,'planning dogs-n-tiger'!$G$1:$G$42,0)),0)</f>
        <v>17790.750068888203</v>
      </c>
      <c r="E1033">
        <f t="shared" si="160"/>
        <v>43</v>
      </c>
      <c r="F1033">
        <f t="shared" si="161"/>
        <v>10</v>
      </c>
      <c r="G1033">
        <f t="shared" si="162"/>
        <v>2023</v>
      </c>
      <c r="H1033" t="str">
        <f t="shared" si="166"/>
        <v>102023</v>
      </c>
      <c r="I1033">
        <f t="shared" si="167"/>
        <v>31</v>
      </c>
      <c r="J1033">
        <f t="shared" si="163"/>
        <v>2447.6974586925739</v>
      </c>
      <c r="K1033">
        <f t="shared" si="164"/>
        <v>1112.5637430437457</v>
      </c>
      <c r="L1033">
        <f t="shared" si="165"/>
        <v>573.89516351252269</v>
      </c>
      <c r="M1033" t="str">
        <f t="shared" si="168"/>
        <v>432023</v>
      </c>
      <c r="N1033" t="str">
        <f t="shared" si="169"/>
        <v>43-10-2023</v>
      </c>
    </row>
    <row r="1034" spans="1:14" x14ac:dyDescent="0.2">
      <c r="A1034" s="1">
        <v>45229</v>
      </c>
      <c r="B1034">
        <f>IFERROR(INDEX('planning dogs-n-tiger'!B$1:B$30,MATCH($H1034,'planning dogs-n-tiger'!$G$1:$G$42,0)),0)</f>
        <v>75878.621219469787</v>
      </c>
      <c r="C1034">
        <f>IFERROR(INDEX('planning dogs-n-tiger'!C$1:C$30,MATCH($H1034,'planning dogs-n-tiger'!$G$1:$G$42,0)),0)</f>
        <v>34489.476034356114</v>
      </c>
      <c r="D1034">
        <f>IFERROR(INDEX('planning dogs-n-tiger'!D$1:D$30,MATCH($H1034,'planning dogs-n-tiger'!$G$1:$G$42,0)),0)</f>
        <v>17790.750068888203</v>
      </c>
      <c r="E1034">
        <f t="shared" si="160"/>
        <v>44</v>
      </c>
      <c r="F1034">
        <f t="shared" si="161"/>
        <v>10</v>
      </c>
      <c r="G1034">
        <f t="shared" si="162"/>
        <v>2023</v>
      </c>
      <c r="H1034" t="str">
        <f t="shared" si="166"/>
        <v>102023</v>
      </c>
      <c r="I1034">
        <f t="shared" si="167"/>
        <v>31</v>
      </c>
      <c r="J1034">
        <f t="shared" si="163"/>
        <v>2447.6974586925739</v>
      </c>
      <c r="K1034">
        <f t="shared" si="164"/>
        <v>1112.5637430437457</v>
      </c>
      <c r="L1034">
        <f t="shared" si="165"/>
        <v>573.89516351252269</v>
      </c>
      <c r="M1034" t="str">
        <f t="shared" si="168"/>
        <v>442023</v>
      </c>
      <c r="N1034" t="str">
        <f t="shared" si="169"/>
        <v>44-10-2023</v>
      </c>
    </row>
    <row r="1035" spans="1:14" x14ac:dyDescent="0.2">
      <c r="A1035" s="1">
        <v>45230</v>
      </c>
      <c r="B1035">
        <f>IFERROR(INDEX('planning dogs-n-tiger'!B$1:B$30,MATCH($H1035,'planning dogs-n-tiger'!$G$1:$G$42,0)),0)</f>
        <v>75878.621219469787</v>
      </c>
      <c r="C1035">
        <f>IFERROR(INDEX('planning dogs-n-tiger'!C$1:C$30,MATCH($H1035,'planning dogs-n-tiger'!$G$1:$G$42,0)),0)</f>
        <v>34489.476034356114</v>
      </c>
      <c r="D1035">
        <f>IFERROR(INDEX('planning dogs-n-tiger'!D$1:D$30,MATCH($H1035,'planning dogs-n-tiger'!$G$1:$G$42,0)),0)</f>
        <v>17790.750068888203</v>
      </c>
      <c r="E1035">
        <f t="shared" si="160"/>
        <v>44</v>
      </c>
      <c r="F1035">
        <f t="shared" si="161"/>
        <v>10</v>
      </c>
      <c r="G1035">
        <f t="shared" si="162"/>
        <v>2023</v>
      </c>
      <c r="H1035" t="str">
        <f t="shared" si="166"/>
        <v>102023</v>
      </c>
      <c r="I1035">
        <f t="shared" si="167"/>
        <v>31</v>
      </c>
      <c r="J1035">
        <f t="shared" si="163"/>
        <v>2447.6974586925739</v>
      </c>
      <c r="K1035">
        <f t="shared" si="164"/>
        <v>1112.5637430437457</v>
      </c>
      <c r="L1035">
        <f t="shared" si="165"/>
        <v>573.89516351252269</v>
      </c>
      <c r="M1035" t="str">
        <f t="shared" si="168"/>
        <v>442023</v>
      </c>
      <c r="N1035" t="str">
        <f t="shared" si="169"/>
        <v>44-10-2023</v>
      </c>
    </row>
    <row r="1036" spans="1:14" x14ac:dyDescent="0.2">
      <c r="A1036" s="1">
        <v>45231</v>
      </c>
      <c r="B1036">
        <f>IFERROR(INDEX('planning dogs-n-tiger'!B$1:B$30,MATCH($H1036,'planning dogs-n-tiger'!$G$1:$G$42,0)),0)</f>
        <v>71229.951850244965</v>
      </c>
      <c r="C1036">
        <f>IFERROR(INDEX('planning dogs-n-tiger'!C$1:C$30,MATCH($H1036,'planning dogs-n-tiger'!$G$1:$G$42,0)),0)</f>
        <v>25187.208338969634</v>
      </c>
      <c r="D1036">
        <f>IFERROR(INDEX('planning dogs-n-tiger'!D$1:D$30,MATCH($H1036,'planning dogs-n-tiger'!$G$1:$G$42,0)),0)</f>
        <v>20033.093741184806</v>
      </c>
      <c r="E1036">
        <f t="shared" si="160"/>
        <v>44</v>
      </c>
      <c r="F1036">
        <f t="shared" si="161"/>
        <v>11</v>
      </c>
      <c r="G1036">
        <f t="shared" si="162"/>
        <v>2023</v>
      </c>
      <c r="H1036" t="str">
        <f t="shared" si="166"/>
        <v>112023</v>
      </c>
      <c r="I1036">
        <f t="shared" si="167"/>
        <v>30</v>
      </c>
      <c r="J1036">
        <f t="shared" si="163"/>
        <v>2374.331728341499</v>
      </c>
      <c r="K1036">
        <f t="shared" si="164"/>
        <v>839.57361129898777</v>
      </c>
      <c r="L1036">
        <f t="shared" si="165"/>
        <v>667.76979137282683</v>
      </c>
      <c r="M1036" t="str">
        <f t="shared" si="168"/>
        <v>442023</v>
      </c>
      <c r="N1036" t="str">
        <f t="shared" si="169"/>
        <v>44-11-2023</v>
      </c>
    </row>
    <row r="1037" spans="1:14" x14ac:dyDescent="0.2">
      <c r="A1037" s="1">
        <v>45232</v>
      </c>
      <c r="B1037">
        <f>IFERROR(INDEX('planning dogs-n-tiger'!B$1:B$30,MATCH($H1037,'planning dogs-n-tiger'!$G$1:$G$42,0)),0)</f>
        <v>71229.951850244965</v>
      </c>
      <c r="C1037">
        <f>IFERROR(INDEX('planning dogs-n-tiger'!C$1:C$30,MATCH($H1037,'planning dogs-n-tiger'!$G$1:$G$42,0)),0)</f>
        <v>25187.208338969634</v>
      </c>
      <c r="D1037">
        <f>IFERROR(INDEX('planning dogs-n-tiger'!D$1:D$30,MATCH($H1037,'planning dogs-n-tiger'!$G$1:$G$42,0)),0)</f>
        <v>20033.093741184806</v>
      </c>
      <c r="E1037">
        <f t="shared" si="160"/>
        <v>44</v>
      </c>
      <c r="F1037">
        <f t="shared" si="161"/>
        <v>11</v>
      </c>
      <c r="G1037">
        <f t="shared" si="162"/>
        <v>2023</v>
      </c>
      <c r="H1037" t="str">
        <f t="shared" si="166"/>
        <v>112023</v>
      </c>
      <c r="I1037">
        <f t="shared" si="167"/>
        <v>30</v>
      </c>
      <c r="J1037">
        <f t="shared" si="163"/>
        <v>2374.331728341499</v>
      </c>
      <c r="K1037">
        <f t="shared" si="164"/>
        <v>839.57361129898777</v>
      </c>
      <c r="L1037">
        <f t="shared" si="165"/>
        <v>667.76979137282683</v>
      </c>
      <c r="M1037" t="str">
        <f t="shared" si="168"/>
        <v>442023</v>
      </c>
      <c r="N1037" t="str">
        <f t="shared" si="169"/>
        <v>44-11-2023</v>
      </c>
    </row>
    <row r="1038" spans="1:14" x14ac:dyDescent="0.2">
      <c r="A1038" s="1">
        <v>45233</v>
      </c>
      <c r="B1038">
        <f>IFERROR(INDEX('planning dogs-n-tiger'!B$1:B$30,MATCH($H1038,'planning dogs-n-tiger'!$G$1:$G$42,0)),0)</f>
        <v>71229.951850244965</v>
      </c>
      <c r="C1038">
        <f>IFERROR(INDEX('planning dogs-n-tiger'!C$1:C$30,MATCH($H1038,'planning dogs-n-tiger'!$G$1:$G$42,0)),0)</f>
        <v>25187.208338969634</v>
      </c>
      <c r="D1038">
        <f>IFERROR(INDEX('planning dogs-n-tiger'!D$1:D$30,MATCH($H1038,'planning dogs-n-tiger'!$G$1:$G$42,0)),0)</f>
        <v>20033.093741184806</v>
      </c>
      <c r="E1038">
        <f t="shared" si="160"/>
        <v>44</v>
      </c>
      <c r="F1038">
        <f t="shared" si="161"/>
        <v>11</v>
      </c>
      <c r="G1038">
        <f t="shared" si="162"/>
        <v>2023</v>
      </c>
      <c r="H1038" t="str">
        <f t="shared" si="166"/>
        <v>112023</v>
      </c>
      <c r="I1038">
        <f t="shared" si="167"/>
        <v>30</v>
      </c>
      <c r="J1038">
        <f t="shared" si="163"/>
        <v>2374.331728341499</v>
      </c>
      <c r="K1038">
        <f t="shared" si="164"/>
        <v>839.57361129898777</v>
      </c>
      <c r="L1038">
        <f t="shared" si="165"/>
        <v>667.76979137282683</v>
      </c>
      <c r="M1038" t="str">
        <f t="shared" si="168"/>
        <v>442023</v>
      </c>
      <c r="N1038" t="str">
        <f t="shared" si="169"/>
        <v>44-11-2023</v>
      </c>
    </row>
    <row r="1039" spans="1:14" x14ac:dyDescent="0.2">
      <c r="A1039" s="1">
        <v>45234</v>
      </c>
      <c r="B1039">
        <f>IFERROR(INDEX('planning dogs-n-tiger'!B$1:B$30,MATCH($H1039,'planning dogs-n-tiger'!$G$1:$G$42,0)),0)</f>
        <v>71229.951850244965</v>
      </c>
      <c r="C1039">
        <f>IFERROR(INDEX('planning dogs-n-tiger'!C$1:C$30,MATCH($H1039,'planning dogs-n-tiger'!$G$1:$G$42,0)),0)</f>
        <v>25187.208338969634</v>
      </c>
      <c r="D1039">
        <f>IFERROR(INDEX('planning dogs-n-tiger'!D$1:D$30,MATCH($H1039,'planning dogs-n-tiger'!$G$1:$G$42,0)),0)</f>
        <v>20033.093741184806</v>
      </c>
      <c r="E1039">
        <f t="shared" si="160"/>
        <v>44</v>
      </c>
      <c r="F1039">
        <f t="shared" si="161"/>
        <v>11</v>
      </c>
      <c r="G1039">
        <f t="shared" si="162"/>
        <v>2023</v>
      </c>
      <c r="H1039" t="str">
        <f t="shared" si="166"/>
        <v>112023</v>
      </c>
      <c r="I1039">
        <f t="shared" si="167"/>
        <v>30</v>
      </c>
      <c r="J1039">
        <f t="shared" si="163"/>
        <v>2374.331728341499</v>
      </c>
      <c r="K1039">
        <f t="shared" si="164"/>
        <v>839.57361129898777</v>
      </c>
      <c r="L1039">
        <f t="shared" si="165"/>
        <v>667.76979137282683</v>
      </c>
      <c r="M1039" t="str">
        <f t="shared" si="168"/>
        <v>442023</v>
      </c>
      <c r="N1039" t="str">
        <f t="shared" si="169"/>
        <v>44-11-2023</v>
      </c>
    </row>
    <row r="1040" spans="1:14" x14ac:dyDescent="0.2">
      <c r="A1040" s="1">
        <v>45235</v>
      </c>
      <c r="B1040">
        <f>IFERROR(INDEX('planning dogs-n-tiger'!B$1:B$30,MATCH($H1040,'planning dogs-n-tiger'!$G$1:$G$42,0)),0)</f>
        <v>71229.951850244965</v>
      </c>
      <c r="C1040">
        <f>IFERROR(INDEX('planning dogs-n-tiger'!C$1:C$30,MATCH($H1040,'planning dogs-n-tiger'!$G$1:$G$42,0)),0)</f>
        <v>25187.208338969634</v>
      </c>
      <c r="D1040">
        <f>IFERROR(INDEX('planning dogs-n-tiger'!D$1:D$30,MATCH($H1040,'planning dogs-n-tiger'!$G$1:$G$42,0)),0)</f>
        <v>20033.093741184806</v>
      </c>
      <c r="E1040">
        <f t="shared" si="160"/>
        <v>44</v>
      </c>
      <c r="F1040">
        <f t="shared" si="161"/>
        <v>11</v>
      </c>
      <c r="G1040">
        <f t="shared" si="162"/>
        <v>2023</v>
      </c>
      <c r="H1040" t="str">
        <f t="shared" si="166"/>
        <v>112023</v>
      </c>
      <c r="I1040">
        <f t="shared" si="167"/>
        <v>30</v>
      </c>
      <c r="J1040">
        <f t="shared" si="163"/>
        <v>2374.331728341499</v>
      </c>
      <c r="K1040">
        <f t="shared" si="164"/>
        <v>839.57361129898777</v>
      </c>
      <c r="L1040">
        <f t="shared" si="165"/>
        <v>667.76979137282683</v>
      </c>
      <c r="M1040" t="str">
        <f t="shared" si="168"/>
        <v>442023</v>
      </c>
      <c r="N1040" t="str">
        <f t="shared" si="169"/>
        <v>44-11-2023</v>
      </c>
    </row>
    <row r="1041" spans="1:14" x14ac:dyDescent="0.2">
      <c r="A1041" s="1">
        <v>45236</v>
      </c>
      <c r="B1041">
        <f>IFERROR(INDEX('planning dogs-n-tiger'!B$1:B$30,MATCH($H1041,'planning dogs-n-tiger'!$G$1:$G$42,0)),0)</f>
        <v>71229.951850244965</v>
      </c>
      <c r="C1041">
        <f>IFERROR(INDEX('planning dogs-n-tiger'!C$1:C$30,MATCH($H1041,'planning dogs-n-tiger'!$G$1:$G$42,0)),0)</f>
        <v>25187.208338969634</v>
      </c>
      <c r="D1041">
        <f>IFERROR(INDEX('planning dogs-n-tiger'!D$1:D$30,MATCH($H1041,'planning dogs-n-tiger'!$G$1:$G$42,0)),0)</f>
        <v>20033.093741184806</v>
      </c>
      <c r="E1041">
        <f t="shared" si="160"/>
        <v>45</v>
      </c>
      <c r="F1041">
        <f t="shared" si="161"/>
        <v>11</v>
      </c>
      <c r="G1041">
        <f t="shared" si="162"/>
        <v>2023</v>
      </c>
      <c r="H1041" t="str">
        <f t="shared" si="166"/>
        <v>112023</v>
      </c>
      <c r="I1041">
        <f t="shared" si="167"/>
        <v>30</v>
      </c>
      <c r="J1041">
        <f t="shared" si="163"/>
        <v>2374.331728341499</v>
      </c>
      <c r="K1041">
        <f t="shared" si="164"/>
        <v>839.57361129898777</v>
      </c>
      <c r="L1041">
        <f t="shared" si="165"/>
        <v>667.76979137282683</v>
      </c>
      <c r="M1041" t="str">
        <f t="shared" si="168"/>
        <v>452023</v>
      </c>
      <c r="N1041" t="str">
        <f t="shared" si="169"/>
        <v>45-11-2023</v>
      </c>
    </row>
    <row r="1042" spans="1:14" x14ac:dyDescent="0.2">
      <c r="A1042" s="1">
        <v>45237</v>
      </c>
      <c r="B1042">
        <f>IFERROR(INDEX('planning dogs-n-tiger'!B$1:B$30,MATCH($H1042,'planning dogs-n-tiger'!$G$1:$G$42,0)),0)</f>
        <v>71229.951850244965</v>
      </c>
      <c r="C1042">
        <f>IFERROR(INDEX('planning dogs-n-tiger'!C$1:C$30,MATCH($H1042,'planning dogs-n-tiger'!$G$1:$G$42,0)),0)</f>
        <v>25187.208338969634</v>
      </c>
      <c r="D1042">
        <f>IFERROR(INDEX('planning dogs-n-tiger'!D$1:D$30,MATCH($H1042,'planning dogs-n-tiger'!$G$1:$G$42,0)),0)</f>
        <v>20033.093741184806</v>
      </c>
      <c r="E1042">
        <f t="shared" si="160"/>
        <v>45</v>
      </c>
      <c r="F1042">
        <f t="shared" si="161"/>
        <v>11</v>
      </c>
      <c r="G1042">
        <f t="shared" si="162"/>
        <v>2023</v>
      </c>
      <c r="H1042" t="str">
        <f t="shared" si="166"/>
        <v>112023</v>
      </c>
      <c r="I1042">
        <f t="shared" si="167"/>
        <v>30</v>
      </c>
      <c r="J1042">
        <f t="shared" si="163"/>
        <v>2374.331728341499</v>
      </c>
      <c r="K1042">
        <f t="shared" si="164"/>
        <v>839.57361129898777</v>
      </c>
      <c r="L1042">
        <f t="shared" si="165"/>
        <v>667.76979137282683</v>
      </c>
      <c r="M1042" t="str">
        <f t="shared" si="168"/>
        <v>452023</v>
      </c>
      <c r="N1042" t="str">
        <f t="shared" si="169"/>
        <v>45-11-2023</v>
      </c>
    </row>
    <row r="1043" spans="1:14" x14ac:dyDescent="0.2">
      <c r="A1043" s="1">
        <v>45238</v>
      </c>
      <c r="B1043">
        <f>IFERROR(INDEX('planning dogs-n-tiger'!B$1:B$30,MATCH($H1043,'planning dogs-n-tiger'!$G$1:$G$42,0)),0)</f>
        <v>71229.951850244965</v>
      </c>
      <c r="C1043">
        <f>IFERROR(INDEX('planning dogs-n-tiger'!C$1:C$30,MATCH($H1043,'planning dogs-n-tiger'!$G$1:$G$42,0)),0)</f>
        <v>25187.208338969634</v>
      </c>
      <c r="D1043">
        <f>IFERROR(INDEX('planning dogs-n-tiger'!D$1:D$30,MATCH($H1043,'planning dogs-n-tiger'!$G$1:$G$42,0)),0)</f>
        <v>20033.093741184806</v>
      </c>
      <c r="E1043">
        <f t="shared" si="160"/>
        <v>45</v>
      </c>
      <c r="F1043">
        <f t="shared" si="161"/>
        <v>11</v>
      </c>
      <c r="G1043">
        <f t="shared" si="162"/>
        <v>2023</v>
      </c>
      <c r="H1043" t="str">
        <f t="shared" si="166"/>
        <v>112023</v>
      </c>
      <c r="I1043">
        <f t="shared" si="167"/>
        <v>30</v>
      </c>
      <c r="J1043">
        <f t="shared" si="163"/>
        <v>2374.331728341499</v>
      </c>
      <c r="K1043">
        <f t="shared" si="164"/>
        <v>839.57361129898777</v>
      </c>
      <c r="L1043">
        <f t="shared" si="165"/>
        <v>667.76979137282683</v>
      </c>
      <c r="M1043" t="str">
        <f t="shared" si="168"/>
        <v>452023</v>
      </c>
      <c r="N1043" t="str">
        <f t="shared" si="169"/>
        <v>45-11-2023</v>
      </c>
    </row>
    <row r="1044" spans="1:14" x14ac:dyDescent="0.2">
      <c r="A1044" s="1">
        <v>45239</v>
      </c>
      <c r="B1044">
        <f>IFERROR(INDEX('planning dogs-n-tiger'!B$1:B$30,MATCH($H1044,'planning dogs-n-tiger'!$G$1:$G$42,0)),0)</f>
        <v>71229.951850244965</v>
      </c>
      <c r="C1044">
        <f>IFERROR(INDEX('planning dogs-n-tiger'!C$1:C$30,MATCH($H1044,'planning dogs-n-tiger'!$G$1:$G$42,0)),0)</f>
        <v>25187.208338969634</v>
      </c>
      <c r="D1044">
        <f>IFERROR(INDEX('planning dogs-n-tiger'!D$1:D$30,MATCH($H1044,'planning dogs-n-tiger'!$G$1:$G$42,0)),0)</f>
        <v>20033.093741184806</v>
      </c>
      <c r="E1044">
        <f t="shared" si="160"/>
        <v>45</v>
      </c>
      <c r="F1044">
        <f t="shared" si="161"/>
        <v>11</v>
      </c>
      <c r="G1044">
        <f t="shared" si="162"/>
        <v>2023</v>
      </c>
      <c r="H1044" t="str">
        <f t="shared" si="166"/>
        <v>112023</v>
      </c>
      <c r="I1044">
        <f t="shared" si="167"/>
        <v>30</v>
      </c>
      <c r="J1044">
        <f t="shared" si="163"/>
        <v>2374.331728341499</v>
      </c>
      <c r="K1044">
        <f t="shared" si="164"/>
        <v>839.57361129898777</v>
      </c>
      <c r="L1044">
        <f t="shared" si="165"/>
        <v>667.76979137282683</v>
      </c>
      <c r="M1044" t="str">
        <f t="shared" si="168"/>
        <v>452023</v>
      </c>
      <c r="N1044" t="str">
        <f t="shared" si="169"/>
        <v>45-11-2023</v>
      </c>
    </row>
    <row r="1045" spans="1:14" x14ac:dyDescent="0.2">
      <c r="A1045" s="1">
        <v>45240</v>
      </c>
      <c r="B1045">
        <f>IFERROR(INDEX('planning dogs-n-tiger'!B$1:B$30,MATCH($H1045,'planning dogs-n-tiger'!$G$1:$G$42,0)),0)</f>
        <v>71229.951850244965</v>
      </c>
      <c r="C1045">
        <f>IFERROR(INDEX('planning dogs-n-tiger'!C$1:C$30,MATCH($H1045,'planning dogs-n-tiger'!$G$1:$G$42,0)),0)</f>
        <v>25187.208338969634</v>
      </c>
      <c r="D1045">
        <f>IFERROR(INDEX('planning dogs-n-tiger'!D$1:D$30,MATCH($H1045,'planning dogs-n-tiger'!$G$1:$G$42,0)),0)</f>
        <v>20033.093741184806</v>
      </c>
      <c r="E1045">
        <f t="shared" si="160"/>
        <v>45</v>
      </c>
      <c r="F1045">
        <f t="shared" si="161"/>
        <v>11</v>
      </c>
      <c r="G1045">
        <f t="shared" si="162"/>
        <v>2023</v>
      </c>
      <c r="H1045" t="str">
        <f t="shared" si="166"/>
        <v>112023</v>
      </c>
      <c r="I1045">
        <f t="shared" si="167"/>
        <v>30</v>
      </c>
      <c r="J1045">
        <f t="shared" si="163"/>
        <v>2374.331728341499</v>
      </c>
      <c r="K1045">
        <f t="shared" si="164"/>
        <v>839.57361129898777</v>
      </c>
      <c r="L1045">
        <f t="shared" si="165"/>
        <v>667.76979137282683</v>
      </c>
      <c r="M1045" t="str">
        <f t="shared" si="168"/>
        <v>452023</v>
      </c>
      <c r="N1045" t="str">
        <f t="shared" si="169"/>
        <v>45-11-2023</v>
      </c>
    </row>
    <row r="1046" spans="1:14" x14ac:dyDescent="0.2">
      <c r="A1046" s="1">
        <v>45241</v>
      </c>
      <c r="B1046">
        <f>IFERROR(INDEX('planning dogs-n-tiger'!B$1:B$30,MATCH($H1046,'planning dogs-n-tiger'!$G$1:$G$42,0)),0)</f>
        <v>71229.951850244965</v>
      </c>
      <c r="C1046">
        <f>IFERROR(INDEX('planning dogs-n-tiger'!C$1:C$30,MATCH($H1046,'planning dogs-n-tiger'!$G$1:$G$42,0)),0)</f>
        <v>25187.208338969634</v>
      </c>
      <c r="D1046">
        <f>IFERROR(INDEX('planning dogs-n-tiger'!D$1:D$30,MATCH($H1046,'planning dogs-n-tiger'!$G$1:$G$42,0)),0)</f>
        <v>20033.093741184806</v>
      </c>
      <c r="E1046">
        <f t="shared" si="160"/>
        <v>45</v>
      </c>
      <c r="F1046">
        <f t="shared" si="161"/>
        <v>11</v>
      </c>
      <c r="G1046">
        <f t="shared" si="162"/>
        <v>2023</v>
      </c>
      <c r="H1046" t="str">
        <f t="shared" si="166"/>
        <v>112023</v>
      </c>
      <c r="I1046">
        <f t="shared" si="167"/>
        <v>30</v>
      </c>
      <c r="J1046">
        <f t="shared" si="163"/>
        <v>2374.331728341499</v>
      </c>
      <c r="K1046">
        <f t="shared" si="164"/>
        <v>839.57361129898777</v>
      </c>
      <c r="L1046">
        <f t="shared" si="165"/>
        <v>667.76979137282683</v>
      </c>
      <c r="M1046" t="str">
        <f t="shared" si="168"/>
        <v>452023</v>
      </c>
      <c r="N1046" t="str">
        <f t="shared" si="169"/>
        <v>45-11-2023</v>
      </c>
    </row>
    <row r="1047" spans="1:14" x14ac:dyDescent="0.2">
      <c r="A1047" s="1">
        <v>45242</v>
      </c>
      <c r="B1047">
        <f>IFERROR(INDEX('planning dogs-n-tiger'!B$1:B$30,MATCH($H1047,'planning dogs-n-tiger'!$G$1:$G$42,0)),0)</f>
        <v>71229.951850244965</v>
      </c>
      <c r="C1047">
        <f>IFERROR(INDEX('planning dogs-n-tiger'!C$1:C$30,MATCH($H1047,'planning dogs-n-tiger'!$G$1:$G$42,0)),0)</f>
        <v>25187.208338969634</v>
      </c>
      <c r="D1047">
        <f>IFERROR(INDEX('planning dogs-n-tiger'!D$1:D$30,MATCH($H1047,'planning dogs-n-tiger'!$G$1:$G$42,0)),0)</f>
        <v>20033.093741184806</v>
      </c>
      <c r="E1047">
        <f t="shared" si="160"/>
        <v>45</v>
      </c>
      <c r="F1047">
        <f t="shared" si="161"/>
        <v>11</v>
      </c>
      <c r="G1047">
        <f t="shared" si="162"/>
        <v>2023</v>
      </c>
      <c r="H1047" t="str">
        <f t="shared" si="166"/>
        <v>112023</v>
      </c>
      <c r="I1047">
        <f t="shared" si="167"/>
        <v>30</v>
      </c>
      <c r="J1047">
        <f t="shared" si="163"/>
        <v>2374.331728341499</v>
      </c>
      <c r="K1047">
        <f t="shared" si="164"/>
        <v>839.57361129898777</v>
      </c>
      <c r="L1047">
        <f t="shared" si="165"/>
        <v>667.76979137282683</v>
      </c>
      <c r="M1047" t="str">
        <f t="shared" si="168"/>
        <v>452023</v>
      </c>
      <c r="N1047" t="str">
        <f t="shared" si="169"/>
        <v>45-11-2023</v>
      </c>
    </row>
    <row r="1048" spans="1:14" x14ac:dyDescent="0.2">
      <c r="A1048" s="1">
        <v>45243</v>
      </c>
      <c r="B1048">
        <f>IFERROR(INDEX('planning dogs-n-tiger'!B$1:B$30,MATCH($H1048,'planning dogs-n-tiger'!$G$1:$G$42,0)),0)</f>
        <v>71229.951850244965</v>
      </c>
      <c r="C1048">
        <f>IFERROR(INDEX('planning dogs-n-tiger'!C$1:C$30,MATCH($H1048,'planning dogs-n-tiger'!$G$1:$G$42,0)),0)</f>
        <v>25187.208338969634</v>
      </c>
      <c r="D1048">
        <f>IFERROR(INDEX('planning dogs-n-tiger'!D$1:D$30,MATCH($H1048,'planning dogs-n-tiger'!$G$1:$G$42,0)),0)</f>
        <v>20033.093741184806</v>
      </c>
      <c r="E1048">
        <f t="shared" si="160"/>
        <v>46</v>
      </c>
      <c r="F1048">
        <f t="shared" si="161"/>
        <v>11</v>
      </c>
      <c r="G1048">
        <f t="shared" si="162"/>
        <v>2023</v>
      </c>
      <c r="H1048" t="str">
        <f t="shared" si="166"/>
        <v>112023</v>
      </c>
      <c r="I1048">
        <f t="shared" si="167"/>
        <v>30</v>
      </c>
      <c r="J1048">
        <f t="shared" si="163"/>
        <v>2374.331728341499</v>
      </c>
      <c r="K1048">
        <f t="shared" si="164"/>
        <v>839.57361129898777</v>
      </c>
      <c r="L1048">
        <f t="shared" si="165"/>
        <v>667.76979137282683</v>
      </c>
      <c r="M1048" t="str">
        <f t="shared" si="168"/>
        <v>462023</v>
      </c>
      <c r="N1048" t="str">
        <f t="shared" si="169"/>
        <v>46-11-2023</v>
      </c>
    </row>
    <row r="1049" spans="1:14" x14ac:dyDescent="0.2">
      <c r="A1049" s="1">
        <v>45244</v>
      </c>
      <c r="B1049">
        <f>IFERROR(INDEX('planning dogs-n-tiger'!B$1:B$30,MATCH($H1049,'planning dogs-n-tiger'!$G$1:$G$42,0)),0)</f>
        <v>71229.951850244965</v>
      </c>
      <c r="C1049">
        <f>IFERROR(INDEX('planning dogs-n-tiger'!C$1:C$30,MATCH($H1049,'planning dogs-n-tiger'!$G$1:$G$42,0)),0)</f>
        <v>25187.208338969634</v>
      </c>
      <c r="D1049">
        <f>IFERROR(INDEX('planning dogs-n-tiger'!D$1:D$30,MATCH($H1049,'planning dogs-n-tiger'!$G$1:$G$42,0)),0)</f>
        <v>20033.093741184806</v>
      </c>
      <c r="E1049">
        <f t="shared" si="160"/>
        <v>46</v>
      </c>
      <c r="F1049">
        <f t="shared" si="161"/>
        <v>11</v>
      </c>
      <c r="G1049">
        <f t="shared" si="162"/>
        <v>2023</v>
      </c>
      <c r="H1049" t="str">
        <f t="shared" si="166"/>
        <v>112023</v>
      </c>
      <c r="I1049">
        <f t="shared" si="167"/>
        <v>30</v>
      </c>
      <c r="J1049">
        <f t="shared" si="163"/>
        <v>2374.331728341499</v>
      </c>
      <c r="K1049">
        <f t="shared" si="164"/>
        <v>839.57361129898777</v>
      </c>
      <c r="L1049">
        <f t="shared" si="165"/>
        <v>667.76979137282683</v>
      </c>
      <c r="M1049" t="str">
        <f t="shared" si="168"/>
        <v>462023</v>
      </c>
      <c r="N1049" t="str">
        <f t="shared" si="169"/>
        <v>46-11-2023</v>
      </c>
    </row>
    <row r="1050" spans="1:14" x14ac:dyDescent="0.2">
      <c r="A1050" s="1">
        <v>45245</v>
      </c>
      <c r="B1050">
        <f>IFERROR(INDEX('planning dogs-n-tiger'!B$1:B$30,MATCH($H1050,'planning dogs-n-tiger'!$G$1:$G$42,0)),0)</f>
        <v>71229.951850244965</v>
      </c>
      <c r="C1050">
        <f>IFERROR(INDEX('planning dogs-n-tiger'!C$1:C$30,MATCH($H1050,'planning dogs-n-tiger'!$G$1:$G$42,0)),0)</f>
        <v>25187.208338969634</v>
      </c>
      <c r="D1050">
        <f>IFERROR(INDEX('planning dogs-n-tiger'!D$1:D$30,MATCH($H1050,'planning dogs-n-tiger'!$G$1:$G$42,0)),0)</f>
        <v>20033.093741184806</v>
      </c>
      <c r="E1050">
        <f t="shared" si="160"/>
        <v>46</v>
      </c>
      <c r="F1050">
        <f t="shared" si="161"/>
        <v>11</v>
      </c>
      <c r="G1050">
        <f t="shared" si="162"/>
        <v>2023</v>
      </c>
      <c r="H1050" t="str">
        <f t="shared" si="166"/>
        <v>112023</v>
      </c>
      <c r="I1050">
        <f t="shared" si="167"/>
        <v>30</v>
      </c>
      <c r="J1050">
        <f t="shared" si="163"/>
        <v>2374.331728341499</v>
      </c>
      <c r="K1050">
        <f t="shared" si="164"/>
        <v>839.57361129898777</v>
      </c>
      <c r="L1050">
        <f t="shared" si="165"/>
        <v>667.76979137282683</v>
      </c>
      <c r="M1050" t="str">
        <f t="shared" si="168"/>
        <v>462023</v>
      </c>
      <c r="N1050" t="str">
        <f t="shared" si="169"/>
        <v>46-11-2023</v>
      </c>
    </row>
    <row r="1051" spans="1:14" x14ac:dyDescent="0.2">
      <c r="A1051" s="1">
        <v>45246</v>
      </c>
      <c r="B1051">
        <f>IFERROR(INDEX('planning dogs-n-tiger'!B$1:B$30,MATCH($H1051,'planning dogs-n-tiger'!$G$1:$G$42,0)),0)</f>
        <v>71229.951850244965</v>
      </c>
      <c r="C1051">
        <f>IFERROR(INDEX('planning dogs-n-tiger'!C$1:C$30,MATCH($H1051,'planning dogs-n-tiger'!$G$1:$G$42,0)),0)</f>
        <v>25187.208338969634</v>
      </c>
      <c r="D1051">
        <f>IFERROR(INDEX('planning dogs-n-tiger'!D$1:D$30,MATCH($H1051,'planning dogs-n-tiger'!$G$1:$G$42,0)),0)</f>
        <v>20033.093741184806</v>
      </c>
      <c r="E1051">
        <f t="shared" si="160"/>
        <v>46</v>
      </c>
      <c r="F1051">
        <f t="shared" si="161"/>
        <v>11</v>
      </c>
      <c r="G1051">
        <f t="shared" si="162"/>
        <v>2023</v>
      </c>
      <c r="H1051" t="str">
        <f t="shared" si="166"/>
        <v>112023</v>
      </c>
      <c r="I1051">
        <f t="shared" si="167"/>
        <v>30</v>
      </c>
      <c r="J1051">
        <f t="shared" si="163"/>
        <v>2374.331728341499</v>
      </c>
      <c r="K1051">
        <f t="shared" si="164"/>
        <v>839.57361129898777</v>
      </c>
      <c r="L1051">
        <f t="shared" si="165"/>
        <v>667.76979137282683</v>
      </c>
      <c r="M1051" t="str">
        <f t="shared" si="168"/>
        <v>462023</v>
      </c>
      <c r="N1051" t="str">
        <f t="shared" si="169"/>
        <v>46-11-2023</v>
      </c>
    </row>
    <row r="1052" spans="1:14" x14ac:dyDescent="0.2">
      <c r="A1052" s="1">
        <v>45247</v>
      </c>
      <c r="B1052">
        <f>IFERROR(INDEX('planning dogs-n-tiger'!B$1:B$30,MATCH($H1052,'planning dogs-n-tiger'!$G$1:$G$42,0)),0)</f>
        <v>71229.951850244965</v>
      </c>
      <c r="C1052">
        <f>IFERROR(INDEX('planning dogs-n-tiger'!C$1:C$30,MATCH($H1052,'planning dogs-n-tiger'!$G$1:$G$42,0)),0)</f>
        <v>25187.208338969634</v>
      </c>
      <c r="D1052">
        <f>IFERROR(INDEX('planning dogs-n-tiger'!D$1:D$30,MATCH($H1052,'planning dogs-n-tiger'!$G$1:$G$42,0)),0)</f>
        <v>20033.093741184806</v>
      </c>
      <c r="E1052">
        <f t="shared" si="160"/>
        <v>46</v>
      </c>
      <c r="F1052">
        <f t="shared" si="161"/>
        <v>11</v>
      </c>
      <c r="G1052">
        <f t="shared" si="162"/>
        <v>2023</v>
      </c>
      <c r="H1052" t="str">
        <f t="shared" si="166"/>
        <v>112023</v>
      </c>
      <c r="I1052">
        <f t="shared" si="167"/>
        <v>30</v>
      </c>
      <c r="J1052">
        <f t="shared" si="163"/>
        <v>2374.331728341499</v>
      </c>
      <c r="K1052">
        <f t="shared" si="164"/>
        <v>839.57361129898777</v>
      </c>
      <c r="L1052">
        <f t="shared" si="165"/>
        <v>667.76979137282683</v>
      </c>
      <c r="M1052" t="str">
        <f t="shared" si="168"/>
        <v>462023</v>
      </c>
      <c r="N1052" t="str">
        <f t="shared" si="169"/>
        <v>46-11-2023</v>
      </c>
    </row>
    <row r="1053" spans="1:14" x14ac:dyDescent="0.2">
      <c r="A1053" s="1">
        <v>45248</v>
      </c>
      <c r="B1053">
        <f>IFERROR(INDEX('planning dogs-n-tiger'!B$1:B$30,MATCH($H1053,'planning dogs-n-tiger'!$G$1:$G$42,0)),0)</f>
        <v>71229.951850244965</v>
      </c>
      <c r="C1053">
        <f>IFERROR(INDEX('planning dogs-n-tiger'!C$1:C$30,MATCH($H1053,'planning dogs-n-tiger'!$G$1:$G$42,0)),0)</f>
        <v>25187.208338969634</v>
      </c>
      <c r="D1053">
        <f>IFERROR(INDEX('planning dogs-n-tiger'!D$1:D$30,MATCH($H1053,'planning dogs-n-tiger'!$G$1:$G$42,0)),0)</f>
        <v>20033.093741184806</v>
      </c>
      <c r="E1053">
        <f t="shared" si="160"/>
        <v>46</v>
      </c>
      <c r="F1053">
        <f t="shared" si="161"/>
        <v>11</v>
      </c>
      <c r="G1053">
        <f t="shared" si="162"/>
        <v>2023</v>
      </c>
      <c r="H1053" t="str">
        <f t="shared" si="166"/>
        <v>112023</v>
      </c>
      <c r="I1053">
        <f t="shared" si="167"/>
        <v>30</v>
      </c>
      <c r="J1053">
        <f t="shared" si="163"/>
        <v>2374.331728341499</v>
      </c>
      <c r="K1053">
        <f t="shared" si="164"/>
        <v>839.57361129898777</v>
      </c>
      <c r="L1053">
        <f t="shared" si="165"/>
        <v>667.76979137282683</v>
      </c>
      <c r="M1053" t="str">
        <f t="shared" si="168"/>
        <v>462023</v>
      </c>
      <c r="N1053" t="str">
        <f t="shared" si="169"/>
        <v>46-11-2023</v>
      </c>
    </row>
    <row r="1054" spans="1:14" x14ac:dyDescent="0.2">
      <c r="A1054" s="1">
        <v>45249</v>
      </c>
      <c r="B1054">
        <f>IFERROR(INDEX('planning dogs-n-tiger'!B$1:B$30,MATCH($H1054,'planning dogs-n-tiger'!$G$1:$G$42,0)),0)</f>
        <v>71229.951850244965</v>
      </c>
      <c r="C1054">
        <f>IFERROR(INDEX('planning dogs-n-tiger'!C$1:C$30,MATCH($H1054,'planning dogs-n-tiger'!$G$1:$G$42,0)),0)</f>
        <v>25187.208338969634</v>
      </c>
      <c r="D1054">
        <f>IFERROR(INDEX('planning dogs-n-tiger'!D$1:D$30,MATCH($H1054,'planning dogs-n-tiger'!$G$1:$G$42,0)),0)</f>
        <v>20033.093741184806</v>
      </c>
      <c r="E1054">
        <f t="shared" si="160"/>
        <v>46</v>
      </c>
      <c r="F1054">
        <f t="shared" si="161"/>
        <v>11</v>
      </c>
      <c r="G1054">
        <f t="shared" si="162"/>
        <v>2023</v>
      </c>
      <c r="H1054" t="str">
        <f t="shared" si="166"/>
        <v>112023</v>
      </c>
      <c r="I1054">
        <f t="shared" si="167"/>
        <v>30</v>
      </c>
      <c r="J1054">
        <f t="shared" si="163"/>
        <v>2374.331728341499</v>
      </c>
      <c r="K1054">
        <f t="shared" si="164"/>
        <v>839.57361129898777</v>
      </c>
      <c r="L1054">
        <f t="shared" si="165"/>
        <v>667.76979137282683</v>
      </c>
      <c r="M1054" t="str">
        <f t="shared" si="168"/>
        <v>462023</v>
      </c>
      <c r="N1054" t="str">
        <f t="shared" si="169"/>
        <v>46-11-2023</v>
      </c>
    </row>
    <row r="1055" spans="1:14" x14ac:dyDescent="0.2">
      <c r="A1055" s="1">
        <v>45250</v>
      </c>
      <c r="B1055">
        <f>IFERROR(INDEX('planning dogs-n-tiger'!B$1:B$30,MATCH($H1055,'planning dogs-n-tiger'!$G$1:$G$42,0)),0)</f>
        <v>71229.951850244965</v>
      </c>
      <c r="C1055">
        <f>IFERROR(INDEX('planning dogs-n-tiger'!C$1:C$30,MATCH($H1055,'planning dogs-n-tiger'!$G$1:$G$42,0)),0)</f>
        <v>25187.208338969634</v>
      </c>
      <c r="D1055">
        <f>IFERROR(INDEX('planning dogs-n-tiger'!D$1:D$30,MATCH($H1055,'planning dogs-n-tiger'!$G$1:$G$42,0)),0)</f>
        <v>20033.093741184806</v>
      </c>
      <c r="E1055">
        <f t="shared" si="160"/>
        <v>47</v>
      </c>
      <c r="F1055">
        <f t="shared" si="161"/>
        <v>11</v>
      </c>
      <c r="G1055">
        <f t="shared" si="162"/>
        <v>2023</v>
      </c>
      <c r="H1055" t="str">
        <f t="shared" si="166"/>
        <v>112023</v>
      </c>
      <c r="I1055">
        <f t="shared" si="167"/>
        <v>30</v>
      </c>
      <c r="J1055">
        <f t="shared" si="163"/>
        <v>2374.331728341499</v>
      </c>
      <c r="K1055">
        <f t="shared" si="164"/>
        <v>839.57361129898777</v>
      </c>
      <c r="L1055">
        <f t="shared" si="165"/>
        <v>667.76979137282683</v>
      </c>
      <c r="M1055" t="str">
        <f t="shared" si="168"/>
        <v>472023</v>
      </c>
      <c r="N1055" t="str">
        <f t="shared" si="169"/>
        <v>47-11-2023</v>
      </c>
    </row>
    <row r="1056" spans="1:14" x14ac:dyDescent="0.2">
      <c r="A1056" s="1">
        <v>45251</v>
      </c>
      <c r="B1056">
        <f>IFERROR(INDEX('planning dogs-n-tiger'!B$1:B$30,MATCH($H1056,'planning dogs-n-tiger'!$G$1:$G$42,0)),0)</f>
        <v>71229.951850244965</v>
      </c>
      <c r="C1056">
        <f>IFERROR(INDEX('planning dogs-n-tiger'!C$1:C$30,MATCH($H1056,'planning dogs-n-tiger'!$G$1:$G$42,0)),0)</f>
        <v>25187.208338969634</v>
      </c>
      <c r="D1056">
        <f>IFERROR(INDEX('planning dogs-n-tiger'!D$1:D$30,MATCH($H1056,'planning dogs-n-tiger'!$G$1:$G$42,0)),0)</f>
        <v>20033.093741184806</v>
      </c>
      <c r="E1056">
        <f t="shared" si="160"/>
        <v>47</v>
      </c>
      <c r="F1056">
        <f t="shared" si="161"/>
        <v>11</v>
      </c>
      <c r="G1056">
        <f t="shared" si="162"/>
        <v>2023</v>
      </c>
      <c r="H1056" t="str">
        <f t="shared" si="166"/>
        <v>112023</v>
      </c>
      <c r="I1056">
        <f t="shared" si="167"/>
        <v>30</v>
      </c>
      <c r="J1056">
        <f t="shared" si="163"/>
        <v>2374.331728341499</v>
      </c>
      <c r="K1056">
        <f t="shared" si="164"/>
        <v>839.57361129898777</v>
      </c>
      <c r="L1056">
        <f t="shared" si="165"/>
        <v>667.76979137282683</v>
      </c>
      <c r="M1056" t="str">
        <f t="shared" si="168"/>
        <v>472023</v>
      </c>
      <c r="N1056" t="str">
        <f t="shared" si="169"/>
        <v>47-11-2023</v>
      </c>
    </row>
    <row r="1057" spans="1:14" x14ac:dyDescent="0.2">
      <c r="A1057" s="1">
        <v>45252</v>
      </c>
      <c r="B1057">
        <f>IFERROR(INDEX('planning dogs-n-tiger'!B$1:B$30,MATCH($H1057,'planning dogs-n-tiger'!$G$1:$G$42,0)),0)</f>
        <v>71229.951850244965</v>
      </c>
      <c r="C1057">
        <f>IFERROR(INDEX('planning dogs-n-tiger'!C$1:C$30,MATCH($H1057,'planning dogs-n-tiger'!$G$1:$G$42,0)),0)</f>
        <v>25187.208338969634</v>
      </c>
      <c r="D1057">
        <f>IFERROR(INDEX('planning dogs-n-tiger'!D$1:D$30,MATCH($H1057,'planning dogs-n-tiger'!$G$1:$G$42,0)),0)</f>
        <v>20033.093741184806</v>
      </c>
      <c r="E1057">
        <f t="shared" si="160"/>
        <v>47</v>
      </c>
      <c r="F1057">
        <f t="shared" si="161"/>
        <v>11</v>
      </c>
      <c r="G1057">
        <f t="shared" si="162"/>
        <v>2023</v>
      </c>
      <c r="H1057" t="str">
        <f t="shared" si="166"/>
        <v>112023</v>
      </c>
      <c r="I1057">
        <f t="shared" si="167"/>
        <v>30</v>
      </c>
      <c r="J1057">
        <f t="shared" si="163"/>
        <v>2374.331728341499</v>
      </c>
      <c r="K1057">
        <f t="shared" si="164"/>
        <v>839.57361129898777</v>
      </c>
      <c r="L1057">
        <f t="shared" si="165"/>
        <v>667.76979137282683</v>
      </c>
      <c r="M1057" t="str">
        <f t="shared" si="168"/>
        <v>472023</v>
      </c>
      <c r="N1057" t="str">
        <f t="shared" si="169"/>
        <v>47-11-2023</v>
      </c>
    </row>
    <row r="1058" spans="1:14" x14ac:dyDescent="0.2">
      <c r="A1058" s="1">
        <v>45253</v>
      </c>
      <c r="B1058">
        <f>IFERROR(INDEX('planning dogs-n-tiger'!B$1:B$30,MATCH($H1058,'planning dogs-n-tiger'!$G$1:$G$42,0)),0)</f>
        <v>71229.951850244965</v>
      </c>
      <c r="C1058">
        <f>IFERROR(INDEX('planning dogs-n-tiger'!C$1:C$30,MATCH($H1058,'planning dogs-n-tiger'!$G$1:$G$42,0)),0)</f>
        <v>25187.208338969634</v>
      </c>
      <c r="D1058">
        <f>IFERROR(INDEX('planning dogs-n-tiger'!D$1:D$30,MATCH($H1058,'planning dogs-n-tiger'!$G$1:$G$42,0)),0)</f>
        <v>20033.093741184806</v>
      </c>
      <c r="E1058">
        <f t="shared" si="160"/>
        <v>47</v>
      </c>
      <c r="F1058">
        <f t="shared" si="161"/>
        <v>11</v>
      </c>
      <c r="G1058">
        <f t="shared" si="162"/>
        <v>2023</v>
      </c>
      <c r="H1058" t="str">
        <f t="shared" si="166"/>
        <v>112023</v>
      </c>
      <c r="I1058">
        <f t="shared" si="167"/>
        <v>30</v>
      </c>
      <c r="J1058">
        <f t="shared" si="163"/>
        <v>2374.331728341499</v>
      </c>
      <c r="K1058">
        <f t="shared" si="164"/>
        <v>839.57361129898777</v>
      </c>
      <c r="L1058">
        <f t="shared" si="165"/>
        <v>667.76979137282683</v>
      </c>
      <c r="M1058" t="str">
        <f t="shared" si="168"/>
        <v>472023</v>
      </c>
      <c r="N1058" t="str">
        <f t="shared" si="169"/>
        <v>47-11-2023</v>
      </c>
    </row>
    <row r="1059" spans="1:14" x14ac:dyDescent="0.2">
      <c r="A1059" s="1">
        <v>45254</v>
      </c>
      <c r="B1059">
        <f>IFERROR(INDEX('planning dogs-n-tiger'!B$1:B$30,MATCH($H1059,'planning dogs-n-tiger'!$G$1:$G$42,0)),0)</f>
        <v>71229.951850244965</v>
      </c>
      <c r="C1059">
        <f>IFERROR(INDEX('planning dogs-n-tiger'!C$1:C$30,MATCH($H1059,'planning dogs-n-tiger'!$G$1:$G$42,0)),0)</f>
        <v>25187.208338969634</v>
      </c>
      <c r="D1059">
        <f>IFERROR(INDEX('planning dogs-n-tiger'!D$1:D$30,MATCH($H1059,'planning dogs-n-tiger'!$G$1:$G$42,0)),0)</f>
        <v>20033.093741184806</v>
      </c>
      <c r="E1059">
        <f t="shared" si="160"/>
        <v>47</v>
      </c>
      <c r="F1059">
        <f t="shared" si="161"/>
        <v>11</v>
      </c>
      <c r="G1059">
        <f t="shared" si="162"/>
        <v>2023</v>
      </c>
      <c r="H1059" t="str">
        <f t="shared" si="166"/>
        <v>112023</v>
      </c>
      <c r="I1059">
        <f t="shared" si="167"/>
        <v>30</v>
      </c>
      <c r="J1059">
        <f t="shared" si="163"/>
        <v>2374.331728341499</v>
      </c>
      <c r="K1059">
        <f t="shared" si="164"/>
        <v>839.57361129898777</v>
      </c>
      <c r="L1059">
        <f t="shared" si="165"/>
        <v>667.76979137282683</v>
      </c>
      <c r="M1059" t="str">
        <f t="shared" si="168"/>
        <v>472023</v>
      </c>
      <c r="N1059" t="str">
        <f t="shared" si="169"/>
        <v>47-11-2023</v>
      </c>
    </row>
    <row r="1060" spans="1:14" x14ac:dyDescent="0.2">
      <c r="A1060" s="1">
        <v>45255</v>
      </c>
      <c r="B1060">
        <f>IFERROR(INDEX('planning dogs-n-tiger'!B$1:B$30,MATCH($H1060,'planning dogs-n-tiger'!$G$1:$G$42,0)),0)</f>
        <v>71229.951850244965</v>
      </c>
      <c r="C1060">
        <f>IFERROR(INDEX('planning dogs-n-tiger'!C$1:C$30,MATCH($H1060,'planning dogs-n-tiger'!$G$1:$G$42,0)),0)</f>
        <v>25187.208338969634</v>
      </c>
      <c r="D1060">
        <f>IFERROR(INDEX('planning dogs-n-tiger'!D$1:D$30,MATCH($H1060,'planning dogs-n-tiger'!$G$1:$G$42,0)),0)</f>
        <v>20033.093741184806</v>
      </c>
      <c r="E1060">
        <f t="shared" si="160"/>
        <v>47</v>
      </c>
      <c r="F1060">
        <f t="shared" si="161"/>
        <v>11</v>
      </c>
      <c r="G1060">
        <f t="shared" si="162"/>
        <v>2023</v>
      </c>
      <c r="H1060" t="str">
        <f t="shared" si="166"/>
        <v>112023</v>
      </c>
      <c r="I1060">
        <f t="shared" si="167"/>
        <v>30</v>
      </c>
      <c r="J1060">
        <f t="shared" si="163"/>
        <v>2374.331728341499</v>
      </c>
      <c r="K1060">
        <f t="shared" si="164"/>
        <v>839.57361129898777</v>
      </c>
      <c r="L1060">
        <f t="shared" si="165"/>
        <v>667.76979137282683</v>
      </c>
      <c r="M1060" t="str">
        <f t="shared" si="168"/>
        <v>472023</v>
      </c>
      <c r="N1060" t="str">
        <f t="shared" si="169"/>
        <v>47-11-2023</v>
      </c>
    </row>
    <row r="1061" spans="1:14" x14ac:dyDescent="0.2">
      <c r="A1061" s="1">
        <v>45256</v>
      </c>
      <c r="B1061">
        <f>IFERROR(INDEX('planning dogs-n-tiger'!B$1:B$30,MATCH($H1061,'planning dogs-n-tiger'!$G$1:$G$42,0)),0)</f>
        <v>71229.951850244965</v>
      </c>
      <c r="C1061">
        <f>IFERROR(INDEX('planning dogs-n-tiger'!C$1:C$30,MATCH($H1061,'planning dogs-n-tiger'!$G$1:$G$42,0)),0)</f>
        <v>25187.208338969634</v>
      </c>
      <c r="D1061">
        <f>IFERROR(INDEX('planning dogs-n-tiger'!D$1:D$30,MATCH($H1061,'planning dogs-n-tiger'!$G$1:$G$42,0)),0)</f>
        <v>20033.093741184806</v>
      </c>
      <c r="E1061">
        <f t="shared" si="160"/>
        <v>47</v>
      </c>
      <c r="F1061">
        <f t="shared" si="161"/>
        <v>11</v>
      </c>
      <c r="G1061">
        <f t="shared" si="162"/>
        <v>2023</v>
      </c>
      <c r="H1061" t="str">
        <f t="shared" si="166"/>
        <v>112023</v>
      </c>
      <c r="I1061">
        <f t="shared" si="167"/>
        <v>30</v>
      </c>
      <c r="J1061">
        <f t="shared" si="163"/>
        <v>2374.331728341499</v>
      </c>
      <c r="K1061">
        <f t="shared" si="164"/>
        <v>839.57361129898777</v>
      </c>
      <c r="L1061">
        <f t="shared" si="165"/>
        <v>667.76979137282683</v>
      </c>
      <c r="M1061" t="str">
        <f t="shared" si="168"/>
        <v>472023</v>
      </c>
      <c r="N1061" t="str">
        <f t="shared" si="169"/>
        <v>47-11-2023</v>
      </c>
    </row>
    <row r="1062" spans="1:14" x14ac:dyDescent="0.2">
      <c r="A1062" s="1">
        <v>45257</v>
      </c>
      <c r="B1062">
        <f>IFERROR(INDEX('planning dogs-n-tiger'!B$1:B$30,MATCH($H1062,'planning dogs-n-tiger'!$G$1:$G$42,0)),0)</f>
        <v>71229.951850244965</v>
      </c>
      <c r="C1062">
        <f>IFERROR(INDEX('planning dogs-n-tiger'!C$1:C$30,MATCH($H1062,'planning dogs-n-tiger'!$G$1:$G$42,0)),0)</f>
        <v>25187.208338969634</v>
      </c>
      <c r="D1062">
        <f>IFERROR(INDEX('planning dogs-n-tiger'!D$1:D$30,MATCH($H1062,'planning dogs-n-tiger'!$G$1:$G$42,0)),0)</f>
        <v>20033.093741184806</v>
      </c>
      <c r="E1062">
        <f t="shared" si="160"/>
        <v>48</v>
      </c>
      <c r="F1062">
        <f t="shared" si="161"/>
        <v>11</v>
      </c>
      <c r="G1062">
        <f t="shared" si="162"/>
        <v>2023</v>
      </c>
      <c r="H1062" t="str">
        <f t="shared" si="166"/>
        <v>112023</v>
      </c>
      <c r="I1062">
        <f t="shared" si="167"/>
        <v>30</v>
      </c>
      <c r="J1062">
        <f t="shared" si="163"/>
        <v>2374.331728341499</v>
      </c>
      <c r="K1062">
        <f t="shared" si="164"/>
        <v>839.57361129898777</v>
      </c>
      <c r="L1062">
        <f t="shared" si="165"/>
        <v>667.76979137282683</v>
      </c>
      <c r="M1062" t="str">
        <f t="shared" si="168"/>
        <v>482023</v>
      </c>
      <c r="N1062" t="str">
        <f t="shared" si="169"/>
        <v>48-11-2023</v>
      </c>
    </row>
    <row r="1063" spans="1:14" x14ac:dyDescent="0.2">
      <c r="A1063" s="1">
        <v>45258</v>
      </c>
      <c r="B1063">
        <f>IFERROR(INDEX('planning dogs-n-tiger'!B$1:B$30,MATCH($H1063,'planning dogs-n-tiger'!$G$1:$G$42,0)),0)</f>
        <v>71229.951850244965</v>
      </c>
      <c r="C1063">
        <f>IFERROR(INDEX('planning dogs-n-tiger'!C$1:C$30,MATCH($H1063,'planning dogs-n-tiger'!$G$1:$G$42,0)),0)</f>
        <v>25187.208338969634</v>
      </c>
      <c r="D1063">
        <f>IFERROR(INDEX('planning dogs-n-tiger'!D$1:D$30,MATCH($H1063,'planning dogs-n-tiger'!$G$1:$G$42,0)),0)</f>
        <v>20033.093741184806</v>
      </c>
      <c r="E1063">
        <f t="shared" si="160"/>
        <v>48</v>
      </c>
      <c r="F1063">
        <f t="shared" si="161"/>
        <v>11</v>
      </c>
      <c r="G1063">
        <f t="shared" si="162"/>
        <v>2023</v>
      </c>
      <c r="H1063" t="str">
        <f t="shared" si="166"/>
        <v>112023</v>
      </c>
      <c r="I1063">
        <f t="shared" si="167"/>
        <v>30</v>
      </c>
      <c r="J1063">
        <f t="shared" si="163"/>
        <v>2374.331728341499</v>
      </c>
      <c r="K1063">
        <f t="shared" si="164"/>
        <v>839.57361129898777</v>
      </c>
      <c r="L1063">
        <f t="shared" si="165"/>
        <v>667.76979137282683</v>
      </c>
      <c r="M1063" t="str">
        <f t="shared" si="168"/>
        <v>482023</v>
      </c>
      <c r="N1063" t="str">
        <f t="shared" si="169"/>
        <v>48-11-2023</v>
      </c>
    </row>
    <row r="1064" spans="1:14" x14ac:dyDescent="0.2">
      <c r="A1064" s="1">
        <v>45259</v>
      </c>
      <c r="B1064">
        <f>IFERROR(INDEX('planning dogs-n-tiger'!B$1:B$30,MATCH($H1064,'planning dogs-n-tiger'!$G$1:$G$42,0)),0)</f>
        <v>71229.951850244965</v>
      </c>
      <c r="C1064">
        <f>IFERROR(INDEX('planning dogs-n-tiger'!C$1:C$30,MATCH($H1064,'planning dogs-n-tiger'!$G$1:$G$42,0)),0)</f>
        <v>25187.208338969634</v>
      </c>
      <c r="D1064">
        <f>IFERROR(INDEX('planning dogs-n-tiger'!D$1:D$30,MATCH($H1064,'planning dogs-n-tiger'!$G$1:$G$42,0)),0)</f>
        <v>20033.093741184806</v>
      </c>
      <c r="E1064">
        <f t="shared" si="160"/>
        <v>48</v>
      </c>
      <c r="F1064">
        <f t="shared" si="161"/>
        <v>11</v>
      </c>
      <c r="G1064">
        <f t="shared" si="162"/>
        <v>2023</v>
      </c>
      <c r="H1064" t="str">
        <f t="shared" si="166"/>
        <v>112023</v>
      </c>
      <c r="I1064">
        <f t="shared" si="167"/>
        <v>30</v>
      </c>
      <c r="J1064">
        <f t="shared" si="163"/>
        <v>2374.331728341499</v>
      </c>
      <c r="K1064">
        <f t="shared" si="164"/>
        <v>839.57361129898777</v>
      </c>
      <c r="L1064">
        <f t="shared" si="165"/>
        <v>667.76979137282683</v>
      </c>
      <c r="M1064" t="str">
        <f t="shared" si="168"/>
        <v>482023</v>
      </c>
      <c r="N1064" t="str">
        <f t="shared" si="169"/>
        <v>48-11-2023</v>
      </c>
    </row>
    <row r="1065" spans="1:14" x14ac:dyDescent="0.2">
      <c r="A1065" s="1">
        <v>45260</v>
      </c>
      <c r="B1065">
        <f>IFERROR(INDEX('planning dogs-n-tiger'!B$1:B$30,MATCH($H1065,'planning dogs-n-tiger'!$G$1:$G$42,0)),0)</f>
        <v>71229.951850244965</v>
      </c>
      <c r="C1065">
        <f>IFERROR(INDEX('planning dogs-n-tiger'!C$1:C$30,MATCH($H1065,'planning dogs-n-tiger'!$G$1:$G$42,0)),0)</f>
        <v>25187.208338969634</v>
      </c>
      <c r="D1065">
        <f>IFERROR(INDEX('planning dogs-n-tiger'!D$1:D$30,MATCH($H1065,'planning dogs-n-tiger'!$G$1:$G$42,0)),0)</f>
        <v>20033.093741184806</v>
      </c>
      <c r="E1065">
        <f t="shared" si="160"/>
        <v>48</v>
      </c>
      <c r="F1065">
        <f t="shared" si="161"/>
        <v>11</v>
      </c>
      <c r="G1065">
        <f t="shared" si="162"/>
        <v>2023</v>
      </c>
      <c r="H1065" t="str">
        <f t="shared" si="166"/>
        <v>112023</v>
      </c>
      <c r="I1065">
        <f t="shared" si="167"/>
        <v>30</v>
      </c>
      <c r="J1065">
        <f t="shared" si="163"/>
        <v>2374.331728341499</v>
      </c>
      <c r="K1065">
        <f t="shared" si="164"/>
        <v>839.57361129898777</v>
      </c>
      <c r="L1065">
        <f t="shared" si="165"/>
        <v>667.76979137282683</v>
      </c>
      <c r="M1065" t="str">
        <f t="shared" si="168"/>
        <v>482023</v>
      </c>
      <c r="N1065" t="str">
        <f t="shared" si="169"/>
        <v>48-11-2023</v>
      </c>
    </row>
    <row r="1066" spans="1:14" x14ac:dyDescent="0.2">
      <c r="A1066" s="1">
        <v>45261</v>
      </c>
      <c r="B1066">
        <f>IFERROR(INDEX('planning dogs-n-tiger'!B$1:B$30,MATCH($H1066,'planning dogs-n-tiger'!$G$1:$G$42,0)),0)</f>
        <v>75432.269124483792</v>
      </c>
      <c r="C1066">
        <f>IFERROR(INDEX('planning dogs-n-tiger'!C$1:C$30,MATCH($H1066,'planning dogs-n-tiger'!$G$1:$G$42,0)),0)</f>
        <v>21775.291980743736</v>
      </c>
      <c r="D1066">
        <f>IFERROR(INDEX('planning dogs-n-tiger'!D$1:D$30,MATCH($H1066,'planning dogs-n-tiger'!$G$1:$G$42,0)),0)</f>
        <v>20610.204166306954</v>
      </c>
      <c r="E1066">
        <f t="shared" si="160"/>
        <v>48</v>
      </c>
      <c r="F1066">
        <f t="shared" si="161"/>
        <v>12</v>
      </c>
      <c r="G1066">
        <f t="shared" si="162"/>
        <v>2023</v>
      </c>
      <c r="H1066" t="str">
        <f t="shared" si="166"/>
        <v>122023</v>
      </c>
      <c r="I1066">
        <f t="shared" si="167"/>
        <v>31</v>
      </c>
      <c r="J1066">
        <f t="shared" si="163"/>
        <v>2433.299004015606</v>
      </c>
      <c r="K1066">
        <f t="shared" si="164"/>
        <v>702.42877357237853</v>
      </c>
      <c r="L1066">
        <f t="shared" si="165"/>
        <v>664.84529568732114</v>
      </c>
      <c r="M1066" t="str">
        <f t="shared" si="168"/>
        <v>482023</v>
      </c>
      <c r="N1066" t="str">
        <f t="shared" si="169"/>
        <v>48-12-2023</v>
      </c>
    </row>
    <row r="1067" spans="1:14" x14ac:dyDescent="0.2">
      <c r="A1067" s="1">
        <v>45262</v>
      </c>
      <c r="B1067">
        <f>IFERROR(INDEX('planning dogs-n-tiger'!B$1:B$30,MATCH($H1067,'planning dogs-n-tiger'!$G$1:$G$42,0)),0)</f>
        <v>75432.269124483792</v>
      </c>
      <c r="C1067">
        <f>IFERROR(INDEX('planning dogs-n-tiger'!C$1:C$30,MATCH($H1067,'planning dogs-n-tiger'!$G$1:$G$42,0)),0)</f>
        <v>21775.291980743736</v>
      </c>
      <c r="D1067">
        <f>IFERROR(INDEX('planning dogs-n-tiger'!D$1:D$30,MATCH($H1067,'planning dogs-n-tiger'!$G$1:$G$42,0)),0)</f>
        <v>20610.204166306954</v>
      </c>
      <c r="E1067">
        <f t="shared" si="160"/>
        <v>48</v>
      </c>
      <c r="F1067">
        <f t="shared" si="161"/>
        <v>12</v>
      </c>
      <c r="G1067">
        <f t="shared" si="162"/>
        <v>2023</v>
      </c>
      <c r="H1067" t="str">
        <f t="shared" si="166"/>
        <v>122023</v>
      </c>
      <c r="I1067">
        <f t="shared" si="167"/>
        <v>31</v>
      </c>
      <c r="J1067">
        <f t="shared" si="163"/>
        <v>2433.299004015606</v>
      </c>
      <c r="K1067">
        <f t="shared" si="164"/>
        <v>702.42877357237853</v>
      </c>
      <c r="L1067">
        <f t="shared" si="165"/>
        <v>664.84529568732114</v>
      </c>
      <c r="M1067" t="str">
        <f t="shared" si="168"/>
        <v>482023</v>
      </c>
      <c r="N1067" t="str">
        <f t="shared" si="169"/>
        <v>48-12-2023</v>
      </c>
    </row>
    <row r="1068" spans="1:14" x14ac:dyDescent="0.2">
      <c r="A1068" s="1">
        <v>45263</v>
      </c>
      <c r="B1068">
        <f>IFERROR(INDEX('planning dogs-n-tiger'!B$1:B$30,MATCH($H1068,'planning dogs-n-tiger'!$G$1:$G$42,0)),0)</f>
        <v>75432.269124483792</v>
      </c>
      <c r="C1068">
        <f>IFERROR(INDEX('planning dogs-n-tiger'!C$1:C$30,MATCH($H1068,'planning dogs-n-tiger'!$G$1:$G$42,0)),0)</f>
        <v>21775.291980743736</v>
      </c>
      <c r="D1068">
        <f>IFERROR(INDEX('planning dogs-n-tiger'!D$1:D$30,MATCH($H1068,'planning dogs-n-tiger'!$G$1:$G$42,0)),0)</f>
        <v>20610.204166306954</v>
      </c>
      <c r="E1068">
        <f t="shared" si="160"/>
        <v>48</v>
      </c>
      <c r="F1068">
        <f t="shared" si="161"/>
        <v>12</v>
      </c>
      <c r="G1068">
        <f t="shared" si="162"/>
        <v>2023</v>
      </c>
      <c r="H1068" t="str">
        <f t="shared" si="166"/>
        <v>122023</v>
      </c>
      <c r="I1068">
        <f t="shared" si="167"/>
        <v>31</v>
      </c>
      <c r="J1068">
        <f t="shared" si="163"/>
        <v>2433.299004015606</v>
      </c>
      <c r="K1068">
        <f t="shared" si="164"/>
        <v>702.42877357237853</v>
      </c>
      <c r="L1068">
        <f t="shared" si="165"/>
        <v>664.84529568732114</v>
      </c>
      <c r="M1068" t="str">
        <f t="shared" si="168"/>
        <v>482023</v>
      </c>
      <c r="N1068" t="str">
        <f t="shared" si="169"/>
        <v>48-12-2023</v>
      </c>
    </row>
    <row r="1069" spans="1:14" x14ac:dyDescent="0.2">
      <c r="A1069" s="1">
        <v>45264</v>
      </c>
      <c r="B1069">
        <f>IFERROR(INDEX('planning dogs-n-tiger'!B$1:B$30,MATCH($H1069,'planning dogs-n-tiger'!$G$1:$G$42,0)),0)</f>
        <v>75432.269124483792</v>
      </c>
      <c r="C1069">
        <f>IFERROR(INDEX('planning dogs-n-tiger'!C$1:C$30,MATCH($H1069,'planning dogs-n-tiger'!$G$1:$G$42,0)),0)</f>
        <v>21775.291980743736</v>
      </c>
      <c r="D1069">
        <f>IFERROR(INDEX('planning dogs-n-tiger'!D$1:D$30,MATCH($H1069,'planning dogs-n-tiger'!$G$1:$G$42,0)),0)</f>
        <v>20610.204166306954</v>
      </c>
      <c r="E1069">
        <f t="shared" si="160"/>
        <v>49</v>
      </c>
      <c r="F1069">
        <f t="shared" si="161"/>
        <v>12</v>
      </c>
      <c r="G1069">
        <f t="shared" si="162"/>
        <v>2023</v>
      </c>
      <c r="H1069" t="str">
        <f t="shared" si="166"/>
        <v>122023</v>
      </c>
      <c r="I1069">
        <f t="shared" si="167"/>
        <v>31</v>
      </c>
      <c r="J1069">
        <f t="shared" si="163"/>
        <v>2433.299004015606</v>
      </c>
      <c r="K1069">
        <f t="shared" si="164"/>
        <v>702.42877357237853</v>
      </c>
      <c r="L1069">
        <f t="shared" si="165"/>
        <v>664.84529568732114</v>
      </c>
      <c r="M1069" t="str">
        <f t="shared" si="168"/>
        <v>492023</v>
      </c>
      <c r="N1069" t="str">
        <f t="shared" si="169"/>
        <v>49-12-2023</v>
      </c>
    </row>
    <row r="1070" spans="1:14" x14ac:dyDescent="0.2">
      <c r="A1070" s="1">
        <v>45265</v>
      </c>
      <c r="B1070">
        <f>IFERROR(INDEX('planning dogs-n-tiger'!B$1:B$30,MATCH($H1070,'planning dogs-n-tiger'!$G$1:$G$42,0)),0)</f>
        <v>75432.269124483792</v>
      </c>
      <c r="C1070">
        <f>IFERROR(INDEX('planning dogs-n-tiger'!C$1:C$30,MATCH($H1070,'planning dogs-n-tiger'!$G$1:$G$42,0)),0)</f>
        <v>21775.291980743736</v>
      </c>
      <c r="D1070">
        <f>IFERROR(INDEX('planning dogs-n-tiger'!D$1:D$30,MATCH($H1070,'planning dogs-n-tiger'!$G$1:$G$42,0)),0)</f>
        <v>20610.204166306954</v>
      </c>
      <c r="E1070">
        <f t="shared" si="160"/>
        <v>49</v>
      </c>
      <c r="F1070">
        <f t="shared" si="161"/>
        <v>12</v>
      </c>
      <c r="G1070">
        <f t="shared" si="162"/>
        <v>2023</v>
      </c>
      <c r="H1070" t="str">
        <f t="shared" si="166"/>
        <v>122023</v>
      </c>
      <c r="I1070">
        <f t="shared" si="167"/>
        <v>31</v>
      </c>
      <c r="J1070">
        <f t="shared" si="163"/>
        <v>2433.299004015606</v>
      </c>
      <c r="K1070">
        <f t="shared" si="164"/>
        <v>702.42877357237853</v>
      </c>
      <c r="L1070">
        <f t="shared" si="165"/>
        <v>664.84529568732114</v>
      </c>
      <c r="M1070" t="str">
        <f t="shared" si="168"/>
        <v>492023</v>
      </c>
      <c r="N1070" t="str">
        <f t="shared" si="169"/>
        <v>49-12-2023</v>
      </c>
    </row>
    <row r="1071" spans="1:14" x14ac:dyDescent="0.2">
      <c r="A1071" s="1">
        <v>45266</v>
      </c>
      <c r="B1071">
        <f>IFERROR(INDEX('planning dogs-n-tiger'!B$1:B$30,MATCH($H1071,'planning dogs-n-tiger'!$G$1:$G$42,0)),0)</f>
        <v>75432.269124483792</v>
      </c>
      <c r="C1071">
        <f>IFERROR(INDEX('planning dogs-n-tiger'!C$1:C$30,MATCH($H1071,'planning dogs-n-tiger'!$G$1:$G$42,0)),0)</f>
        <v>21775.291980743736</v>
      </c>
      <c r="D1071">
        <f>IFERROR(INDEX('planning dogs-n-tiger'!D$1:D$30,MATCH($H1071,'planning dogs-n-tiger'!$G$1:$G$42,0)),0)</f>
        <v>20610.204166306954</v>
      </c>
      <c r="E1071">
        <f t="shared" si="160"/>
        <v>49</v>
      </c>
      <c r="F1071">
        <f t="shared" si="161"/>
        <v>12</v>
      </c>
      <c r="G1071">
        <f t="shared" si="162"/>
        <v>2023</v>
      </c>
      <c r="H1071" t="str">
        <f t="shared" si="166"/>
        <v>122023</v>
      </c>
      <c r="I1071">
        <f t="shared" si="167"/>
        <v>31</v>
      </c>
      <c r="J1071">
        <f t="shared" si="163"/>
        <v>2433.299004015606</v>
      </c>
      <c r="K1071">
        <f t="shared" si="164"/>
        <v>702.42877357237853</v>
      </c>
      <c r="L1071">
        <f t="shared" si="165"/>
        <v>664.84529568732114</v>
      </c>
      <c r="M1071" t="str">
        <f t="shared" si="168"/>
        <v>492023</v>
      </c>
      <c r="N1071" t="str">
        <f t="shared" si="169"/>
        <v>49-12-2023</v>
      </c>
    </row>
    <row r="1072" spans="1:14" x14ac:dyDescent="0.2">
      <c r="A1072" s="1">
        <v>45267</v>
      </c>
      <c r="B1072">
        <f>IFERROR(INDEX('planning dogs-n-tiger'!B$1:B$30,MATCH($H1072,'planning dogs-n-tiger'!$G$1:$G$42,0)),0)</f>
        <v>75432.269124483792</v>
      </c>
      <c r="C1072">
        <f>IFERROR(INDEX('planning dogs-n-tiger'!C$1:C$30,MATCH($H1072,'planning dogs-n-tiger'!$G$1:$G$42,0)),0)</f>
        <v>21775.291980743736</v>
      </c>
      <c r="D1072">
        <f>IFERROR(INDEX('planning dogs-n-tiger'!D$1:D$30,MATCH($H1072,'planning dogs-n-tiger'!$G$1:$G$42,0)),0)</f>
        <v>20610.204166306954</v>
      </c>
      <c r="E1072">
        <f t="shared" si="160"/>
        <v>49</v>
      </c>
      <c r="F1072">
        <f t="shared" si="161"/>
        <v>12</v>
      </c>
      <c r="G1072">
        <f t="shared" si="162"/>
        <v>2023</v>
      </c>
      <c r="H1072" t="str">
        <f t="shared" si="166"/>
        <v>122023</v>
      </c>
      <c r="I1072">
        <f t="shared" si="167"/>
        <v>31</v>
      </c>
      <c r="J1072">
        <f t="shared" si="163"/>
        <v>2433.299004015606</v>
      </c>
      <c r="K1072">
        <f t="shared" si="164"/>
        <v>702.42877357237853</v>
      </c>
      <c r="L1072">
        <f t="shared" si="165"/>
        <v>664.84529568732114</v>
      </c>
      <c r="M1072" t="str">
        <f t="shared" si="168"/>
        <v>492023</v>
      </c>
      <c r="N1072" t="str">
        <f t="shared" si="169"/>
        <v>49-12-2023</v>
      </c>
    </row>
    <row r="1073" spans="1:14" x14ac:dyDescent="0.2">
      <c r="A1073" s="1">
        <v>45268</v>
      </c>
      <c r="B1073">
        <f>IFERROR(INDEX('planning dogs-n-tiger'!B$1:B$30,MATCH($H1073,'planning dogs-n-tiger'!$G$1:$G$42,0)),0)</f>
        <v>75432.269124483792</v>
      </c>
      <c r="C1073">
        <f>IFERROR(INDEX('planning dogs-n-tiger'!C$1:C$30,MATCH($H1073,'planning dogs-n-tiger'!$G$1:$G$42,0)),0)</f>
        <v>21775.291980743736</v>
      </c>
      <c r="D1073">
        <f>IFERROR(INDEX('planning dogs-n-tiger'!D$1:D$30,MATCH($H1073,'planning dogs-n-tiger'!$G$1:$G$42,0)),0)</f>
        <v>20610.204166306954</v>
      </c>
      <c r="E1073">
        <f t="shared" si="160"/>
        <v>49</v>
      </c>
      <c r="F1073">
        <f t="shared" si="161"/>
        <v>12</v>
      </c>
      <c r="G1073">
        <f t="shared" si="162"/>
        <v>2023</v>
      </c>
      <c r="H1073" t="str">
        <f t="shared" si="166"/>
        <v>122023</v>
      </c>
      <c r="I1073">
        <f t="shared" si="167"/>
        <v>31</v>
      </c>
      <c r="J1073">
        <f t="shared" si="163"/>
        <v>2433.299004015606</v>
      </c>
      <c r="K1073">
        <f t="shared" si="164"/>
        <v>702.42877357237853</v>
      </c>
      <c r="L1073">
        <f t="shared" si="165"/>
        <v>664.84529568732114</v>
      </c>
      <c r="M1073" t="str">
        <f t="shared" si="168"/>
        <v>492023</v>
      </c>
      <c r="N1073" t="str">
        <f t="shared" si="169"/>
        <v>49-12-2023</v>
      </c>
    </row>
    <row r="1074" spans="1:14" x14ac:dyDescent="0.2">
      <c r="A1074" s="1">
        <v>45269</v>
      </c>
      <c r="B1074">
        <f>IFERROR(INDEX('planning dogs-n-tiger'!B$1:B$30,MATCH($H1074,'planning dogs-n-tiger'!$G$1:$G$42,0)),0)</f>
        <v>75432.269124483792</v>
      </c>
      <c r="C1074">
        <f>IFERROR(INDEX('planning dogs-n-tiger'!C$1:C$30,MATCH($H1074,'planning dogs-n-tiger'!$G$1:$G$42,0)),0)</f>
        <v>21775.291980743736</v>
      </c>
      <c r="D1074">
        <f>IFERROR(INDEX('planning dogs-n-tiger'!D$1:D$30,MATCH($H1074,'planning dogs-n-tiger'!$G$1:$G$42,0)),0)</f>
        <v>20610.204166306954</v>
      </c>
      <c r="E1074">
        <f t="shared" si="160"/>
        <v>49</v>
      </c>
      <c r="F1074">
        <f t="shared" si="161"/>
        <v>12</v>
      </c>
      <c r="G1074">
        <f t="shared" si="162"/>
        <v>2023</v>
      </c>
      <c r="H1074" t="str">
        <f t="shared" si="166"/>
        <v>122023</v>
      </c>
      <c r="I1074">
        <f t="shared" si="167"/>
        <v>31</v>
      </c>
      <c r="J1074">
        <f t="shared" si="163"/>
        <v>2433.299004015606</v>
      </c>
      <c r="K1074">
        <f t="shared" si="164"/>
        <v>702.42877357237853</v>
      </c>
      <c r="L1074">
        <f t="shared" si="165"/>
        <v>664.84529568732114</v>
      </c>
      <c r="M1074" t="str">
        <f t="shared" si="168"/>
        <v>492023</v>
      </c>
      <c r="N1074" t="str">
        <f t="shared" si="169"/>
        <v>49-12-2023</v>
      </c>
    </row>
    <row r="1075" spans="1:14" x14ac:dyDescent="0.2">
      <c r="A1075" s="1">
        <v>45270</v>
      </c>
      <c r="B1075">
        <f>IFERROR(INDEX('planning dogs-n-tiger'!B$1:B$30,MATCH($H1075,'planning dogs-n-tiger'!$G$1:$G$42,0)),0)</f>
        <v>75432.269124483792</v>
      </c>
      <c r="C1075">
        <f>IFERROR(INDEX('planning dogs-n-tiger'!C$1:C$30,MATCH($H1075,'planning dogs-n-tiger'!$G$1:$G$42,0)),0)</f>
        <v>21775.291980743736</v>
      </c>
      <c r="D1075">
        <f>IFERROR(INDEX('planning dogs-n-tiger'!D$1:D$30,MATCH($H1075,'planning dogs-n-tiger'!$G$1:$G$42,0)),0)</f>
        <v>20610.204166306954</v>
      </c>
      <c r="E1075">
        <f t="shared" si="160"/>
        <v>49</v>
      </c>
      <c r="F1075">
        <f t="shared" si="161"/>
        <v>12</v>
      </c>
      <c r="G1075">
        <f t="shared" si="162"/>
        <v>2023</v>
      </c>
      <c r="H1075" t="str">
        <f t="shared" si="166"/>
        <v>122023</v>
      </c>
      <c r="I1075">
        <f t="shared" si="167"/>
        <v>31</v>
      </c>
      <c r="J1075">
        <f t="shared" si="163"/>
        <v>2433.299004015606</v>
      </c>
      <c r="K1075">
        <f t="shared" si="164"/>
        <v>702.42877357237853</v>
      </c>
      <c r="L1075">
        <f t="shared" si="165"/>
        <v>664.84529568732114</v>
      </c>
      <c r="M1075" t="str">
        <f t="shared" si="168"/>
        <v>492023</v>
      </c>
      <c r="N1075" t="str">
        <f t="shared" si="169"/>
        <v>49-12-2023</v>
      </c>
    </row>
    <row r="1076" spans="1:14" x14ac:dyDescent="0.2">
      <c r="A1076" s="1">
        <v>45271</v>
      </c>
      <c r="B1076">
        <f>IFERROR(INDEX('planning dogs-n-tiger'!B$1:B$30,MATCH($H1076,'planning dogs-n-tiger'!$G$1:$G$42,0)),0)</f>
        <v>75432.269124483792</v>
      </c>
      <c r="C1076">
        <f>IFERROR(INDEX('planning dogs-n-tiger'!C$1:C$30,MATCH($H1076,'planning dogs-n-tiger'!$G$1:$G$42,0)),0)</f>
        <v>21775.291980743736</v>
      </c>
      <c r="D1076">
        <f>IFERROR(INDEX('planning dogs-n-tiger'!D$1:D$30,MATCH($H1076,'planning dogs-n-tiger'!$G$1:$G$42,0)),0)</f>
        <v>20610.204166306954</v>
      </c>
      <c r="E1076">
        <f t="shared" si="160"/>
        <v>50</v>
      </c>
      <c r="F1076">
        <f t="shared" si="161"/>
        <v>12</v>
      </c>
      <c r="G1076">
        <f t="shared" si="162"/>
        <v>2023</v>
      </c>
      <c r="H1076" t="str">
        <f t="shared" si="166"/>
        <v>122023</v>
      </c>
      <c r="I1076">
        <f t="shared" si="167"/>
        <v>31</v>
      </c>
      <c r="J1076">
        <f t="shared" si="163"/>
        <v>2433.299004015606</v>
      </c>
      <c r="K1076">
        <f t="shared" si="164"/>
        <v>702.42877357237853</v>
      </c>
      <c r="L1076">
        <f t="shared" si="165"/>
        <v>664.84529568732114</v>
      </c>
      <c r="M1076" t="str">
        <f t="shared" si="168"/>
        <v>502023</v>
      </c>
      <c r="N1076" t="str">
        <f t="shared" si="169"/>
        <v>50-12-2023</v>
      </c>
    </row>
    <row r="1077" spans="1:14" x14ac:dyDescent="0.2">
      <c r="A1077" s="1">
        <v>45272</v>
      </c>
      <c r="B1077">
        <f>IFERROR(INDEX('planning dogs-n-tiger'!B$1:B$30,MATCH($H1077,'planning dogs-n-tiger'!$G$1:$G$42,0)),0)</f>
        <v>75432.269124483792</v>
      </c>
      <c r="C1077">
        <f>IFERROR(INDEX('planning dogs-n-tiger'!C$1:C$30,MATCH($H1077,'planning dogs-n-tiger'!$G$1:$G$42,0)),0)</f>
        <v>21775.291980743736</v>
      </c>
      <c r="D1077">
        <f>IFERROR(INDEX('planning dogs-n-tiger'!D$1:D$30,MATCH($H1077,'planning dogs-n-tiger'!$G$1:$G$42,0)),0)</f>
        <v>20610.204166306954</v>
      </c>
      <c r="E1077">
        <f t="shared" si="160"/>
        <v>50</v>
      </c>
      <c r="F1077">
        <f t="shared" si="161"/>
        <v>12</v>
      </c>
      <c r="G1077">
        <f t="shared" si="162"/>
        <v>2023</v>
      </c>
      <c r="H1077" t="str">
        <f t="shared" si="166"/>
        <v>122023</v>
      </c>
      <c r="I1077">
        <f t="shared" si="167"/>
        <v>31</v>
      </c>
      <c r="J1077">
        <f t="shared" si="163"/>
        <v>2433.299004015606</v>
      </c>
      <c r="K1077">
        <f t="shared" si="164"/>
        <v>702.42877357237853</v>
      </c>
      <c r="L1077">
        <f t="shared" si="165"/>
        <v>664.84529568732114</v>
      </c>
      <c r="M1077" t="str">
        <f t="shared" si="168"/>
        <v>502023</v>
      </c>
      <c r="N1077" t="str">
        <f t="shared" si="169"/>
        <v>50-12-2023</v>
      </c>
    </row>
    <row r="1078" spans="1:14" x14ac:dyDescent="0.2">
      <c r="A1078" s="1">
        <v>45273</v>
      </c>
      <c r="B1078">
        <f>IFERROR(INDEX('planning dogs-n-tiger'!B$1:B$30,MATCH($H1078,'planning dogs-n-tiger'!$G$1:$G$42,0)),0)</f>
        <v>75432.269124483792</v>
      </c>
      <c r="C1078">
        <f>IFERROR(INDEX('planning dogs-n-tiger'!C$1:C$30,MATCH($H1078,'planning dogs-n-tiger'!$G$1:$G$42,0)),0)</f>
        <v>21775.291980743736</v>
      </c>
      <c r="D1078">
        <f>IFERROR(INDEX('planning dogs-n-tiger'!D$1:D$30,MATCH($H1078,'planning dogs-n-tiger'!$G$1:$G$42,0)),0)</f>
        <v>20610.204166306954</v>
      </c>
      <c r="E1078">
        <f t="shared" si="160"/>
        <v>50</v>
      </c>
      <c r="F1078">
        <f t="shared" si="161"/>
        <v>12</v>
      </c>
      <c r="G1078">
        <f t="shared" si="162"/>
        <v>2023</v>
      </c>
      <c r="H1078" t="str">
        <f t="shared" si="166"/>
        <v>122023</v>
      </c>
      <c r="I1078">
        <f t="shared" si="167"/>
        <v>31</v>
      </c>
      <c r="J1078">
        <f t="shared" si="163"/>
        <v>2433.299004015606</v>
      </c>
      <c r="K1078">
        <f t="shared" si="164"/>
        <v>702.42877357237853</v>
      </c>
      <c r="L1078">
        <f t="shared" si="165"/>
        <v>664.84529568732114</v>
      </c>
      <c r="M1078" t="str">
        <f t="shared" si="168"/>
        <v>502023</v>
      </c>
      <c r="N1078" t="str">
        <f t="shared" si="169"/>
        <v>50-12-2023</v>
      </c>
    </row>
    <row r="1079" spans="1:14" x14ac:dyDescent="0.2">
      <c r="A1079" s="1">
        <v>45274</v>
      </c>
      <c r="B1079">
        <f>IFERROR(INDEX('planning dogs-n-tiger'!B$1:B$30,MATCH($H1079,'planning dogs-n-tiger'!$G$1:$G$42,0)),0)</f>
        <v>75432.269124483792</v>
      </c>
      <c r="C1079">
        <f>IFERROR(INDEX('planning dogs-n-tiger'!C$1:C$30,MATCH($H1079,'planning dogs-n-tiger'!$G$1:$G$42,0)),0)</f>
        <v>21775.291980743736</v>
      </c>
      <c r="D1079">
        <f>IFERROR(INDEX('planning dogs-n-tiger'!D$1:D$30,MATCH($H1079,'planning dogs-n-tiger'!$G$1:$G$42,0)),0)</f>
        <v>20610.204166306954</v>
      </c>
      <c r="E1079">
        <f t="shared" si="160"/>
        <v>50</v>
      </c>
      <c r="F1079">
        <f t="shared" si="161"/>
        <v>12</v>
      </c>
      <c r="G1079">
        <f t="shared" si="162"/>
        <v>2023</v>
      </c>
      <c r="H1079" t="str">
        <f t="shared" si="166"/>
        <v>122023</v>
      </c>
      <c r="I1079">
        <f t="shared" si="167"/>
        <v>31</v>
      </c>
      <c r="J1079">
        <f t="shared" si="163"/>
        <v>2433.299004015606</v>
      </c>
      <c r="K1079">
        <f t="shared" si="164"/>
        <v>702.42877357237853</v>
      </c>
      <c r="L1079">
        <f t="shared" si="165"/>
        <v>664.84529568732114</v>
      </c>
      <c r="M1079" t="str">
        <f t="shared" si="168"/>
        <v>502023</v>
      </c>
      <c r="N1079" t="str">
        <f t="shared" si="169"/>
        <v>50-12-2023</v>
      </c>
    </row>
    <row r="1080" spans="1:14" x14ac:dyDescent="0.2">
      <c r="A1080" s="1">
        <v>45275</v>
      </c>
      <c r="B1080">
        <f>IFERROR(INDEX('planning dogs-n-tiger'!B$1:B$30,MATCH($H1080,'planning dogs-n-tiger'!$G$1:$G$42,0)),0)</f>
        <v>75432.269124483792</v>
      </c>
      <c r="C1080">
        <f>IFERROR(INDEX('planning dogs-n-tiger'!C$1:C$30,MATCH($H1080,'planning dogs-n-tiger'!$G$1:$G$42,0)),0)</f>
        <v>21775.291980743736</v>
      </c>
      <c r="D1080">
        <f>IFERROR(INDEX('planning dogs-n-tiger'!D$1:D$30,MATCH($H1080,'planning dogs-n-tiger'!$G$1:$G$42,0)),0)</f>
        <v>20610.204166306954</v>
      </c>
      <c r="E1080">
        <f t="shared" si="160"/>
        <v>50</v>
      </c>
      <c r="F1080">
        <f t="shared" si="161"/>
        <v>12</v>
      </c>
      <c r="G1080">
        <f t="shared" si="162"/>
        <v>2023</v>
      </c>
      <c r="H1080" t="str">
        <f t="shared" si="166"/>
        <v>122023</v>
      </c>
      <c r="I1080">
        <f t="shared" si="167"/>
        <v>31</v>
      </c>
      <c r="J1080">
        <f t="shared" si="163"/>
        <v>2433.299004015606</v>
      </c>
      <c r="K1080">
        <f t="shared" si="164"/>
        <v>702.42877357237853</v>
      </c>
      <c r="L1080">
        <f t="shared" si="165"/>
        <v>664.84529568732114</v>
      </c>
      <c r="M1080" t="str">
        <f t="shared" si="168"/>
        <v>502023</v>
      </c>
      <c r="N1080" t="str">
        <f t="shared" si="169"/>
        <v>50-12-2023</v>
      </c>
    </row>
    <row r="1081" spans="1:14" x14ac:dyDescent="0.2">
      <c r="A1081" s="1">
        <v>45276</v>
      </c>
      <c r="B1081">
        <f>IFERROR(INDEX('planning dogs-n-tiger'!B$1:B$30,MATCH($H1081,'planning dogs-n-tiger'!$G$1:$G$42,0)),0)</f>
        <v>75432.269124483792</v>
      </c>
      <c r="C1081">
        <f>IFERROR(INDEX('planning dogs-n-tiger'!C$1:C$30,MATCH($H1081,'planning dogs-n-tiger'!$G$1:$G$42,0)),0)</f>
        <v>21775.291980743736</v>
      </c>
      <c r="D1081">
        <f>IFERROR(INDEX('planning dogs-n-tiger'!D$1:D$30,MATCH($H1081,'planning dogs-n-tiger'!$G$1:$G$42,0)),0)</f>
        <v>20610.204166306954</v>
      </c>
      <c r="E1081">
        <f t="shared" si="160"/>
        <v>50</v>
      </c>
      <c r="F1081">
        <f t="shared" si="161"/>
        <v>12</v>
      </c>
      <c r="G1081">
        <f t="shared" si="162"/>
        <v>2023</v>
      </c>
      <c r="H1081" t="str">
        <f t="shared" si="166"/>
        <v>122023</v>
      </c>
      <c r="I1081">
        <f t="shared" si="167"/>
        <v>31</v>
      </c>
      <c r="J1081">
        <f t="shared" si="163"/>
        <v>2433.299004015606</v>
      </c>
      <c r="K1081">
        <f t="shared" si="164"/>
        <v>702.42877357237853</v>
      </c>
      <c r="L1081">
        <f t="shared" si="165"/>
        <v>664.84529568732114</v>
      </c>
      <c r="M1081" t="str">
        <f t="shared" si="168"/>
        <v>502023</v>
      </c>
      <c r="N1081" t="str">
        <f t="shared" si="169"/>
        <v>50-12-2023</v>
      </c>
    </row>
    <row r="1082" spans="1:14" x14ac:dyDescent="0.2">
      <c r="A1082" s="1">
        <v>45277</v>
      </c>
      <c r="B1082">
        <f>IFERROR(INDEX('planning dogs-n-tiger'!B$1:B$30,MATCH($H1082,'planning dogs-n-tiger'!$G$1:$G$42,0)),0)</f>
        <v>75432.269124483792</v>
      </c>
      <c r="C1082">
        <f>IFERROR(INDEX('planning dogs-n-tiger'!C$1:C$30,MATCH($H1082,'planning dogs-n-tiger'!$G$1:$G$42,0)),0)</f>
        <v>21775.291980743736</v>
      </c>
      <c r="D1082">
        <f>IFERROR(INDEX('planning dogs-n-tiger'!D$1:D$30,MATCH($H1082,'planning dogs-n-tiger'!$G$1:$G$42,0)),0)</f>
        <v>20610.204166306954</v>
      </c>
      <c r="E1082">
        <f t="shared" si="160"/>
        <v>50</v>
      </c>
      <c r="F1082">
        <f t="shared" si="161"/>
        <v>12</v>
      </c>
      <c r="G1082">
        <f t="shared" si="162"/>
        <v>2023</v>
      </c>
      <c r="H1082" t="str">
        <f t="shared" si="166"/>
        <v>122023</v>
      </c>
      <c r="I1082">
        <f t="shared" si="167"/>
        <v>31</v>
      </c>
      <c r="J1082">
        <f t="shared" si="163"/>
        <v>2433.299004015606</v>
      </c>
      <c r="K1082">
        <f t="shared" si="164"/>
        <v>702.42877357237853</v>
      </c>
      <c r="L1082">
        <f t="shared" si="165"/>
        <v>664.84529568732114</v>
      </c>
      <c r="M1082" t="str">
        <f t="shared" si="168"/>
        <v>502023</v>
      </c>
      <c r="N1082" t="str">
        <f t="shared" si="169"/>
        <v>50-12-2023</v>
      </c>
    </row>
    <row r="1083" spans="1:14" x14ac:dyDescent="0.2">
      <c r="A1083" s="1">
        <v>45278</v>
      </c>
      <c r="B1083">
        <f>IFERROR(INDEX('planning dogs-n-tiger'!B$1:B$30,MATCH($H1083,'planning dogs-n-tiger'!$G$1:$G$42,0)),0)</f>
        <v>75432.269124483792</v>
      </c>
      <c r="C1083">
        <f>IFERROR(INDEX('planning dogs-n-tiger'!C$1:C$30,MATCH($H1083,'planning dogs-n-tiger'!$G$1:$G$42,0)),0)</f>
        <v>21775.291980743736</v>
      </c>
      <c r="D1083">
        <f>IFERROR(INDEX('planning dogs-n-tiger'!D$1:D$30,MATCH($H1083,'planning dogs-n-tiger'!$G$1:$G$42,0)),0)</f>
        <v>20610.204166306954</v>
      </c>
      <c r="E1083">
        <f t="shared" si="160"/>
        <v>51</v>
      </c>
      <c r="F1083">
        <f t="shared" si="161"/>
        <v>12</v>
      </c>
      <c r="G1083">
        <f t="shared" si="162"/>
        <v>2023</v>
      </c>
      <c r="H1083" t="str">
        <f t="shared" si="166"/>
        <v>122023</v>
      </c>
      <c r="I1083">
        <f t="shared" si="167"/>
        <v>31</v>
      </c>
      <c r="J1083">
        <f t="shared" si="163"/>
        <v>2433.299004015606</v>
      </c>
      <c r="K1083">
        <f t="shared" si="164"/>
        <v>702.42877357237853</v>
      </c>
      <c r="L1083">
        <f t="shared" si="165"/>
        <v>664.84529568732114</v>
      </c>
      <c r="M1083" t="str">
        <f t="shared" si="168"/>
        <v>512023</v>
      </c>
      <c r="N1083" t="str">
        <f t="shared" si="169"/>
        <v>51-12-2023</v>
      </c>
    </row>
    <row r="1084" spans="1:14" x14ac:dyDescent="0.2">
      <c r="A1084" s="1">
        <v>45279</v>
      </c>
      <c r="B1084">
        <f>IFERROR(INDEX('planning dogs-n-tiger'!B$1:B$30,MATCH($H1084,'planning dogs-n-tiger'!$G$1:$G$42,0)),0)</f>
        <v>75432.269124483792</v>
      </c>
      <c r="C1084">
        <f>IFERROR(INDEX('planning dogs-n-tiger'!C$1:C$30,MATCH($H1084,'planning dogs-n-tiger'!$G$1:$G$42,0)),0)</f>
        <v>21775.291980743736</v>
      </c>
      <c r="D1084">
        <f>IFERROR(INDEX('planning dogs-n-tiger'!D$1:D$30,MATCH($H1084,'planning dogs-n-tiger'!$G$1:$G$42,0)),0)</f>
        <v>20610.204166306954</v>
      </c>
      <c r="E1084">
        <f t="shared" si="160"/>
        <v>51</v>
      </c>
      <c r="F1084">
        <f t="shared" si="161"/>
        <v>12</v>
      </c>
      <c r="G1084">
        <f t="shared" si="162"/>
        <v>2023</v>
      </c>
      <c r="H1084" t="str">
        <f t="shared" si="166"/>
        <v>122023</v>
      </c>
      <c r="I1084">
        <f t="shared" si="167"/>
        <v>31</v>
      </c>
      <c r="J1084">
        <f t="shared" si="163"/>
        <v>2433.299004015606</v>
      </c>
      <c r="K1084">
        <f t="shared" si="164"/>
        <v>702.42877357237853</v>
      </c>
      <c r="L1084">
        <f t="shared" si="165"/>
        <v>664.84529568732114</v>
      </c>
      <c r="M1084" t="str">
        <f t="shared" si="168"/>
        <v>512023</v>
      </c>
      <c r="N1084" t="str">
        <f t="shared" si="169"/>
        <v>51-12-2023</v>
      </c>
    </row>
    <row r="1085" spans="1:14" x14ac:dyDescent="0.2">
      <c r="A1085" s="1">
        <v>45280</v>
      </c>
      <c r="B1085">
        <f>IFERROR(INDEX('planning dogs-n-tiger'!B$1:B$30,MATCH($H1085,'planning dogs-n-tiger'!$G$1:$G$42,0)),0)</f>
        <v>75432.269124483792</v>
      </c>
      <c r="C1085">
        <f>IFERROR(INDEX('planning dogs-n-tiger'!C$1:C$30,MATCH($H1085,'planning dogs-n-tiger'!$G$1:$G$42,0)),0)</f>
        <v>21775.291980743736</v>
      </c>
      <c r="D1085">
        <f>IFERROR(INDEX('planning dogs-n-tiger'!D$1:D$30,MATCH($H1085,'planning dogs-n-tiger'!$G$1:$G$42,0)),0)</f>
        <v>20610.204166306954</v>
      </c>
      <c r="E1085">
        <f t="shared" si="160"/>
        <v>51</v>
      </c>
      <c r="F1085">
        <f t="shared" si="161"/>
        <v>12</v>
      </c>
      <c r="G1085">
        <f t="shared" si="162"/>
        <v>2023</v>
      </c>
      <c r="H1085" t="str">
        <f t="shared" si="166"/>
        <v>122023</v>
      </c>
      <c r="I1085">
        <f t="shared" si="167"/>
        <v>31</v>
      </c>
      <c r="J1085">
        <f t="shared" si="163"/>
        <v>2433.299004015606</v>
      </c>
      <c r="K1085">
        <f t="shared" si="164"/>
        <v>702.42877357237853</v>
      </c>
      <c r="L1085">
        <f t="shared" si="165"/>
        <v>664.84529568732114</v>
      </c>
      <c r="M1085" t="str">
        <f t="shared" si="168"/>
        <v>512023</v>
      </c>
      <c r="N1085" t="str">
        <f t="shared" si="169"/>
        <v>51-12-2023</v>
      </c>
    </row>
    <row r="1086" spans="1:14" x14ac:dyDescent="0.2">
      <c r="A1086" s="1">
        <v>45281</v>
      </c>
      <c r="B1086">
        <f>IFERROR(INDEX('planning dogs-n-tiger'!B$1:B$30,MATCH($H1086,'planning dogs-n-tiger'!$G$1:$G$42,0)),0)</f>
        <v>75432.269124483792</v>
      </c>
      <c r="C1086">
        <f>IFERROR(INDEX('planning dogs-n-tiger'!C$1:C$30,MATCH($H1086,'planning dogs-n-tiger'!$G$1:$G$42,0)),0)</f>
        <v>21775.291980743736</v>
      </c>
      <c r="D1086">
        <f>IFERROR(INDEX('planning dogs-n-tiger'!D$1:D$30,MATCH($H1086,'planning dogs-n-tiger'!$G$1:$G$42,0)),0)</f>
        <v>20610.204166306954</v>
      </c>
      <c r="E1086">
        <f t="shared" si="160"/>
        <v>51</v>
      </c>
      <c r="F1086">
        <f t="shared" si="161"/>
        <v>12</v>
      </c>
      <c r="G1086">
        <f t="shared" si="162"/>
        <v>2023</v>
      </c>
      <c r="H1086" t="str">
        <f t="shared" si="166"/>
        <v>122023</v>
      </c>
      <c r="I1086">
        <f t="shared" si="167"/>
        <v>31</v>
      </c>
      <c r="J1086">
        <f t="shared" si="163"/>
        <v>2433.299004015606</v>
      </c>
      <c r="K1086">
        <f t="shared" si="164"/>
        <v>702.42877357237853</v>
      </c>
      <c r="L1086">
        <f t="shared" si="165"/>
        <v>664.84529568732114</v>
      </c>
      <c r="M1086" t="str">
        <f t="shared" si="168"/>
        <v>512023</v>
      </c>
      <c r="N1086" t="str">
        <f t="shared" si="169"/>
        <v>51-12-2023</v>
      </c>
    </row>
    <row r="1087" spans="1:14" x14ac:dyDescent="0.2">
      <c r="A1087" s="1">
        <v>45282</v>
      </c>
      <c r="B1087">
        <f>IFERROR(INDEX('planning dogs-n-tiger'!B$1:B$30,MATCH($H1087,'planning dogs-n-tiger'!$G$1:$G$42,0)),0)</f>
        <v>75432.269124483792</v>
      </c>
      <c r="C1087">
        <f>IFERROR(INDEX('planning dogs-n-tiger'!C$1:C$30,MATCH($H1087,'planning dogs-n-tiger'!$G$1:$G$42,0)),0)</f>
        <v>21775.291980743736</v>
      </c>
      <c r="D1087">
        <f>IFERROR(INDEX('planning dogs-n-tiger'!D$1:D$30,MATCH($H1087,'planning dogs-n-tiger'!$G$1:$G$42,0)),0)</f>
        <v>20610.204166306954</v>
      </c>
      <c r="E1087">
        <f t="shared" si="160"/>
        <v>51</v>
      </c>
      <c r="F1087">
        <f t="shared" si="161"/>
        <v>12</v>
      </c>
      <c r="G1087">
        <f t="shared" si="162"/>
        <v>2023</v>
      </c>
      <c r="H1087" t="str">
        <f t="shared" si="166"/>
        <v>122023</v>
      </c>
      <c r="I1087">
        <f t="shared" si="167"/>
        <v>31</v>
      </c>
      <c r="J1087">
        <f t="shared" si="163"/>
        <v>2433.299004015606</v>
      </c>
      <c r="K1087">
        <f t="shared" si="164"/>
        <v>702.42877357237853</v>
      </c>
      <c r="L1087">
        <f t="shared" si="165"/>
        <v>664.84529568732114</v>
      </c>
      <c r="M1087" t="str">
        <f t="shared" si="168"/>
        <v>512023</v>
      </c>
      <c r="N1087" t="str">
        <f t="shared" si="169"/>
        <v>51-12-2023</v>
      </c>
    </row>
    <row r="1088" spans="1:14" x14ac:dyDescent="0.2">
      <c r="A1088" s="1">
        <v>45283</v>
      </c>
      <c r="B1088">
        <f>IFERROR(INDEX('planning dogs-n-tiger'!B$1:B$30,MATCH($H1088,'planning dogs-n-tiger'!$G$1:$G$42,0)),0)</f>
        <v>75432.269124483792</v>
      </c>
      <c r="C1088">
        <f>IFERROR(INDEX('planning dogs-n-tiger'!C$1:C$30,MATCH($H1088,'planning dogs-n-tiger'!$G$1:$G$42,0)),0)</f>
        <v>21775.291980743736</v>
      </c>
      <c r="D1088">
        <f>IFERROR(INDEX('planning dogs-n-tiger'!D$1:D$30,MATCH($H1088,'planning dogs-n-tiger'!$G$1:$G$42,0)),0)</f>
        <v>20610.204166306954</v>
      </c>
      <c r="E1088">
        <f t="shared" si="160"/>
        <v>51</v>
      </c>
      <c r="F1088">
        <f t="shared" si="161"/>
        <v>12</v>
      </c>
      <c r="G1088">
        <f t="shared" si="162"/>
        <v>2023</v>
      </c>
      <c r="H1088" t="str">
        <f t="shared" si="166"/>
        <v>122023</v>
      </c>
      <c r="I1088">
        <f t="shared" si="167"/>
        <v>31</v>
      </c>
      <c r="J1088">
        <f t="shared" si="163"/>
        <v>2433.299004015606</v>
      </c>
      <c r="K1088">
        <f t="shared" si="164"/>
        <v>702.42877357237853</v>
      </c>
      <c r="L1088">
        <f t="shared" si="165"/>
        <v>664.84529568732114</v>
      </c>
      <c r="M1088" t="str">
        <f t="shared" si="168"/>
        <v>512023</v>
      </c>
      <c r="N1088" t="str">
        <f t="shared" si="169"/>
        <v>51-12-2023</v>
      </c>
    </row>
    <row r="1089" spans="1:14" x14ac:dyDescent="0.2">
      <c r="A1089" s="1">
        <v>45284</v>
      </c>
      <c r="B1089">
        <f>IFERROR(INDEX('planning dogs-n-tiger'!B$1:B$30,MATCH($H1089,'planning dogs-n-tiger'!$G$1:$G$42,0)),0)</f>
        <v>75432.269124483792</v>
      </c>
      <c r="C1089">
        <f>IFERROR(INDEX('planning dogs-n-tiger'!C$1:C$30,MATCH($H1089,'planning dogs-n-tiger'!$G$1:$G$42,0)),0)</f>
        <v>21775.291980743736</v>
      </c>
      <c r="D1089">
        <f>IFERROR(INDEX('planning dogs-n-tiger'!D$1:D$30,MATCH($H1089,'planning dogs-n-tiger'!$G$1:$G$42,0)),0)</f>
        <v>20610.204166306954</v>
      </c>
      <c r="E1089">
        <f t="shared" si="160"/>
        <v>51</v>
      </c>
      <c r="F1089">
        <f t="shared" si="161"/>
        <v>12</v>
      </c>
      <c r="G1089">
        <f t="shared" si="162"/>
        <v>2023</v>
      </c>
      <c r="H1089" t="str">
        <f t="shared" si="166"/>
        <v>122023</v>
      </c>
      <c r="I1089">
        <f t="shared" si="167"/>
        <v>31</v>
      </c>
      <c r="J1089">
        <f t="shared" si="163"/>
        <v>2433.299004015606</v>
      </c>
      <c r="K1089">
        <f t="shared" si="164"/>
        <v>702.42877357237853</v>
      </c>
      <c r="L1089">
        <f t="shared" si="165"/>
        <v>664.84529568732114</v>
      </c>
      <c r="M1089" t="str">
        <f t="shared" si="168"/>
        <v>512023</v>
      </c>
      <c r="N1089" t="str">
        <f t="shared" si="169"/>
        <v>51-12-2023</v>
      </c>
    </row>
    <row r="1090" spans="1:14" x14ac:dyDescent="0.2">
      <c r="A1090" s="1">
        <v>45285</v>
      </c>
      <c r="B1090">
        <f>IFERROR(INDEX('planning dogs-n-tiger'!B$1:B$30,MATCH($H1090,'planning dogs-n-tiger'!$G$1:$G$42,0)),0)</f>
        <v>75432.269124483792</v>
      </c>
      <c r="C1090">
        <f>IFERROR(INDEX('planning dogs-n-tiger'!C$1:C$30,MATCH($H1090,'planning dogs-n-tiger'!$G$1:$G$42,0)),0)</f>
        <v>21775.291980743736</v>
      </c>
      <c r="D1090">
        <f>IFERROR(INDEX('planning dogs-n-tiger'!D$1:D$30,MATCH($H1090,'planning dogs-n-tiger'!$G$1:$G$42,0)),0)</f>
        <v>20610.204166306954</v>
      </c>
      <c r="E1090">
        <f t="shared" ref="E1090:E1096" si="170">_xlfn.ISOWEEKNUM(A1090)</f>
        <v>52</v>
      </c>
      <c r="F1090">
        <f t="shared" ref="F1090:F1096" si="171">MONTH(A1090)</f>
        <v>12</v>
      </c>
      <c r="G1090">
        <f t="shared" ref="G1090:G1096" si="172">YEAR(A1090)</f>
        <v>2023</v>
      </c>
      <c r="H1090" t="str">
        <f t="shared" si="166"/>
        <v>122023</v>
      </c>
      <c r="I1090">
        <f t="shared" si="167"/>
        <v>31</v>
      </c>
      <c r="J1090">
        <f t="shared" ref="J1090:J1096" si="173">B1090/$I1090</f>
        <v>2433.299004015606</v>
      </c>
      <c r="K1090">
        <f t="shared" ref="K1090:K1096" si="174">C1090/$I1090</f>
        <v>702.42877357237853</v>
      </c>
      <c r="L1090">
        <f t="shared" ref="L1090:L1096" si="175">D1090/$I1090</f>
        <v>664.84529568732114</v>
      </c>
      <c r="M1090" t="str">
        <f t="shared" si="168"/>
        <v>522023</v>
      </c>
      <c r="N1090" t="str">
        <f t="shared" si="169"/>
        <v>52-12-2023</v>
      </c>
    </row>
    <row r="1091" spans="1:14" x14ac:dyDescent="0.2">
      <c r="A1091" s="1">
        <v>45286</v>
      </c>
      <c r="B1091">
        <f>IFERROR(INDEX('planning dogs-n-tiger'!B$1:B$30,MATCH($H1091,'planning dogs-n-tiger'!$G$1:$G$42,0)),0)</f>
        <v>75432.269124483792</v>
      </c>
      <c r="C1091">
        <f>IFERROR(INDEX('planning dogs-n-tiger'!C$1:C$30,MATCH($H1091,'planning dogs-n-tiger'!$G$1:$G$42,0)),0)</f>
        <v>21775.291980743736</v>
      </c>
      <c r="D1091">
        <f>IFERROR(INDEX('planning dogs-n-tiger'!D$1:D$30,MATCH($H1091,'planning dogs-n-tiger'!$G$1:$G$42,0)),0)</f>
        <v>20610.204166306954</v>
      </c>
      <c r="E1091">
        <f t="shared" si="170"/>
        <v>52</v>
      </c>
      <c r="F1091">
        <f t="shared" si="171"/>
        <v>12</v>
      </c>
      <c r="G1091">
        <f t="shared" si="172"/>
        <v>2023</v>
      </c>
      <c r="H1091" t="str">
        <f t="shared" ref="H1091:H1096" si="176">F1091&amp;G1091</f>
        <v>122023</v>
      </c>
      <c r="I1091">
        <f t="shared" ref="I1091:I1096" si="177">DAY(EOMONTH(DATE(G1091,F1091,0),1))</f>
        <v>31</v>
      </c>
      <c r="J1091">
        <f t="shared" si="173"/>
        <v>2433.299004015606</v>
      </c>
      <c r="K1091">
        <f t="shared" si="174"/>
        <v>702.42877357237853</v>
      </c>
      <c r="L1091">
        <f t="shared" si="175"/>
        <v>664.84529568732114</v>
      </c>
      <c r="M1091" t="str">
        <f t="shared" ref="M1091:M1096" si="178">E1091&amp;G1091</f>
        <v>522023</v>
      </c>
      <c r="N1091" t="str">
        <f t="shared" ref="N1091:N1096" si="179">E1091&amp;"-"&amp;F1091&amp;"-"&amp;G1091</f>
        <v>52-12-2023</v>
      </c>
    </row>
    <row r="1092" spans="1:14" x14ac:dyDescent="0.2">
      <c r="A1092" s="1">
        <v>45287</v>
      </c>
      <c r="B1092">
        <f>IFERROR(INDEX('planning dogs-n-tiger'!B$1:B$30,MATCH($H1092,'planning dogs-n-tiger'!$G$1:$G$42,0)),0)</f>
        <v>75432.269124483792</v>
      </c>
      <c r="C1092">
        <f>IFERROR(INDEX('planning dogs-n-tiger'!C$1:C$30,MATCH($H1092,'planning dogs-n-tiger'!$G$1:$G$42,0)),0)</f>
        <v>21775.291980743736</v>
      </c>
      <c r="D1092">
        <f>IFERROR(INDEX('planning dogs-n-tiger'!D$1:D$30,MATCH($H1092,'planning dogs-n-tiger'!$G$1:$G$42,0)),0)</f>
        <v>20610.204166306954</v>
      </c>
      <c r="E1092">
        <f t="shared" si="170"/>
        <v>52</v>
      </c>
      <c r="F1092">
        <f t="shared" si="171"/>
        <v>12</v>
      </c>
      <c r="G1092">
        <f t="shared" si="172"/>
        <v>2023</v>
      </c>
      <c r="H1092" t="str">
        <f t="shared" si="176"/>
        <v>122023</v>
      </c>
      <c r="I1092">
        <f t="shared" si="177"/>
        <v>31</v>
      </c>
      <c r="J1092">
        <f t="shared" si="173"/>
        <v>2433.299004015606</v>
      </c>
      <c r="K1092">
        <f t="shared" si="174"/>
        <v>702.42877357237853</v>
      </c>
      <c r="L1092">
        <f t="shared" si="175"/>
        <v>664.84529568732114</v>
      </c>
      <c r="M1092" t="str">
        <f t="shared" si="178"/>
        <v>522023</v>
      </c>
      <c r="N1092" t="str">
        <f t="shared" si="179"/>
        <v>52-12-2023</v>
      </c>
    </row>
    <row r="1093" spans="1:14" x14ac:dyDescent="0.2">
      <c r="A1093" s="1">
        <v>45288</v>
      </c>
      <c r="B1093">
        <f>IFERROR(INDEX('planning dogs-n-tiger'!B$1:B$30,MATCH($H1093,'planning dogs-n-tiger'!$G$1:$G$42,0)),0)</f>
        <v>75432.269124483792</v>
      </c>
      <c r="C1093">
        <f>IFERROR(INDEX('planning dogs-n-tiger'!C$1:C$30,MATCH($H1093,'planning dogs-n-tiger'!$G$1:$G$42,0)),0)</f>
        <v>21775.291980743736</v>
      </c>
      <c r="D1093">
        <f>IFERROR(INDEX('planning dogs-n-tiger'!D$1:D$30,MATCH($H1093,'planning dogs-n-tiger'!$G$1:$G$42,0)),0)</f>
        <v>20610.204166306954</v>
      </c>
      <c r="E1093">
        <f t="shared" si="170"/>
        <v>52</v>
      </c>
      <c r="F1093">
        <f t="shared" si="171"/>
        <v>12</v>
      </c>
      <c r="G1093">
        <f t="shared" si="172"/>
        <v>2023</v>
      </c>
      <c r="H1093" t="str">
        <f t="shared" si="176"/>
        <v>122023</v>
      </c>
      <c r="I1093">
        <f t="shared" si="177"/>
        <v>31</v>
      </c>
      <c r="J1093">
        <f t="shared" si="173"/>
        <v>2433.299004015606</v>
      </c>
      <c r="K1093">
        <f t="shared" si="174"/>
        <v>702.42877357237853</v>
      </c>
      <c r="L1093">
        <f t="shared" si="175"/>
        <v>664.84529568732114</v>
      </c>
      <c r="M1093" t="str">
        <f t="shared" si="178"/>
        <v>522023</v>
      </c>
      <c r="N1093" t="str">
        <f t="shared" si="179"/>
        <v>52-12-2023</v>
      </c>
    </row>
    <row r="1094" spans="1:14" x14ac:dyDescent="0.2">
      <c r="A1094" s="1">
        <v>45289</v>
      </c>
      <c r="B1094">
        <f>IFERROR(INDEX('planning dogs-n-tiger'!B$1:B$30,MATCH($H1094,'planning dogs-n-tiger'!$G$1:$G$42,0)),0)</f>
        <v>75432.269124483792</v>
      </c>
      <c r="C1094">
        <f>IFERROR(INDEX('planning dogs-n-tiger'!C$1:C$30,MATCH($H1094,'planning dogs-n-tiger'!$G$1:$G$42,0)),0)</f>
        <v>21775.291980743736</v>
      </c>
      <c r="D1094">
        <f>IFERROR(INDEX('planning dogs-n-tiger'!D$1:D$30,MATCH($H1094,'planning dogs-n-tiger'!$G$1:$G$42,0)),0)</f>
        <v>20610.204166306954</v>
      </c>
      <c r="E1094">
        <f t="shared" si="170"/>
        <v>52</v>
      </c>
      <c r="F1094">
        <f t="shared" si="171"/>
        <v>12</v>
      </c>
      <c r="G1094">
        <f t="shared" si="172"/>
        <v>2023</v>
      </c>
      <c r="H1094" t="str">
        <f t="shared" si="176"/>
        <v>122023</v>
      </c>
      <c r="I1094">
        <f t="shared" si="177"/>
        <v>31</v>
      </c>
      <c r="J1094">
        <f t="shared" si="173"/>
        <v>2433.299004015606</v>
      </c>
      <c r="K1094">
        <f t="shared" si="174"/>
        <v>702.42877357237853</v>
      </c>
      <c r="L1094">
        <f t="shared" si="175"/>
        <v>664.84529568732114</v>
      </c>
      <c r="M1094" t="str">
        <f t="shared" si="178"/>
        <v>522023</v>
      </c>
      <c r="N1094" t="str">
        <f t="shared" si="179"/>
        <v>52-12-2023</v>
      </c>
    </row>
    <row r="1095" spans="1:14" x14ac:dyDescent="0.2">
      <c r="A1095" s="1">
        <v>45290</v>
      </c>
      <c r="B1095">
        <f>IFERROR(INDEX('planning dogs-n-tiger'!B$1:B$30,MATCH($H1095,'planning dogs-n-tiger'!$G$1:$G$42,0)),0)</f>
        <v>75432.269124483792</v>
      </c>
      <c r="C1095">
        <f>IFERROR(INDEX('planning dogs-n-tiger'!C$1:C$30,MATCH($H1095,'planning dogs-n-tiger'!$G$1:$G$42,0)),0)</f>
        <v>21775.291980743736</v>
      </c>
      <c r="D1095">
        <f>IFERROR(INDEX('planning dogs-n-tiger'!D$1:D$30,MATCH($H1095,'planning dogs-n-tiger'!$G$1:$G$42,0)),0)</f>
        <v>20610.204166306954</v>
      </c>
      <c r="E1095">
        <f t="shared" si="170"/>
        <v>52</v>
      </c>
      <c r="F1095">
        <f t="shared" si="171"/>
        <v>12</v>
      </c>
      <c r="G1095">
        <f t="shared" si="172"/>
        <v>2023</v>
      </c>
      <c r="H1095" t="str">
        <f t="shared" si="176"/>
        <v>122023</v>
      </c>
      <c r="I1095">
        <f t="shared" si="177"/>
        <v>31</v>
      </c>
      <c r="J1095">
        <f t="shared" si="173"/>
        <v>2433.299004015606</v>
      </c>
      <c r="K1095">
        <f t="shared" si="174"/>
        <v>702.42877357237853</v>
      </c>
      <c r="L1095">
        <f t="shared" si="175"/>
        <v>664.84529568732114</v>
      </c>
      <c r="M1095" t="str">
        <f t="shared" si="178"/>
        <v>522023</v>
      </c>
      <c r="N1095" t="str">
        <f t="shared" si="179"/>
        <v>52-12-2023</v>
      </c>
    </row>
    <row r="1096" spans="1:14" x14ac:dyDescent="0.2">
      <c r="A1096" s="1">
        <v>45291</v>
      </c>
      <c r="B1096">
        <f>IFERROR(INDEX('planning dogs-n-tiger'!B$1:B$30,MATCH($H1096,'planning dogs-n-tiger'!$G$1:$G$42,0)),0)</f>
        <v>75432.269124483792</v>
      </c>
      <c r="C1096">
        <f>IFERROR(INDEX('planning dogs-n-tiger'!C$1:C$30,MATCH($H1096,'planning dogs-n-tiger'!$G$1:$G$42,0)),0)</f>
        <v>21775.291980743736</v>
      </c>
      <c r="D1096">
        <f>IFERROR(INDEX('planning dogs-n-tiger'!D$1:D$30,MATCH($H1096,'planning dogs-n-tiger'!$G$1:$G$42,0)),0)</f>
        <v>20610.204166306954</v>
      </c>
      <c r="E1096">
        <f t="shared" si="170"/>
        <v>52</v>
      </c>
      <c r="F1096">
        <f t="shared" si="171"/>
        <v>12</v>
      </c>
      <c r="G1096">
        <f t="shared" si="172"/>
        <v>2023</v>
      </c>
      <c r="H1096" t="str">
        <f t="shared" si="176"/>
        <v>122023</v>
      </c>
      <c r="I1096">
        <f t="shared" si="177"/>
        <v>31</v>
      </c>
      <c r="J1096">
        <f t="shared" si="173"/>
        <v>2433.299004015606</v>
      </c>
      <c r="K1096">
        <f t="shared" si="174"/>
        <v>702.42877357237853</v>
      </c>
      <c r="L1096">
        <f t="shared" si="175"/>
        <v>664.84529568732114</v>
      </c>
      <c r="M1096" t="str">
        <f t="shared" si="178"/>
        <v>522023</v>
      </c>
      <c r="N1096" t="str">
        <f t="shared" si="179"/>
        <v>52-12-2023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EA14-9094-AA4F-8FFD-2383DC19B240}">
  <dimension ref="A1:H188"/>
  <sheetViews>
    <sheetView topLeftCell="A147" workbookViewId="0">
      <selection activeCell="E169" sqref="A169:E171"/>
    </sheetView>
  </sheetViews>
  <sheetFormatPr baseColWidth="10" defaultRowHeight="16" x14ac:dyDescent="0.2"/>
  <sheetData>
    <row r="1" spans="1:8" x14ac:dyDescent="0.2">
      <c r="A1" s="8" t="s">
        <v>32</v>
      </c>
      <c r="B1" s="8" t="s">
        <v>28</v>
      </c>
      <c r="C1" s="8" t="s">
        <v>29</v>
      </c>
      <c r="D1" s="8" t="s">
        <v>26</v>
      </c>
      <c r="E1" s="8" t="s">
        <v>27</v>
      </c>
      <c r="F1" s="8" t="s">
        <v>35</v>
      </c>
      <c r="G1" s="8" t="s">
        <v>34</v>
      </c>
      <c r="H1" s="8" t="s">
        <v>37</v>
      </c>
    </row>
    <row r="2" spans="1:8" x14ac:dyDescent="0.2">
      <c r="A2" s="11">
        <v>53</v>
      </c>
      <c r="B2" s="11">
        <v>1</v>
      </c>
      <c r="C2" s="11">
        <v>2021</v>
      </c>
      <c r="D2" s="11">
        <f>SUMIF(transformed!$N:$N,weekly!$H2,transformed!J:J)</f>
        <v>0</v>
      </c>
      <c r="E2" s="11">
        <f>SUMIF(transformed!$N:$N,weekly!$H2,transformed!K:K)</f>
        <v>0</v>
      </c>
      <c r="F2" s="11">
        <f>SUMIF(transformed!$N:$N,weekly!$H2,transformed!L:L)</f>
        <v>0</v>
      </c>
      <c r="G2" t="str">
        <f>A2&amp;C2</f>
        <v>532021</v>
      </c>
      <c r="H2" t="str">
        <f>A2&amp;"-"&amp;B2&amp;"-"&amp;C2</f>
        <v>53-1-2021</v>
      </c>
    </row>
    <row r="3" spans="1:8" x14ac:dyDescent="0.2">
      <c r="A3" s="11">
        <v>1</v>
      </c>
      <c r="B3" s="11">
        <v>1</v>
      </c>
      <c r="C3" s="11">
        <v>2021</v>
      </c>
      <c r="D3" s="11">
        <f>SUMIF(transformed!$N:$N,weekly!$H3,transformed!J:J)</f>
        <v>0</v>
      </c>
      <c r="E3" s="11">
        <f>SUMIF(transformed!$N:$N,weekly!$H3,transformed!K:K)</f>
        <v>0</v>
      </c>
      <c r="F3" s="11">
        <f>SUMIF(transformed!$N:$N,weekly!$H3,transformed!L:L)</f>
        <v>0</v>
      </c>
      <c r="G3" t="str">
        <f t="shared" ref="G3:G66" si="0">A3&amp;C3</f>
        <v>12021</v>
      </c>
      <c r="H3" t="str">
        <f t="shared" ref="H3:H66" si="1">A3&amp;"-"&amp;B3&amp;"-"&amp;C3</f>
        <v>1-1-2021</v>
      </c>
    </row>
    <row r="4" spans="1:8" x14ac:dyDescent="0.2">
      <c r="A4" s="11">
        <v>2</v>
      </c>
      <c r="B4" s="11">
        <v>1</v>
      </c>
      <c r="C4" s="11">
        <v>2021</v>
      </c>
      <c r="D4" s="11">
        <f>SUMIF(transformed!$N:$N,weekly!$H4,transformed!J:J)</f>
        <v>0</v>
      </c>
      <c r="E4" s="11">
        <f>SUMIF(transformed!$N:$N,weekly!$H4,transformed!K:K)</f>
        <v>0</v>
      </c>
      <c r="F4" s="11">
        <f>SUMIF(transformed!$N:$N,weekly!$H4,transformed!L:L)</f>
        <v>0</v>
      </c>
      <c r="G4" t="str">
        <f t="shared" si="0"/>
        <v>22021</v>
      </c>
      <c r="H4" t="str">
        <f t="shared" si="1"/>
        <v>2-1-2021</v>
      </c>
    </row>
    <row r="5" spans="1:8" x14ac:dyDescent="0.2">
      <c r="A5" s="11">
        <v>3</v>
      </c>
      <c r="B5" s="11">
        <v>1</v>
      </c>
      <c r="C5" s="11">
        <v>2021</v>
      </c>
      <c r="D5" s="11">
        <f>SUMIF(transformed!$N:$N,weekly!$H5,transformed!J:J)</f>
        <v>0</v>
      </c>
      <c r="E5" s="11">
        <f>SUMIF(transformed!$N:$N,weekly!$H5,transformed!K:K)</f>
        <v>0</v>
      </c>
      <c r="F5" s="11">
        <f>SUMIF(transformed!$N:$N,weekly!$H5,transformed!L:L)</f>
        <v>0</v>
      </c>
      <c r="G5" t="str">
        <f t="shared" si="0"/>
        <v>32021</v>
      </c>
      <c r="H5" t="str">
        <f t="shared" si="1"/>
        <v>3-1-2021</v>
      </c>
    </row>
    <row r="6" spans="1:8" x14ac:dyDescent="0.2">
      <c r="A6" s="11">
        <v>4</v>
      </c>
      <c r="B6" s="11">
        <v>1</v>
      </c>
      <c r="C6" s="11">
        <v>2021</v>
      </c>
      <c r="D6" s="11">
        <f>SUMIF(transformed!$N:$N,weekly!$H6,transformed!J:J)</f>
        <v>0</v>
      </c>
      <c r="E6" s="11">
        <f>SUMIF(transformed!$N:$N,weekly!$H6,transformed!K:K)</f>
        <v>0</v>
      </c>
      <c r="F6" s="11">
        <f>SUMIF(transformed!$N:$N,weekly!$H6,transformed!L:L)</f>
        <v>0</v>
      </c>
      <c r="G6" t="str">
        <f t="shared" si="0"/>
        <v>42021</v>
      </c>
      <c r="H6" t="str">
        <f t="shared" si="1"/>
        <v>4-1-2021</v>
      </c>
    </row>
    <row r="7" spans="1:8" x14ac:dyDescent="0.2">
      <c r="A7" s="11">
        <v>5</v>
      </c>
      <c r="B7" s="11">
        <v>2</v>
      </c>
      <c r="C7" s="11">
        <v>2021</v>
      </c>
      <c r="D7" s="11">
        <f>SUMIF(transformed!$N:$N,weekly!$H7,transformed!J:J)</f>
        <v>0</v>
      </c>
      <c r="E7" s="11">
        <f>SUMIF(transformed!$N:$N,weekly!$H7,transformed!K:K)</f>
        <v>0</v>
      </c>
      <c r="F7" s="11">
        <f>SUMIF(transformed!$N:$N,weekly!$H7,transformed!L:L)</f>
        <v>0</v>
      </c>
      <c r="G7" t="str">
        <f t="shared" si="0"/>
        <v>52021</v>
      </c>
      <c r="H7" t="str">
        <f t="shared" si="1"/>
        <v>5-2-2021</v>
      </c>
    </row>
    <row r="8" spans="1:8" x14ac:dyDescent="0.2">
      <c r="A8" s="11">
        <v>6</v>
      </c>
      <c r="B8" s="11">
        <v>2</v>
      </c>
      <c r="C8" s="11">
        <v>2021</v>
      </c>
      <c r="D8" s="11">
        <f>SUMIF(transformed!$N:$N,weekly!$H8,transformed!J:J)</f>
        <v>0</v>
      </c>
      <c r="E8" s="11">
        <f>SUMIF(transformed!$N:$N,weekly!$H8,transformed!K:K)</f>
        <v>0</v>
      </c>
      <c r="F8" s="11">
        <f>SUMIF(transformed!$N:$N,weekly!$H8,transformed!L:L)</f>
        <v>0</v>
      </c>
      <c r="G8" t="str">
        <f t="shared" si="0"/>
        <v>62021</v>
      </c>
      <c r="H8" t="str">
        <f t="shared" si="1"/>
        <v>6-2-2021</v>
      </c>
    </row>
    <row r="9" spans="1:8" x14ac:dyDescent="0.2">
      <c r="A9" s="11">
        <v>7</v>
      </c>
      <c r="B9" s="11">
        <v>2</v>
      </c>
      <c r="C9" s="11">
        <v>2021</v>
      </c>
      <c r="D9" s="11">
        <f>SUMIF(transformed!$N:$N,weekly!$H9,transformed!J:J)</f>
        <v>0</v>
      </c>
      <c r="E9" s="11">
        <f>SUMIF(transformed!$N:$N,weekly!$H9,transformed!K:K)</f>
        <v>0</v>
      </c>
      <c r="F9" s="11">
        <f>SUMIF(transformed!$N:$N,weekly!$H9,transformed!L:L)</f>
        <v>0</v>
      </c>
      <c r="G9" t="str">
        <f t="shared" si="0"/>
        <v>72021</v>
      </c>
      <c r="H9" t="str">
        <f t="shared" si="1"/>
        <v>7-2-2021</v>
      </c>
    </row>
    <row r="10" spans="1:8" x14ac:dyDescent="0.2">
      <c r="A10" s="11">
        <v>8</v>
      </c>
      <c r="B10" s="11">
        <v>2</v>
      </c>
      <c r="C10" s="11">
        <v>2021</v>
      </c>
      <c r="D10" s="11">
        <f>SUMIF(transformed!$N:$N,weekly!$H10,transformed!J:J)</f>
        <v>0</v>
      </c>
      <c r="E10" s="11">
        <f>SUMIF(transformed!$N:$N,weekly!$H10,transformed!K:K)</f>
        <v>0</v>
      </c>
      <c r="F10" s="11">
        <f>SUMIF(transformed!$N:$N,weekly!$H10,transformed!L:L)</f>
        <v>0</v>
      </c>
      <c r="G10" t="str">
        <f t="shared" si="0"/>
        <v>82021</v>
      </c>
      <c r="H10" t="str">
        <f t="shared" si="1"/>
        <v>8-2-2021</v>
      </c>
    </row>
    <row r="11" spans="1:8" x14ac:dyDescent="0.2">
      <c r="A11" s="11">
        <v>9</v>
      </c>
      <c r="B11" s="11">
        <v>3</v>
      </c>
      <c r="C11" s="11">
        <v>2021</v>
      </c>
      <c r="D11" s="11">
        <f>SUMIF(transformed!$N:$N,weekly!$H11,transformed!J:J)</f>
        <v>0</v>
      </c>
      <c r="E11" s="11">
        <f>SUMIF(transformed!$N:$N,weekly!$H11,transformed!K:K)</f>
        <v>0</v>
      </c>
      <c r="F11" s="11">
        <f>SUMIF(transformed!$N:$N,weekly!$H11,transformed!L:L)</f>
        <v>0</v>
      </c>
      <c r="G11" t="str">
        <f t="shared" si="0"/>
        <v>92021</v>
      </c>
      <c r="H11" t="str">
        <f t="shared" si="1"/>
        <v>9-3-2021</v>
      </c>
    </row>
    <row r="12" spans="1:8" x14ac:dyDescent="0.2">
      <c r="A12" s="11">
        <v>10</v>
      </c>
      <c r="B12" s="11">
        <v>3</v>
      </c>
      <c r="C12" s="11">
        <v>2021</v>
      </c>
      <c r="D12" s="11">
        <f>SUMIF(transformed!$N:$N,weekly!$H12,transformed!J:J)</f>
        <v>0</v>
      </c>
      <c r="E12" s="11">
        <f>SUMIF(transformed!$N:$N,weekly!$H12,transformed!K:K)</f>
        <v>0</v>
      </c>
      <c r="F12" s="11">
        <f>SUMIF(transformed!$N:$N,weekly!$H12,transformed!L:L)</f>
        <v>0</v>
      </c>
      <c r="G12" t="str">
        <f t="shared" si="0"/>
        <v>102021</v>
      </c>
      <c r="H12" t="str">
        <f t="shared" si="1"/>
        <v>10-3-2021</v>
      </c>
    </row>
    <row r="13" spans="1:8" x14ac:dyDescent="0.2">
      <c r="A13" s="11">
        <v>11</v>
      </c>
      <c r="B13" s="11">
        <v>3</v>
      </c>
      <c r="C13" s="11">
        <v>2021</v>
      </c>
      <c r="D13" s="11">
        <f>SUMIF(transformed!$N:$N,weekly!$H13,transformed!J:J)</f>
        <v>0</v>
      </c>
      <c r="E13" s="11">
        <f>SUMIF(transformed!$N:$N,weekly!$H13,transformed!K:K)</f>
        <v>0</v>
      </c>
      <c r="F13" s="11">
        <f>SUMIF(transformed!$N:$N,weekly!$H13,transformed!L:L)</f>
        <v>0</v>
      </c>
      <c r="G13" t="str">
        <f t="shared" si="0"/>
        <v>112021</v>
      </c>
      <c r="H13" t="str">
        <f t="shared" si="1"/>
        <v>11-3-2021</v>
      </c>
    </row>
    <row r="14" spans="1:8" x14ac:dyDescent="0.2">
      <c r="A14" s="11">
        <v>12</v>
      </c>
      <c r="B14" s="11">
        <v>3</v>
      </c>
      <c r="C14" s="11">
        <v>2021</v>
      </c>
      <c r="D14" s="11">
        <f>SUMIF(transformed!$N:$N,weekly!$H14,transformed!J:J)</f>
        <v>0</v>
      </c>
      <c r="E14" s="11">
        <f>SUMIF(transformed!$N:$N,weekly!$H14,transformed!K:K)</f>
        <v>0</v>
      </c>
      <c r="F14" s="11">
        <f>SUMIF(transformed!$N:$N,weekly!$H14,transformed!L:L)</f>
        <v>0</v>
      </c>
      <c r="G14" t="str">
        <f t="shared" si="0"/>
        <v>122021</v>
      </c>
      <c r="H14" t="str">
        <f t="shared" si="1"/>
        <v>12-3-2021</v>
      </c>
    </row>
    <row r="15" spans="1:8" x14ac:dyDescent="0.2">
      <c r="A15" s="11">
        <v>13</v>
      </c>
      <c r="B15" s="11">
        <v>3</v>
      </c>
      <c r="C15" s="11">
        <v>2021</v>
      </c>
      <c r="D15" s="11">
        <f>SUMIF(transformed!$N:$N,weekly!$H15,transformed!J:J)</f>
        <v>0</v>
      </c>
      <c r="E15" s="11">
        <f>SUMIF(transformed!$N:$N,weekly!$H15,transformed!K:K)</f>
        <v>0</v>
      </c>
      <c r="F15" s="11">
        <f>SUMIF(transformed!$N:$N,weekly!$H15,transformed!L:L)</f>
        <v>0</v>
      </c>
      <c r="G15" t="str">
        <f t="shared" si="0"/>
        <v>132021</v>
      </c>
      <c r="H15" t="str">
        <f t="shared" si="1"/>
        <v>13-3-2021</v>
      </c>
    </row>
    <row r="16" spans="1:8" x14ac:dyDescent="0.2">
      <c r="A16" s="11">
        <v>13</v>
      </c>
      <c r="B16" s="11">
        <v>4</v>
      </c>
      <c r="C16" s="11">
        <v>2021</v>
      </c>
      <c r="D16" s="11">
        <f>SUMIF(transformed!$N:$N,weekly!$H16,transformed!J:J)</f>
        <v>0</v>
      </c>
      <c r="E16" s="11">
        <f>SUMIF(transformed!$N:$N,weekly!$H16,transformed!K:K)</f>
        <v>0</v>
      </c>
      <c r="F16" s="11">
        <f>SUMIF(transformed!$N:$N,weekly!$H16,transformed!L:L)</f>
        <v>0</v>
      </c>
      <c r="G16" t="str">
        <f t="shared" si="0"/>
        <v>132021</v>
      </c>
      <c r="H16" t="str">
        <f t="shared" si="1"/>
        <v>13-4-2021</v>
      </c>
    </row>
    <row r="17" spans="1:8" x14ac:dyDescent="0.2">
      <c r="A17" s="11">
        <v>14</v>
      </c>
      <c r="B17" s="11">
        <v>4</v>
      </c>
      <c r="C17" s="11">
        <v>2021</v>
      </c>
      <c r="D17" s="11">
        <f>SUMIF(transformed!$N:$N,weekly!$H17,transformed!J:J)</f>
        <v>0</v>
      </c>
      <c r="E17" s="11">
        <f>SUMIF(transformed!$N:$N,weekly!$H17,transformed!K:K)</f>
        <v>0</v>
      </c>
      <c r="F17" s="11">
        <f>SUMIF(transformed!$N:$N,weekly!$H17,transformed!L:L)</f>
        <v>0</v>
      </c>
      <c r="G17" t="str">
        <f t="shared" si="0"/>
        <v>142021</v>
      </c>
      <c r="H17" t="str">
        <f t="shared" si="1"/>
        <v>14-4-2021</v>
      </c>
    </row>
    <row r="18" spans="1:8" x14ac:dyDescent="0.2">
      <c r="A18" s="11">
        <v>15</v>
      </c>
      <c r="B18" s="11">
        <v>4</v>
      </c>
      <c r="C18" s="11">
        <v>2021</v>
      </c>
      <c r="D18" s="11">
        <f>SUMIF(transformed!$N:$N,weekly!$H18,transformed!J:J)</f>
        <v>0</v>
      </c>
      <c r="E18" s="11">
        <f>SUMIF(transformed!$N:$N,weekly!$H18,transformed!K:K)</f>
        <v>0</v>
      </c>
      <c r="F18" s="11">
        <f>SUMIF(transformed!$N:$N,weekly!$H18,transformed!L:L)</f>
        <v>0</v>
      </c>
      <c r="G18" t="str">
        <f t="shared" si="0"/>
        <v>152021</v>
      </c>
      <c r="H18" t="str">
        <f t="shared" si="1"/>
        <v>15-4-2021</v>
      </c>
    </row>
    <row r="19" spans="1:8" x14ac:dyDescent="0.2">
      <c r="A19" s="11">
        <v>16</v>
      </c>
      <c r="B19" s="11">
        <v>4</v>
      </c>
      <c r="C19" s="11">
        <v>2021</v>
      </c>
      <c r="D19" s="11">
        <f>SUMIF(transformed!$N:$N,weekly!$H19,transformed!J:J)</f>
        <v>0</v>
      </c>
      <c r="E19" s="11">
        <f>SUMIF(transformed!$N:$N,weekly!$H19,transformed!K:K)</f>
        <v>0</v>
      </c>
      <c r="F19" s="11">
        <f>SUMIF(transformed!$N:$N,weekly!$H19,transformed!L:L)</f>
        <v>0</v>
      </c>
      <c r="G19" t="str">
        <f t="shared" si="0"/>
        <v>162021</v>
      </c>
      <c r="H19" t="str">
        <f t="shared" si="1"/>
        <v>16-4-2021</v>
      </c>
    </row>
    <row r="20" spans="1:8" x14ac:dyDescent="0.2">
      <c r="A20" s="11">
        <v>17</v>
      </c>
      <c r="B20" s="11">
        <v>4</v>
      </c>
      <c r="C20" s="11">
        <v>2021</v>
      </c>
      <c r="D20" s="11">
        <f>SUMIF(transformed!$N:$N,weekly!$H20,transformed!J:J)</f>
        <v>0</v>
      </c>
      <c r="E20" s="11">
        <f>SUMIF(transformed!$N:$N,weekly!$H20,transformed!K:K)</f>
        <v>0</v>
      </c>
      <c r="F20" s="11">
        <f>SUMIF(transformed!$N:$N,weekly!$H20,transformed!L:L)</f>
        <v>0</v>
      </c>
      <c r="G20" t="str">
        <f t="shared" si="0"/>
        <v>172021</v>
      </c>
      <c r="H20" t="str">
        <f t="shared" si="1"/>
        <v>17-4-2021</v>
      </c>
    </row>
    <row r="21" spans="1:8" x14ac:dyDescent="0.2">
      <c r="A21" s="11">
        <v>17</v>
      </c>
      <c r="B21" s="11">
        <v>5</v>
      </c>
      <c r="C21" s="11">
        <v>2021</v>
      </c>
      <c r="D21" s="11">
        <f>SUMIF(transformed!$N:$N,weekly!$H21,transformed!J:J)</f>
        <v>0</v>
      </c>
      <c r="E21" s="11">
        <f>SUMIF(transformed!$N:$N,weekly!$H21,transformed!K:K)</f>
        <v>0</v>
      </c>
      <c r="F21" s="11">
        <f>SUMIF(transformed!$N:$N,weekly!$H21,transformed!L:L)</f>
        <v>0</v>
      </c>
      <c r="G21" t="str">
        <f t="shared" si="0"/>
        <v>172021</v>
      </c>
      <c r="H21" t="str">
        <f t="shared" si="1"/>
        <v>17-5-2021</v>
      </c>
    </row>
    <row r="22" spans="1:8" x14ac:dyDescent="0.2">
      <c r="A22" s="11">
        <v>18</v>
      </c>
      <c r="B22" s="11">
        <v>5</v>
      </c>
      <c r="C22" s="11">
        <v>2021</v>
      </c>
      <c r="D22" s="11">
        <f>SUMIF(transformed!$N:$N,weekly!$H22,transformed!J:J)</f>
        <v>0</v>
      </c>
      <c r="E22" s="11">
        <f>SUMIF(transformed!$N:$N,weekly!$H22,transformed!K:K)</f>
        <v>0</v>
      </c>
      <c r="F22" s="11">
        <f>SUMIF(transformed!$N:$N,weekly!$H22,transformed!L:L)</f>
        <v>0</v>
      </c>
      <c r="G22" t="str">
        <f t="shared" si="0"/>
        <v>182021</v>
      </c>
      <c r="H22" t="str">
        <f t="shared" si="1"/>
        <v>18-5-2021</v>
      </c>
    </row>
    <row r="23" spans="1:8" x14ac:dyDescent="0.2">
      <c r="A23" s="11">
        <v>19</v>
      </c>
      <c r="B23" s="11">
        <v>5</v>
      </c>
      <c r="C23" s="11">
        <v>2021</v>
      </c>
      <c r="D23" s="11">
        <f>SUMIF(transformed!$N:$N,weekly!$H23,transformed!J:J)</f>
        <v>0</v>
      </c>
      <c r="E23" s="11">
        <f>SUMIF(transformed!$N:$N,weekly!$H23,transformed!K:K)</f>
        <v>0</v>
      </c>
      <c r="F23" s="11">
        <f>SUMIF(transformed!$N:$N,weekly!$H23,transformed!L:L)</f>
        <v>0</v>
      </c>
      <c r="G23" t="str">
        <f t="shared" si="0"/>
        <v>192021</v>
      </c>
      <c r="H23" t="str">
        <f t="shared" si="1"/>
        <v>19-5-2021</v>
      </c>
    </row>
    <row r="24" spans="1:8" x14ac:dyDescent="0.2">
      <c r="A24" s="11">
        <v>20</v>
      </c>
      <c r="B24" s="11">
        <v>5</v>
      </c>
      <c r="C24" s="11">
        <v>2021</v>
      </c>
      <c r="D24" s="11">
        <f>SUMIF(transformed!$N:$N,weekly!$H24,transformed!J:J)</f>
        <v>0</v>
      </c>
      <c r="E24" s="11">
        <f>SUMIF(transformed!$N:$N,weekly!$H24,transformed!K:K)</f>
        <v>0</v>
      </c>
      <c r="F24" s="11">
        <f>SUMIF(transformed!$N:$N,weekly!$H24,transformed!L:L)</f>
        <v>0</v>
      </c>
      <c r="G24" t="str">
        <f t="shared" si="0"/>
        <v>202021</v>
      </c>
      <c r="H24" t="str">
        <f t="shared" si="1"/>
        <v>20-5-2021</v>
      </c>
    </row>
    <row r="25" spans="1:8" x14ac:dyDescent="0.2">
      <c r="A25" s="11">
        <v>21</v>
      </c>
      <c r="B25" s="11">
        <v>5</v>
      </c>
      <c r="C25" s="11">
        <v>2021</v>
      </c>
      <c r="D25" s="11">
        <f>SUMIF(transformed!$N:$N,weekly!$H25,transformed!J:J)</f>
        <v>0</v>
      </c>
      <c r="E25" s="11">
        <f>SUMIF(transformed!$N:$N,weekly!$H25,transformed!K:K)</f>
        <v>0</v>
      </c>
      <c r="F25" s="11">
        <f>SUMIF(transformed!$N:$N,weekly!$H25,transformed!L:L)</f>
        <v>0</v>
      </c>
      <c r="G25" t="str">
        <f t="shared" si="0"/>
        <v>212021</v>
      </c>
      <c r="H25" t="str">
        <f t="shared" si="1"/>
        <v>21-5-2021</v>
      </c>
    </row>
    <row r="26" spans="1:8" x14ac:dyDescent="0.2">
      <c r="A26" s="11">
        <v>22</v>
      </c>
      <c r="B26" s="11">
        <v>5</v>
      </c>
      <c r="C26" s="11">
        <v>2021</v>
      </c>
      <c r="D26" s="11">
        <f>SUMIF(transformed!$N:$N,weekly!$H26,transformed!J:J)</f>
        <v>0</v>
      </c>
      <c r="E26" s="11">
        <f>SUMIF(transformed!$N:$N,weekly!$H26,transformed!K:K)</f>
        <v>0</v>
      </c>
      <c r="F26" s="11">
        <f>SUMIF(transformed!$N:$N,weekly!$H26,transformed!L:L)</f>
        <v>0</v>
      </c>
      <c r="G26" t="str">
        <f t="shared" si="0"/>
        <v>222021</v>
      </c>
      <c r="H26" t="str">
        <f t="shared" si="1"/>
        <v>22-5-2021</v>
      </c>
    </row>
    <row r="27" spans="1:8" x14ac:dyDescent="0.2">
      <c r="A27" s="11">
        <v>22</v>
      </c>
      <c r="B27" s="11">
        <v>6</v>
      </c>
      <c r="C27" s="11">
        <v>2021</v>
      </c>
      <c r="D27" s="11">
        <f>SUMIF(transformed!$N:$N,weekly!$H27,transformed!J:J)</f>
        <v>0</v>
      </c>
      <c r="E27" s="11">
        <f>SUMIF(transformed!$N:$N,weekly!$H27,transformed!K:K)</f>
        <v>0</v>
      </c>
      <c r="F27" s="11">
        <f>SUMIF(transformed!$N:$N,weekly!$H27,transformed!L:L)</f>
        <v>0</v>
      </c>
      <c r="G27" t="str">
        <f t="shared" si="0"/>
        <v>222021</v>
      </c>
      <c r="H27" t="str">
        <f t="shared" si="1"/>
        <v>22-6-2021</v>
      </c>
    </row>
    <row r="28" spans="1:8" x14ac:dyDescent="0.2">
      <c r="A28" s="11">
        <v>23</v>
      </c>
      <c r="B28" s="11">
        <v>6</v>
      </c>
      <c r="C28" s="11">
        <v>2021</v>
      </c>
      <c r="D28" s="11">
        <f>SUMIF(transformed!$N:$N,weekly!$H28,transformed!J:J)</f>
        <v>0</v>
      </c>
      <c r="E28" s="11">
        <f>SUMIF(transformed!$N:$N,weekly!$H28,transformed!K:K)</f>
        <v>0</v>
      </c>
      <c r="F28" s="11">
        <f>SUMIF(transformed!$N:$N,weekly!$H28,transformed!L:L)</f>
        <v>0</v>
      </c>
      <c r="G28" t="str">
        <f t="shared" si="0"/>
        <v>232021</v>
      </c>
      <c r="H28" t="str">
        <f t="shared" si="1"/>
        <v>23-6-2021</v>
      </c>
    </row>
    <row r="29" spans="1:8" x14ac:dyDescent="0.2">
      <c r="A29" s="11">
        <v>24</v>
      </c>
      <c r="B29" s="11">
        <v>6</v>
      </c>
      <c r="C29" s="11">
        <v>2021</v>
      </c>
      <c r="D29" s="11">
        <f>SUMIF(transformed!$N:$N,weekly!$H29,transformed!J:J)</f>
        <v>0</v>
      </c>
      <c r="E29" s="11">
        <f>SUMIF(transformed!$N:$N,weekly!$H29,transformed!K:K)</f>
        <v>0</v>
      </c>
      <c r="F29" s="11">
        <f>SUMIF(transformed!$N:$N,weekly!$H29,transformed!L:L)</f>
        <v>0</v>
      </c>
      <c r="G29" t="str">
        <f t="shared" si="0"/>
        <v>242021</v>
      </c>
      <c r="H29" t="str">
        <f t="shared" si="1"/>
        <v>24-6-2021</v>
      </c>
    </row>
    <row r="30" spans="1:8" x14ac:dyDescent="0.2">
      <c r="A30" s="11">
        <v>25</v>
      </c>
      <c r="B30" s="11">
        <v>6</v>
      </c>
      <c r="C30" s="11">
        <v>2021</v>
      </c>
      <c r="D30" s="11">
        <f>SUMIF(transformed!$N:$N,weekly!$H30,transformed!J:J)</f>
        <v>0</v>
      </c>
      <c r="E30" s="11">
        <f>SUMIF(transformed!$N:$N,weekly!$H30,transformed!K:K)</f>
        <v>0</v>
      </c>
      <c r="F30" s="11">
        <f>SUMIF(transformed!$N:$N,weekly!$H30,transformed!L:L)</f>
        <v>0</v>
      </c>
      <c r="G30" t="str">
        <f t="shared" si="0"/>
        <v>252021</v>
      </c>
      <c r="H30" t="str">
        <f t="shared" si="1"/>
        <v>25-6-2021</v>
      </c>
    </row>
    <row r="31" spans="1:8" x14ac:dyDescent="0.2">
      <c r="A31" s="11">
        <v>26</v>
      </c>
      <c r="B31" s="11">
        <v>6</v>
      </c>
      <c r="C31" s="11">
        <v>2021</v>
      </c>
      <c r="D31" s="11">
        <f>SUMIF(transformed!$N:$N,weekly!$H31,transformed!J:J)</f>
        <v>0</v>
      </c>
      <c r="E31" s="11">
        <f>SUMIF(transformed!$N:$N,weekly!$H31,transformed!K:K)</f>
        <v>0</v>
      </c>
      <c r="F31" s="11">
        <f>SUMIF(transformed!$N:$N,weekly!$H31,transformed!L:L)</f>
        <v>0</v>
      </c>
      <c r="G31" t="str">
        <f t="shared" si="0"/>
        <v>262021</v>
      </c>
      <c r="H31" t="str">
        <f t="shared" si="1"/>
        <v>26-6-2021</v>
      </c>
    </row>
    <row r="32" spans="1:8" x14ac:dyDescent="0.2">
      <c r="A32" s="11">
        <v>26</v>
      </c>
      <c r="B32" s="11">
        <v>7</v>
      </c>
      <c r="C32" s="11">
        <v>2021</v>
      </c>
      <c r="D32" s="11">
        <f>SUMIF(transformed!$N:$N,weekly!$H32,transformed!J:J)</f>
        <v>0</v>
      </c>
      <c r="E32" s="11">
        <f>SUMIF(transformed!$N:$N,weekly!$H32,transformed!K:K)</f>
        <v>0</v>
      </c>
      <c r="F32" s="11">
        <f>SUMIF(transformed!$N:$N,weekly!$H32,transformed!L:L)</f>
        <v>0</v>
      </c>
      <c r="G32" t="str">
        <f t="shared" si="0"/>
        <v>262021</v>
      </c>
      <c r="H32" t="str">
        <f t="shared" si="1"/>
        <v>26-7-2021</v>
      </c>
    </row>
    <row r="33" spans="1:8" x14ac:dyDescent="0.2">
      <c r="A33" s="11">
        <v>27</v>
      </c>
      <c r="B33" s="11">
        <v>7</v>
      </c>
      <c r="C33" s="11">
        <v>2021</v>
      </c>
      <c r="D33" s="11">
        <f>SUMIF(transformed!$N:$N,weekly!$H33,transformed!J:J)</f>
        <v>0</v>
      </c>
      <c r="E33" s="11">
        <f>SUMIF(transformed!$N:$N,weekly!$H33,transformed!K:K)</f>
        <v>0</v>
      </c>
      <c r="F33" s="11">
        <f>SUMIF(transformed!$N:$N,weekly!$H33,transformed!L:L)</f>
        <v>0</v>
      </c>
      <c r="G33" t="str">
        <f t="shared" si="0"/>
        <v>272021</v>
      </c>
      <c r="H33" t="str">
        <f t="shared" si="1"/>
        <v>27-7-2021</v>
      </c>
    </row>
    <row r="34" spans="1:8" x14ac:dyDescent="0.2">
      <c r="A34" s="11">
        <v>28</v>
      </c>
      <c r="B34" s="11">
        <v>7</v>
      </c>
      <c r="C34" s="11">
        <v>2021</v>
      </c>
      <c r="D34" s="11">
        <f>SUMIF(transformed!$N:$N,weekly!$H34,transformed!J:J)</f>
        <v>0</v>
      </c>
      <c r="E34" s="11">
        <f>SUMIF(transformed!$N:$N,weekly!$H34,transformed!K:K)</f>
        <v>0</v>
      </c>
      <c r="F34" s="11">
        <f>SUMIF(transformed!$N:$N,weekly!$H34,transformed!L:L)</f>
        <v>0</v>
      </c>
      <c r="G34" t="str">
        <f t="shared" si="0"/>
        <v>282021</v>
      </c>
      <c r="H34" t="str">
        <f t="shared" si="1"/>
        <v>28-7-2021</v>
      </c>
    </row>
    <row r="35" spans="1:8" x14ac:dyDescent="0.2">
      <c r="A35" s="11">
        <v>29</v>
      </c>
      <c r="B35" s="11">
        <v>7</v>
      </c>
      <c r="C35" s="11">
        <v>2021</v>
      </c>
      <c r="D35" s="11">
        <f>SUMIF(transformed!$N:$N,weekly!$H35,transformed!J:J)</f>
        <v>0</v>
      </c>
      <c r="E35" s="11">
        <f>SUMIF(transformed!$N:$N,weekly!$H35,transformed!K:K)</f>
        <v>0</v>
      </c>
      <c r="F35" s="11">
        <f>SUMIF(transformed!$N:$N,weekly!$H35,transformed!L:L)</f>
        <v>0</v>
      </c>
      <c r="G35" t="str">
        <f t="shared" si="0"/>
        <v>292021</v>
      </c>
      <c r="H35" t="str">
        <f t="shared" si="1"/>
        <v>29-7-2021</v>
      </c>
    </row>
    <row r="36" spans="1:8" x14ac:dyDescent="0.2">
      <c r="A36" s="11">
        <v>30</v>
      </c>
      <c r="B36" s="11">
        <v>7</v>
      </c>
      <c r="C36" s="11">
        <v>2021</v>
      </c>
      <c r="D36" s="11">
        <f>SUMIF(transformed!$N:$N,weekly!$H36,transformed!J:J)</f>
        <v>0</v>
      </c>
      <c r="E36" s="11">
        <f>SUMIF(transformed!$N:$N,weekly!$H36,transformed!K:K)</f>
        <v>0</v>
      </c>
      <c r="F36" s="11">
        <f>SUMIF(transformed!$N:$N,weekly!$H36,transformed!L:L)</f>
        <v>0</v>
      </c>
      <c r="G36" t="str">
        <f t="shared" si="0"/>
        <v>302021</v>
      </c>
      <c r="H36" t="str">
        <f t="shared" si="1"/>
        <v>30-7-2021</v>
      </c>
    </row>
    <row r="37" spans="1:8" x14ac:dyDescent="0.2">
      <c r="A37" s="11">
        <v>30</v>
      </c>
      <c r="B37" s="11">
        <v>8</v>
      </c>
      <c r="C37" s="11">
        <v>2021</v>
      </c>
      <c r="D37" s="11">
        <f>SUMIF(transformed!$N:$N,weekly!$H37,transformed!J:J)</f>
        <v>58.483870967741936</v>
      </c>
      <c r="E37" s="11">
        <f>SUMIF(transformed!$N:$N,weekly!$H37,transformed!K:K)</f>
        <v>152.26354838709679</v>
      </c>
      <c r="F37" s="11">
        <f>SUMIF(transformed!$N:$N,weekly!$H37,transformed!L:L)</f>
        <v>0</v>
      </c>
      <c r="G37" t="str">
        <f t="shared" si="0"/>
        <v>302021</v>
      </c>
      <c r="H37" t="str">
        <f t="shared" si="1"/>
        <v>30-8-2021</v>
      </c>
    </row>
    <row r="38" spans="1:8" x14ac:dyDescent="0.2">
      <c r="A38" s="11">
        <v>31</v>
      </c>
      <c r="B38" s="11">
        <v>8</v>
      </c>
      <c r="C38" s="11">
        <v>2021</v>
      </c>
      <c r="D38" s="11">
        <f>SUMIF(transformed!$N:$N,weekly!$H38,transformed!J:J)</f>
        <v>409.38709677419359</v>
      </c>
      <c r="E38" s="11">
        <f>SUMIF(transformed!$N:$N,weekly!$H38,transformed!K:K)</f>
        <v>1065.8448387096776</v>
      </c>
      <c r="F38" s="11">
        <f>SUMIF(transformed!$N:$N,weekly!$H38,transformed!L:L)</f>
        <v>0</v>
      </c>
      <c r="G38" t="str">
        <f t="shared" si="0"/>
        <v>312021</v>
      </c>
      <c r="H38" t="str">
        <f t="shared" si="1"/>
        <v>31-8-2021</v>
      </c>
    </row>
    <row r="39" spans="1:8" x14ac:dyDescent="0.2">
      <c r="A39" s="11">
        <v>32</v>
      </c>
      <c r="B39" s="11">
        <v>8</v>
      </c>
      <c r="C39" s="11">
        <v>2021</v>
      </c>
      <c r="D39" s="11">
        <f>SUMIF(transformed!$N:$N,weekly!$H39,transformed!J:J)</f>
        <v>409.38709677419359</v>
      </c>
      <c r="E39" s="11">
        <f>SUMIF(transformed!$N:$N,weekly!$H39,transformed!K:K)</f>
        <v>1065.8448387096776</v>
      </c>
      <c r="F39" s="11">
        <f>SUMIF(transformed!$N:$N,weekly!$H39,transformed!L:L)</f>
        <v>0</v>
      </c>
      <c r="G39" t="str">
        <f t="shared" si="0"/>
        <v>322021</v>
      </c>
      <c r="H39" t="str">
        <f t="shared" si="1"/>
        <v>32-8-2021</v>
      </c>
    </row>
    <row r="40" spans="1:8" x14ac:dyDescent="0.2">
      <c r="A40" s="11">
        <v>33</v>
      </c>
      <c r="B40" s="11">
        <v>8</v>
      </c>
      <c r="C40" s="11">
        <v>2021</v>
      </c>
      <c r="D40" s="11">
        <f>SUMIF(transformed!$N:$N,weekly!$H40,transformed!J:J)</f>
        <v>409.38709677419359</v>
      </c>
      <c r="E40" s="11">
        <f>SUMIF(transformed!$N:$N,weekly!$H40,transformed!K:K)</f>
        <v>1065.8448387096776</v>
      </c>
      <c r="F40" s="11">
        <f>SUMIF(transformed!$N:$N,weekly!$H40,transformed!L:L)</f>
        <v>0</v>
      </c>
      <c r="G40" t="str">
        <f t="shared" si="0"/>
        <v>332021</v>
      </c>
      <c r="H40" t="str">
        <f t="shared" si="1"/>
        <v>33-8-2021</v>
      </c>
    </row>
    <row r="41" spans="1:8" x14ac:dyDescent="0.2">
      <c r="A41" s="11">
        <v>34</v>
      </c>
      <c r="B41" s="11">
        <v>8</v>
      </c>
      <c r="C41" s="11">
        <v>2021</v>
      </c>
      <c r="D41" s="11">
        <f>SUMIF(transformed!$N:$N,weekly!$H41,transformed!J:J)</f>
        <v>409.38709677419359</v>
      </c>
      <c r="E41" s="11">
        <f>SUMIF(transformed!$N:$N,weekly!$H41,transformed!K:K)</f>
        <v>1065.8448387096776</v>
      </c>
      <c r="F41" s="11">
        <f>SUMIF(transformed!$N:$N,weekly!$H41,transformed!L:L)</f>
        <v>0</v>
      </c>
      <c r="G41" t="str">
        <f t="shared" si="0"/>
        <v>342021</v>
      </c>
      <c r="H41" t="str">
        <f t="shared" si="1"/>
        <v>34-8-2021</v>
      </c>
    </row>
    <row r="42" spans="1:8" x14ac:dyDescent="0.2">
      <c r="A42" s="11">
        <v>35</v>
      </c>
      <c r="B42" s="11">
        <v>8</v>
      </c>
      <c r="C42" s="11">
        <v>2021</v>
      </c>
      <c r="D42" s="11">
        <f>SUMIF(transformed!$N:$N,weekly!$H42,transformed!J:J)</f>
        <v>116.96774193548387</v>
      </c>
      <c r="E42" s="11">
        <f>SUMIF(transformed!$N:$N,weekly!$H42,transformed!K:K)</f>
        <v>304.52709677419358</v>
      </c>
      <c r="F42" s="11">
        <f>SUMIF(transformed!$N:$N,weekly!$H42,transformed!L:L)</f>
        <v>0</v>
      </c>
      <c r="G42" t="str">
        <f t="shared" si="0"/>
        <v>352021</v>
      </c>
      <c r="H42" t="str">
        <f t="shared" si="1"/>
        <v>35-8-2021</v>
      </c>
    </row>
    <row r="43" spans="1:8" x14ac:dyDescent="0.2">
      <c r="A43" s="11">
        <v>35</v>
      </c>
      <c r="B43" s="11">
        <v>9</v>
      </c>
      <c r="C43" s="11">
        <v>2021</v>
      </c>
      <c r="D43" s="11">
        <f>SUMIF(transformed!$N:$N,weekly!$H43,transformed!J:J)</f>
        <v>848.16666666666663</v>
      </c>
      <c r="E43" s="11">
        <f>SUMIF(transformed!$N:$N,weekly!$H43,transformed!K:K)</f>
        <v>1189</v>
      </c>
      <c r="F43" s="11">
        <f>SUMIF(transformed!$N:$N,weekly!$H43,transformed!L:L)</f>
        <v>0</v>
      </c>
      <c r="G43" t="str">
        <f t="shared" si="0"/>
        <v>352021</v>
      </c>
      <c r="H43" t="str">
        <f t="shared" si="1"/>
        <v>35-9-2021</v>
      </c>
    </row>
    <row r="44" spans="1:8" x14ac:dyDescent="0.2">
      <c r="A44" s="11">
        <v>36</v>
      </c>
      <c r="B44" s="11">
        <v>9</v>
      </c>
      <c r="C44" s="11">
        <v>2021</v>
      </c>
      <c r="D44" s="11">
        <f>SUMIF(transformed!$N:$N,weekly!$H44,transformed!J:J)</f>
        <v>1187.4333333333334</v>
      </c>
      <c r="E44" s="11">
        <f>SUMIF(transformed!$N:$N,weekly!$H44,transformed!K:K)</f>
        <v>1664.6</v>
      </c>
      <c r="F44" s="11">
        <f>SUMIF(transformed!$N:$N,weekly!$H44,transformed!L:L)</f>
        <v>0</v>
      </c>
      <c r="G44" t="str">
        <f t="shared" si="0"/>
        <v>362021</v>
      </c>
      <c r="H44" t="str">
        <f t="shared" si="1"/>
        <v>36-9-2021</v>
      </c>
    </row>
    <row r="45" spans="1:8" x14ac:dyDescent="0.2">
      <c r="A45" s="11">
        <v>37</v>
      </c>
      <c r="B45" s="11">
        <v>9</v>
      </c>
      <c r="C45" s="11">
        <v>2021</v>
      </c>
      <c r="D45" s="11">
        <f>SUMIF(transformed!$N:$N,weekly!$H45,transformed!J:J)</f>
        <v>1187.4333333333334</v>
      </c>
      <c r="E45" s="11">
        <f>SUMIF(transformed!$N:$N,weekly!$H45,transformed!K:K)</f>
        <v>1664.6</v>
      </c>
      <c r="F45" s="11">
        <f>SUMIF(transformed!$N:$N,weekly!$H45,transformed!L:L)</f>
        <v>0</v>
      </c>
      <c r="G45" t="str">
        <f t="shared" si="0"/>
        <v>372021</v>
      </c>
      <c r="H45" t="str">
        <f t="shared" si="1"/>
        <v>37-9-2021</v>
      </c>
    </row>
    <row r="46" spans="1:8" x14ac:dyDescent="0.2">
      <c r="A46" s="11">
        <v>38</v>
      </c>
      <c r="B46" s="11">
        <v>9</v>
      </c>
      <c r="C46" s="11">
        <v>2021</v>
      </c>
      <c r="D46" s="11">
        <f>SUMIF(transformed!$N:$N,weekly!$H46,transformed!J:J)</f>
        <v>1187.4333333333334</v>
      </c>
      <c r="E46" s="11">
        <f>SUMIF(transformed!$N:$N,weekly!$H46,transformed!K:K)</f>
        <v>1664.6</v>
      </c>
      <c r="F46" s="11">
        <f>SUMIF(transformed!$N:$N,weekly!$H46,transformed!L:L)</f>
        <v>0</v>
      </c>
      <c r="G46" t="str">
        <f t="shared" si="0"/>
        <v>382021</v>
      </c>
      <c r="H46" t="str">
        <f t="shared" si="1"/>
        <v>38-9-2021</v>
      </c>
    </row>
    <row r="47" spans="1:8" x14ac:dyDescent="0.2">
      <c r="A47" s="11">
        <v>39</v>
      </c>
      <c r="B47" s="11">
        <v>9</v>
      </c>
      <c r="C47" s="11">
        <v>2021</v>
      </c>
      <c r="D47" s="11">
        <f>SUMIF(transformed!$N:$N,weekly!$H47,transformed!J:J)</f>
        <v>678.5333333333333</v>
      </c>
      <c r="E47" s="11">
        <f>SUMIF(transformed!$N:$N,weekly!$H47,transformed!K:K)</f>
        <v>951.2</v>
      </c>
      <c r="F47" s="11">
        <f>SUMIF(transformed!$N:$N,weekly!$H47,transformed!L:L)</f>
        <v>0</v>
      </c>
      <c r="G47" t="str">
        <f t="shared" si="0"/>
        <v>392021</v>
      </c>
      <c r="H47" t="str">
        <f t="shared" si="1"/>
        <v>39-9-2021</v>
      </c>
    </row>
    <row r="48" spans="1:8" x14ac:dyDescent="0.2">
      <c r="A48" s="11">
        <v>39</v>
      </c>
      <c r="B48" s="11">
        <v>10</v>
      </c>
      <c r="C48" s="11">
        <v>2021</v>
      </c>
      <c r="D48" s="11">
        <f>SUMIF(transformed!$N:$N,weekly!$H48,transformed!J:J)</f>
        <v>343.25806451612902</v>
      </c>
      <c r="E48" s="11">
        <f>SUMIF(transformed!$N:$N,weekly!$H48,transformed!K:K)</f>
        <v>1839.579677419355</v>
      </c>
      <c r="F48" s="11">
        <f>SUMIF(transformed!$N:$N,weekly!$H48,transformed!L:L)</f>
        <v>0</v>
      </c>
      <c r="G48" t="str">
        <f t="shared" si="0"/>
        <v>392021</v>
      </c>
      <c r="H48" t="str">
        <f t="shared" si="1"/>
        <v>39-10-2021</v>
      </c>
    </row>
    <row r="49" spans="1:8" x14ac:dyDescent="0.2">
      <c r="A49" s="11">
        <v>40</v>
      </c>
      <c r="B49" s="11">
        <v>10</v>
      </c>
      <c r="C49" s="11">
        <v>2021</v>
      </c>
      <c r="D49" s="11">
        <f>SUMIF(transformed!$N:$N,weekly!$H49,transformed!J:J)</f>
        <v>800.93548387096769</v>
      </c>
      <c r="E49" s="11">
        <f>SUMIF(transformed!$N:$N,weekly!$H49,transformed!K:K)</f>
        <v>4292.3525806451617</v>
      </c>
      <c r="F49" s="11">
        <f>SUMIF(transformed!$N:$N,weekly!$H49,transformed!L:L)</f>
        <v>0</v>
      </c>
      <c r="G49" t="str">
        <f t="shared" si="0"/>
        <v>402021</v>
      </c>
      <c r="H49" t="str">
        <f t="shared" si="1"/>
        <v>40-10-2021</v>
      </c>
    </row>
    <row r="50" spans="1:8" x14ac:dyDescent="0.2">
      <c r="A50" s="11">
        <v>41</v>
      </c>
      <c r="B50" s="11">
        <v>10</v>
      </c>
      <c r="C50" s="11">
        <v>2021</v>
      </c>
      <c r="D50" s="11">
        <f>SUMIF(transformed!$N:$N,weekly!$H50,transformed!J:J)</f>
        <v>800.93548387096769</v>
      </c>
      <c r="E50" s="11">
        <f>SUMIF(transformed!$N:$N,weekly!$H50,transformed!K:K)</f>
        <v>4292.3525806451617</v>
      </c>
      <c r="F50" s="11">
        <f>SUMIF(transformed!$N:$N,weekly!$H50,transformed!L:L)</f>
        <v>0</v>
      </c>
      <c r="G50" t="str">
        <f t="shared" si="0"/>
        <v>412021</v>
      </c>
      <c r="H50" t="str">
        <f t="shared" si="1"/>
        <v>41-10-2021</v>
      </c>
    </row>
    <row r="51" spans="1:8" x14ac:dyDescent="0.2">
      <c r="A51" s="11">
        <v>42</v>
      </c>
      <c r="B51" s="11">
        <v>10</v>
      </c>
      <c r="C51" s="11">
        <v>2021</v>
      </c>
      <c r="D51" s="11">
        <f>SUMIF(transformed!$N:$N,weekly!$H51,transformed!J:J)</f>
        <v>800.93548387096769</v>
      </c>
      <c r="E51" s="11">
        <f>SUMIF(transformed!$N:$N,weekly!$H51,transformed!K:K)</f>
        <v>4292.3525806451617</v>
      </c>
      <c r="F51" s="11">
        <f>SUMIF(transformed!$N:$N,weekly!$H51,transformed!L:L)</f>
        <v>0</v>
      </c>
      <c r="G51" t="str">
        <f t="shared" si="0"/>
        <v>422021</v>
      </c>
      <c r="H51" t="str">
        <f t="shared" si="1"/>
        <v>42-10-2021</v>
      </c>
    </row>
    <row r="52" spans="1:8" x14ac:dyDescent="0.2">
      <c r="A52" s="11">
        <v>43</v>
      </c>
      <c r="B52" s="11">
        <v>10</v>
      </c>
      <c r="C52" s="11">
        <v>2021</v>
      </c>
      <c r="D52" s="11">
        <f>SUMIF(transformed!$N:$N,weekly!$H52,transformed!J:J)</f>
        <v>800.93548387096769</v>
      </c>
      <c r="E52" s="11">
        <f>SUMIF(transformed!$N:$N,weekly!$H52,transformed!K:K)</f>
        <v>4292.3525806451617</v>
      </c>
      <c r="F52" s="11">
        <f>SUMIF(transformed!$N:$N,weekly!$H52,transformed!L:L)</f>
        <v>0</v>
      </c>
      <c r="G52" t="str">
        <f t="shared" si="0"/>
        <v>432021</v>
      </c>
      <c r="H52" t="str">
        <f t="shared" si="1"/>
        <v>43-10-2021</v>
      </c>
    </row>
    <row r="53" spans="1:8" x14ac:dyDescent="0.2">
      <c r="A53" s="11">
        <v>44</v>
      </c>
      <c r="B53" s="11">
        <v>11</v>
      </c>
      <c r="C53" s="11">
        <v>2021</v>
      </c>
      <c r="D53" s="11">
        <f>SUMIF(transformed!$N:$N,weekly!$H53,transformed!J:J)</f>
        <v>626.9666666666667</v>
      </c>
      <c r="E53" s="11">
        <f>SUMIF(transformed!$N:$N,weekly!$H53,transformed!K:K)</f>
        <v>5951.8666666666659</v>
      </c>
      <c r="F53" s="11">
        <f>SUMIF(transformed!$N:$N,weekly!$H53,transformed!L:L)</f>
        <v>0</v>
      </c>
      <c r="G53" t="str">
        <f t="shared" si="0"/>
        <v>442021</v>
      </c>
      <c r="H53" t="str">
        <f t="shared" si="1"/>
        <v>44-11-2021</v>
      </c>
    </row>
    <row r="54" spans="1:8" x14ac:dyDescent="0.2">
      <c r="A54" s="11">
        <v>45</v>
      </c>
      <c r="B54" s="11">
        <v>11</v>
      </c>
      <c r="C54" s="11">
        <v>2021</v>
      </c>
      <c r="D54" s="11">
        <f>SUMIF(transformed!$N:$N,weekly!$H54,transformed!J:J)</f>
        <v>626.9666666666667</v>
      </c>
      <c r="E54" s="11">
        <f>SUMIF(transformed!$N:$N,weekly!$H54,transformed!K:K)</f>
        <v>5951.8666666666659</v>
      </c>
      <c r="F54" s="11">
        <f>SUMIF(transformed!$N:$N,weekly!$H54,transformed!L:L)</f>
        <v>0</v>
      </c>
      <c r="G54" t="str">
        <f t="shared" si="0"/>
        <v>452021</v>
      </c>
      <c r="H54" t="str">
        <f t="shared" si="1"/>
        <v>45-11-2021</v>
      </c>
    </row>
    <row r="55" spans="1:8" x14ac:dyDescent="0.2">
      <c r="A55" s="11">
        <v>46</v>
      </c>
      <c r="B55" s="11">
        <v>11</v>
      </c>
      <c r="C55" s="11">
        <v>2021</v>
      </c>
      <c r="D55" s="11">
        <f>SUMIF(transformed!$N:$N,weekly!$H55,transformed!J:J)</f>
        <v>626.9666666666667</v>
      </c>
      <c r="E55" s="11">
        <f>SUMIF(transformed!$N:$N,weekly!$H55,transformed!K:K)</f>
        <v>5951.8666666666659</v>
      </c>
      <c r="F55" s="11">
        <f>SUMIF(transformed!$N:$N,weekly!$H55,transformed!L:L)</f>
        <v>0</v>
      </c>
      <c r="G55" t="str">
        <f t="shared" si="0"/>
        <v>462021</v>
      </c>
      <c r="H55" t="str">
        <f t="shared" si="1"/>
        <v>46-11-2021</v>
      </c>
    </row>
    <row r="56" spans="1:8" x14ac:dyDescent="0.2">
      <c r="A56" s="11">
        <v>47</v>
      </c>
      <c r="B56" s="11">
        <v>11</v>
      </c>
      <c r="C56" s="11">
        <v>2021</v>
      </c>
      <c r="D56" s="11">
        <f>SUMIF(transformed!$N:$N,weekly!$H56,transformed!J:J)</f>
        <v>626.9666666666667</v>
      </c>
      <c r="E56" s="11">
        <f>SUMIF(transformed!$N:$N,weekly!$H56,transformed!K:K)</f>
        <v>5951.8666666666659</v>
      </c>
      <c r="F56" s="11">
        <f>SUMIF(transformed!$N:$N,weekly!$H56,transformed!L:L)</f>
        <v>0</v>
      </c>
      <c r="G56" t="str">
        <f t="shared" si="0"/>
        <v>472021</v>
      </c>
      <c r="H56" t="str">
        <f t="shared" si="1"/>
        <v>47-11-2021</v>
      </c>
    </row>
    <row r="57" spans="1:8" x14ac:dyDescent="0.2">
      <c r="A57" s="11">
        <v>48</v>
      </c>
      <c r="B57" s="11">
        <v>11</v>
      </c>
      <c r="C57" s="11">
        <v>2021</v>
      </c>
      <c r="D57" s="11">
        <f>SUMIF(transformed!$N:$N,weekly!$H57,transformed!J:J)</f>
        <v>179.13333333333333</v>
      </c>
      <c r="E57" s="11">
        <f>SUMIF(transformed!$N:$N,weekly!$H57,transformed!K:K)</f>
        <v>1700.5333333333333</v>
      </c>
      <c r="F57" s="11">
        <f>SUMIF(transformed!$N:$N,weekly!$H57,transformed!L:L)</f>
        <v>0</v>
      </c>
      <c r="G57" t="str">
        <f t="shared" si="0"/>
        <v>482021</v>
      </c>
      <c r="H57" t="str">
        <f t="shared" si="1"/>
        <v>48-11-2021</v>
      </c>
    </row>
    <row r="58" spans="1:8" x14ac:dyDescent="0.2">
      <c r="A58" s="11">
        <v>48</v>
      </c>
      <c r="B58" s="11">
        <v>12</v>
      </c>
      <c r="C58" s="11">
        <v>2021</v>
      </c>
      <c r="D58" s="11">
        <f>SUMIF(transformed!$N:$N,weekly!$H58,transformed!J:J)</f>
        <v>483.54838709677415</v>
      </c>
      <c r="E58" s="11">
        <f>SUMIF(transformed!$N:$N,weekly!$H58,transformed!K:K)</f>
        <v>2315.6903225806454</v>
      </c>
      <c r="F58" s="11">
        <f>SUMIF(transformed!$N:$N,weekly!$H58,transformed!L:L)</f>
        <v>0</v>
      </c>
      <c r="G58" t="str">
        <f t="shared" si="0"/>
        <v>482021</v>
      </c>
      <c r="H58" t="str">
        <f t="shared" si="1"/>
        <v>48-12-2021</v>
      </c>
    </row>
    <row r="59" spans="1:8" x14ac:dyDescent="0.2">
      <c r="A59" s="11">
        <v>49</v>
      </c>
      <c r="B59" s="11">
        <v>12</v>
      </c>
      <c r="C59" s="11">
        <v>2021</v>
      </c>
      <c r="D59" s="11">
        <f>SUMIF(transformed!$N:$N,weekly!$H59,transformed!J:J)</f>
        <v>676.9677419354839</v>
      </c>
      <c r="E59" s="11">
        <f>SUMIF(transformed!$N:$N,weekly!$H59,transformed!K:K)</f>
        <v>3241.9664516129033</v>
      </c>
      <c r="F59" s="11">
        <f>SUMIF(transformed!$N:$N,weekly!$H59,transformed!L:L)</f>
        <v>0</v>
      </c>
      <c r="G59" t="str">
        <f t="shared" si="0"/>
        <v>492021</v>
      </c>
      <c r="H59" t="str">
        <f t="shared" si="1"/>
        <v>49-12-2021</v>
      </c>
    </row>
    <row r="60" spans="1:8" x14ac:dyDescent="0.2">
      <c r="A60" s="11">
        <v>50</v>
      </c>
      <c r="B60" s="11">
        <v>12</v>
      </c>
      <c r="C60" s="11">
        <v>2021</v>
      </c>
      <c r="D60" s="11">
        <f>SUMIF(transformed!$N:$N,weekly!$H60,transformed!J:J)</f>
        <v>676.9677419354839</v>
      </c>
      <c r="E60" s="11">
        <f>SUMIF(transformed!$N:$N,weekly!$H60,transformed!K:K)</f>
        <v>3241.9664516129033</v>
      </c>
      <c r="F60" s="11">
        <f>SUMIF(transformed!$N:$N,weekly!$H60,transformed!L:L)</f>
        <v>0</v>
      </c>
      <c r="G60" t="str">
        <f t="shared" si="0"/>
        <v>502021</v>
      </c>
      <c r="H60" t="str">
        <f t="shared" si="1"/>
        <v>50-12-2021</v>
      </c>
    </row>
    <row r="61" spans="1:8" x14ac:dyDescent="0.2">
      <c r="A61" s="11">
        <v>51</v>
      </c>
      <c r="B61" s="11">
        <v>12</v>
      </c>
      <c r="C61" s="11">
        <v>2021</v>
      </c>
      <c r="D61" s="11">
        <f>SUMIF(transformed!$N:$N,weekly!$H61,transformed!J:J)</f>
        <v>676.9677419354839</v>
      </c>
      <c r="E61" s="11">
        <f>SUMIF(transformed!$N:$N,weekly!$H61,transformed!K:K)</f>
        <v>3241.9664516129033</v>
      </c>
      <c r="F61" s="11">
        <f>SUMIF(transformed!$N:$N,weekly!$H61,transformed!L:L)</f>
        <v>0</v>
      </c>
      <c r="G61" t="str">
        <f t="shared" si="0"/>
        <v>512021</v>
      </c>
      <c r="H61" t="str">
        <f t="shared" si="1"/>
        <v>51-12-2021</v>
      </c>
    </row>
    <row r="62" spans="1:8" x14ac:dyDescent="0.2">
      <c r="A62" s="11">
        <v>52</v>
      </c>
      <c r="B62" s="11">
        <v>12</v>
      </c>
      <c r="C62" s="11">
        <v>2021</v>
      </c>
      <c r="D62" s="11">
        <f>SUMIF(transformed!$N:$N,weekly!$H62,transformed!J:J)</f>
        <v>483.54838709677415</v>
      </c>
      <c r="E62" s="11">
        <f>SUMIF(transformed!$N:$N,weekly!$H62,transformed!K:K)</f>
        <v>2315.6903225806454</v>
      </c>
      <c r="F62" s="11">
        <f>SUMIF(transformed!$N:$N,weekly!$H62,transformed!L:L)</f>
        <v>0</v>
      </c>
      <c r="G62" t="str">
        <f t="shared" si="0"/>
        <v>522021</v>
      </c>
      <c r="H62" t="str">
        <f t="shared" si="1"/>
        <v>52-12-2021</v>
      </c>
    </row>
    <row r="63" spans="1:8" x14ac:dyDescent="0.2">
      <c r="A63" s="11">
        <v>52</v>
      </c>
      <c r="B63" s="11">
        <v>1</v>
      </c>
      <c r="C63" s="11">
        <v>2022</v>
      </c>
      <c r="D63" s="11">
        <f>SUMIF(transformed!$N:$N,weekly!$H63,transformed!J:J)</f>
        <v>226.7741935483871</v>
      </c>
      <c r="E63" s="11">
        <f>SUMIF(transformed!$N:$N,weekly!$H63,transformed!K:K)</f>
        <v>1476.7296774193549</v>
      </c>
      <c r="F63" s="11">
        <f>SUMIF(transformed!$N:$N,weekly!$H63,transformed!L:L)</f>
        <v>0</v>
      </c>
      <c r="G63" t="str">
        <f t="shared" si="0"/>
        <v>522022</v>
      </c>
      <c r="H63" t="str">
        <f t="shared" si="1"/>
        <v>52-1-2022</v>
      </c>
    </row>
    <row r="64" spans="1:8" x14ac:dyDescent="0.2">
      <c r="A64" s="11">
        <v>1</v>
      </c>
      <c r="B64" s="11">
        <v>1</v>
      </c>
      <c r="C64" s="11">
        <v>2022</v>
      </c>
      <c r="D64" s="11">
        <f>SUMIF(transformed!$N:$N,weekly!$H64,transformed!J:J)</f>
        <v>793.70967741935488</v>
      </c>
      <c r="E64" s="11">
        <f>SUMIF(transformed!$N:$N,weekly!$H64,transformed!K:K)</f>
        <v>5168.5538709677421</v>
      </c>
      <c r="F64" s="11">
        <f>SUMIF(transformed!$N:$N,weekly!$H64,transformed!L:L)</f>
        <v>0</v>
      </c>
      <c r="G64" t="str">
        <f t="shared" si="0"/>
        <v>12022</v>
      </c>
      <c r="H64" t="str">
        <f t="shared" si="1"/>
        <v>1-1-2022</v>
      </c>
    </row>
    <row r="65" spans="1:8" x14ac:dyDescent="0.2">
      <c r="A65" s="11">
        <v>2</v>
      </c>
      <c r="B65" s="11">
        <v>1</v>
      </c>
      <c r="C65" s="11">
        <v>2022</v>
      </c>
      <c r="D65" s="11">
        <f>SUMIF(transformed!$N:$N,weekly!$H65,transformed!J:J)</f>
        <v>793.70967741935488</v>
      </c>
      <c r="E65" s="11">
        <f>SUMIF(transformed!$N:$N,weekly!$H65,transformed!K:K)</f>
        <v>5168.5538709677421</v>
      </c>
      <c r="F65" s="11">
        <f>SUMIF(transformed!$N:$N,weekly!$H65,transformed!L:L)</f>
        <v>0</v>
      </c>
      <c r="G65" t="str">
        <f t="shared" si="0"/>
        <v>22022</v>
      </c>
      <c r="H65" t="str">
        <f t="shared" si="1"/>
        <v>2-1-2022</v>
      </c>
    </row>
    <row r="66" spans="1:8" x14ac:dyDescent="0.2">
      <c r="A66" s="11">
        <v>3</v>
      </c>
      <c r="B66" s="11">
        <v>1</v>
      </c>
      <c r="C66" s="11">
        <v>2022</v>
      </c>
      <c r="D66" s="11">
        <f>SUMIF(transformed!$N:$N,weekly!$H66,transformed!J:J)</f>
        <v>793.70967741935488</v>
      </c>
      <c r="E66" s="11">
        <f>SUMIF(transformed!$N:$N,weekly!$H66,transformed!K:K)</f>
        <v>5168.5538709677421</v>
      </c>
      <c r="F66" s="11">
        <f>SUMIF(transformed!$N:$N,weekly!$H66,transformed!L:L)</f>
        <v>0</v>
      </c>
      <c r="G66" t="str">
        <f t="shared" si="0"/>
        <v>32022</v>
      </c>
      <c r="H66" t="str">
        <f t="shared" si="1"/>
        <v>3-1-2022</v>
      </c>
    </row>
    <row r="67" spans="1:8" x14ac:dyDescent="0.2">
      <c r="A67" s="11">
        <v>4</v>
      </c>
      <c r="B67" s="11">
        <v>1</v>
      </c>
      <c r="C67" s="11">
        <v>2022</v>
      </c>
      <c r="D67" s="11">
        <f>SUMIF(transformed!$N:$N,weekly!$H67,transformed!J:J)</f>
        <v>793.70967741935488</v>
      </c>
      <c r="E67" s="11">
        <f>SUMIF(transformed!$N:$N,weekly!$H67,transformed!K:K)</f>
        <v>5168.5538709677421</v>
      </c>
      <c r="F67" s="11">
        <f>SUMIF(transformed!$N:$N,weekly!$H67,transformed!L:L)</f>
        <v>0</v>
      </c>
      <c r="G67" t="str">
        <f t="shared" ref="G67:G130" si="2">A67&amp;C67</f>
        <v>42022</v>
      </c>
      <c r="H67" t="str">
        <f t="shared" ref="H67:H130" si="3">A67&amp;"-"&amp;B67&amp;"-"&amp;C67</f>
        <v>4-1-2022</v>
      </c>
    </row>
    <row r="68" spans="1:8" x14ac:dyDescent="0.2">
      <c r="A68" s="11">
        <v>5</v>
      </c>
      <c r="B68" s="11">
        <v>1</v>
      </c>
      <c r="C68" s="11">
        <v>2022</v>
      </c>
      <c r="D68" s="11">
        <f>SUMIF(transformed!$N:$N,weekly!$H68,transformed!J:J)</f>
        <v>113.38709677419355</v>
      </c>
      <c r="E68" s="11">
        <f>SUMIF(transformed!$N:$N,weekly!$H68,transformed!K:K)</f>
        <v>738.36483870967743</v>
      </c>
      <c r="F68" s="11">
        <f>SUMIF(transformed!$N:$N,weekly!$H68,transformed!L:L)</f>
        <v>0</v>
      </c>
      <c r="G68" t="str">
        <f t="shared" si="2"/>
        <v>52022</v>
      </c>
      <c r="H68" t="str">
        <f t="shared" si="3"/>
        <v>5-1-2022</v>
      </c>
    </row>
    <row r="69" spans="1:8" x14ac:dyDescent="0.2">
      <c r="A69" s="11">
        <v>5</v>
      </c>
      <c r="B69" s="11">
        <v>2</v>
      </c>
      <c r="C69" s="11">
        <v>2022</v>
      </c>
      <c r="D69" s="11">
        <f>SUMIF(transformed!$N:$N,weekly!$H69,transformed!J:J)</f>
        <v>2331.2142857142858</v>
      </c>
      <c r="E69" s="11">
        <f>SUMIF(transformed!$N:$N,weekly!$H69,transformed!K:K)</f>
        <v>5485.7935714285713</v>
      </c>
      <c r="F69" s="11">
        <f>SUMIF(transformed!$N:$N,weekly!$H69,transformed!L:L)</f>
        <v>0</v>
      </c>
      <c r="G69" t="str">
        <f t="shared" si="2"/>
        <v>52022</v>
      </c>
      <c r="H69" t="str">
        <f t="shared" si="3"/>
        <v>5-2-2022</v>
      </c>
    </row>
    <row r="70" spans="1:8" x14ac:dyDescent="0.2">
      <c r="A70" s="11">
        <v>6</v>
      </c>
      <c r="B70" s="11">
        <v>2</v>
      </c>
      <c r="C70" s="11">
        <v>2022</v>
      </c>
      <c r="D70" s="11">
        <f>SUMIF(transformed!$N:$N,weekly!$H70,transformed!J:J)</f>
        <v>2719.75</v>
      </c>
      <c r="E70" s="11">
        <f>SUMIF(transformed!$N:$N,weekly!$H70,transformed!K:K)</f>
        <v>6400.0924999999997</v>
      </c>
      <c r="F70" s="11">
        <f>SUMIF(transformed!$N:$N,weekly!$H70,transformed!L:L)</f>
        <v>0</v>
      </c>
      <c r="G70" t="str">
        <f t="shared" si="2"/>
        <v>62022</v>
      </c>
      <c r="H70" t="str">
        <f t="shared" si="3"/>
        <v>6-2-2022</v>
      </c>
    </row>
    <row r="71" spans="1:8" x14ac:dyDescent="0.2">
      <c r="A71" s="11">
        <v>7</v>
      </c>
      <c r="B71" s="11">
        <v>2</v>
      </c>
      <c r="C71" s="11">
        <v>2022</v>
      </c>
      <c r="D71" s="11">
        <f>SUMIF(transformed!$N:$N,weekly!$H71,transformed!J:J)</f>
        <v>2719.75</v>
      </c>
      <c r="E71" s="11">
        <f>SUMIF(transformed!$N:$N,weekly!$H71,transformed!K:K)</f>
        <v>6400.0924999999997</v>
      </c>
      <c r="F71" s="11">
        <f>SUMIF(transformed!$N:$N,weekly!$H71,transformed!L:L)</f>
        <v>0</v>
      </c>
      <c r="G71" t="str">
        <f t="shared" si="2"/>
        <v>72022</v>
      </c>
      <c r="H71" t="str">
        <f t="shared" si="3"/>
        <v>7-2-2022</v>
      </c>
    </row>
    <row r="72" spans="1:8" x14ac:dyDescent="0.2">
      <c r="A72" s="11">
        <v>8</v>
      </c>
      <c r="B72" s="11">
        <v>2</v>
      </c>
      <c r="C72" s="11">
        <v>2022</v>
      </c>
      <c r="D72" s="11">
        <f>SUMIF(transformed!$N:$N,weekly!$H72,transformed!J:J)</f>
        <v>2719.75</v>
      </c>
      <c r="E72" s="11">
        <f>SUMIF(transformed!$N:$N,weekly!$H72,transformed!K:K)</f>
        <v>6400.0924999999997</v>
      </c>
      <c r="F72" s="11">
        <f>SUMIF(transformed!$N:$N,weekly!$H72,transformed!L:L)</f>
        <v>0</v>
      </c>
      <c r="G72" t="str">
        <f t="shared" si="2"/>
        <v>82022</v>
      </c>
      <c r="H72" t="str">
        <f t="shared" si="3"/>
        <v>8-2-2022</v>
      </c>
    </row>
    <row r="73" spans="1:8" x14ac:dyDescent="0.2">
      <c r="A73" s="11">
        <v>9</v>
      </c>
      <c r="B73" s="11">
        <v>2</v>
      </c>
      <c r="C73" s="11">
        <v>2022</v>
      </c>
      <c r="D73" s="11">
        <f>SUMIF(transformed!$N:$N,weekly!$H73,transformed!J:J)</f>
        <v>388.53571428571428</v>
      </c>
      <c r="E73" s="11">
        <f>SUMIF(transformed!$N:$N,weekly!$H73,transformed!K:K)</f>
        <v>914.29892857142852</v>
      </c>
      <c r="F73" s="11">
        <f>SUMIF(transformed!$N:$N,weekly!$H73,transformed!L:L)</f>
        <v>0</v>
      </c>
      <c r="G73" t="str">
        <f t="shared" si="2"/>
        <v>92022</v>
      </c>
      <c r="H73" t="str">
        <f t="shared" si="3"/>
        <v>9-2-2022</v>
      </c>
    </row>
    <row r="74" spans="1:8" x14ac:dyDescent="0.2">
      <c r="A74" s="11">
        <v>9</v>
      </c>
      <c r="B74" s="11">
        <v>3</v>
      </c>
      <c r="C74" s="11">
        <v>2022</v>
      </c>
      <c r="D74" s="11">
        <f>SUMIF(transformed!$N:$N,weekly!$H74,transformed!J:J)</f>
        <v>3693.6774193548385</v>
      </c>
      <c r="E74" s="11">
        <f>SUMIF(transformed!$N:$N,weekly!$H74,transformed!K:K)</f>
        <v>4986.5864516129031</v>
      </c>
      <c r="F74" s="11">
        <f>SUMIF(transformed!$N:$N,weekly!$H74,transformed!L:L)</f>
        <v>0</v>
      </c>
      <c r="G74" t="str">
        <f t="shared" si="2"/>
        <v>92022</v>
      </c>
      <c r="H74" t="str">
        <f t="shared" si="3"/>
        <v>9-3-2022</v>
      </c>
    </row>
    <row r="75" spans="1:8" x14ac:dyDescent="0.2">
      <c r="A75" s="11">
        <v>10</v>
      </c>
      <c r="B75" s="11">
        <v>3</v>
      </c>
      <c r="C75" s="11">
        <v>2022</v>
      </c>
      <c r="D75" s="11">
        <f>SUMIF(transformed!$N:$N,weekly!$H75,transformed!J:J)</f>
        <v>4309.2903225806449</v>
      </c>
      <c r="E75" s="11">
        <f>SUMIF(transformed!$N:$N,weekly!$H75,transformed!K:K)</f>
        <v>5817.6841935483872</v>
      </c>
      <c r="F75" s="11">
        <f>SUMIF(transformed!$N:$N,weekly!$H75,transformed!L:L)</f>
        <v>0</v>
      </c>
      <c r="G75" t="str">
        <f t="shared" si="2"/>
        <v>102022</v>
      </c>
      <c r="H75" t="str">
        <f t="shared" si="3"/>
        <v>10-3-2022</v>
      </c>
    </row>
    <row r="76" spans="1:8" x14ac:dyDescent="0.2">
      <c r="A76" s="11">
        <v>11</v>
      </c>
      <c r="B76" s="11">
        <v>3</v>
      </c>
      <c r="C76" s="11">
        <v>2022</v>
      </c>
      <c r="D76" s="11">
        <f>SUMIF(transformed!$N:$N,weekly!$H76,transformed!J:J)</f>
        <v>4309.2903225806449</v>
      </c>
      <c r="E76" s="11">
        <f>SUMIF(transformed!$N:$N,weekly!$H76,transformed!K:K)</f>
        <v>5817.6841935483872</v>
      </c>
      <c r="F76" s="11">
        <f>SUMIF(transformed!$N:$N,weekly!$H76,transformed!L:L)</f>
        <v>0</v>
      </c>
      <c r="G76" t="str">
        <f t="shared" si="2"/>
        <v>112022</v>
      </c>
      <c r="H76" t="str">
        <f t="shared" si="3"/>
        <v>11-3-2022</v>
      </c>
    </row>
    <row r="77" spans="1:8" x14ac:dyDescent="0.2">
      <c r="A77" s="11">
        <v>12</v>
      </c>
      <c r="B77" s="11">
        <v>3</v>
      </c>
      <c r="C77" s="11">
        <v>2022</v>
      </c>
      <c r="D77" s="11">
        <f>SUMIF(transformed!$N:$N,weekly!$H77,transformed!J:J)</f>
        <v>4309.2903225806449</v>
      </c>
      <c r="E77" s="11">
        <f>SUMIF(transformed!$N:$N,weekly!$H77,transformed!K:K)</f>
        <v>5817.6841935483872</v>
      </c>
      <c r="F77" s="11">
        <f>SUMIF(transformed!$N:$N,weekly!$H77,transformed!L:L)</f>
        <v>0</v>
      </c>
      <c r="G77" t="str">
        <f t="shared" si="2"/>
        <v>122022</v>
      </c>
      <c r="H77" t="str">
        <f t="shared" si="3"/>
        <v>12-3-2022</v>
      </c>
    </row>
    <row r="78" spans="1:8" x14ac:dyDescent="0.2">
      <c r="A78" s="11">
        <v>13</v>
      </c>
      <c r="B78" s="11">
        <v>3</v>
      </c>
      <c r="C78" s="11">
        <v>2022</v>
      </c>
      <c r="D78" s="11">
        <f>SUMIF(transformed!$N:$N,weekly!$H78,transformed!J:J)</f>
        <v>2462.4516129032259</v>
      </c>
      <c r="E78" s="11">
        <f>SUMIF(transformed!$N:$N,weekly!$H78,transformed!K:K)</f>
        <v>3324.3909677419351</v>
      </c>
      <c r="F78" s="11">
        <f>SUMIF(transformed!$N:$N,weekly!$H78,transformed!L:L)</f>
        <v>0</v>
      </c>
      <c r="G78" t="str">
        <f t="shared" si="2"/>
        <v>132022</v>
      </c>
      <c r="H78" t="str">
        <f t="shared" si="3"/>
        <v>13-3-2022</v>
      </c>
    </row>
    <row r="79" spans="1:8" x14ac:dyDescent="0.2">
      <c r="A79" s="11">
        <v>13</v>
      </c>
      <c r="B79" s="11">
        <v>4</v>
      </c>
      <c r="C79" s="11">
        <v>2022</v>
      </c>
      <c r="D79" s="11">
        <f>SUMIF(transformed!$N:$N,weekly!$H79,transformed!J:J)</f>
        <v>2538.8000000000002</v>
      </c>
      <c r="E79" s="11">
        <f>SUMIF(transformed!$N:$N,weekly!$H79,transformed!K:K)</f>
        <v>2552.1000000000004</v>
      </c>
      <c r="F79" s="11">
        <f>SUMIF(transformed!$N:$N,weekly!$H79,transformed!L:L)</f>
        <v>412.9</v>
      </c>
      <c r="G79" t="str">
        <f t="shared" si="2"/>
        <v>132022</v>
      </c>
      <c r="H79" t="str">
        <f t="shared" si="3"/>
        <v>13-4-2022</v>
      </c>
    </row>
    <row r="80" spans="1:8" x14ac:dyDescent="0.2">
      <c r="A80" s="11">
        <v>14</v>
      </c>
      <c r="B80" s="11">
        <v>4</v>
      </c>
      <c r="C80" s="11">
        <v>2022</v>
      </c>
      <c r="D80" s="11">
        <f>SUMIF(transformed!$N:$N,weekly!$H80,transformed!J:J)</f>
        <v>5923.8666666666659</v>
      </c>
      <c r="E80" s="11">
        <f>SUMIF(transformed!$N:$N,weekly!$H80,transformed!K:K)</f>
        <v>5954.9</v>
      </c>
      <c r="F80" s="11">
        <f>SUMIF(transformed!$N:$N,weekly!$H80,transformed!L:L)</f>
        <v>963.43333333333328</v>
      </c>
      <c r="G80" t="str">
        <f t="shared" si="2"/>
        <v>142022</v>
      </c>
      <c r="H80" t="str">
        <f t="shared" si="3"/>
        <v>14-4-2022</v>
      </c>
    </row>
    <row r="81" spans="1:8" x14ac:dyDescent="0.2">
      <c r="A81" s="11">
        <v>15</v>
      </c>
      <c r="B81" s="11">
        <v>4</v>
      </c>
      <c r="C81" s="11">
        <v>2022</v>
      </c>
      <c r="D81" s="11">
        <f>SUMIF(transformed!$N:$N,weekly!$H81,transformed!J:J)</f>
        <v>5923.8666666666659</v>
      </c>
      <c r="E81" s="11">
        <f>SUMIF(transformed!$N:$N,weekly!$H81,transformed!K:K)</f>
        <v>5954.9</v>
      </c>
      <c r="F81" s="11">
        <f>SUMIF(transformed!$N:$N,weekly!$H81,transformed!L:L)</f>
        <v>963.43333333333328</v>
      </c>
      <c r="G81" t="str">
        <f t="shared" si="2"/>
        <v>152022</v>
      </c>
      <c r="H81" t="str">
        <f t="shared" si="3"/>
        <v>15-4-2022</v>
      </c>
    </row>
    <row r="82" spans="1:8" x14ac:dyDescent="0.2">
      <c r="A82" s="11">
        <v>16</v>
      </c>
      <c r="B82" s="11">
        <v>4</v>
      </c>
      <c r="C82" s="11">
        <v>2022</v>
      </c>
      <c r="D82" s="11">
        <f>SUMIF(transformed!$N:$N,weekly!$H82,transformed!J:J)</f>
        <v>5923.8666666666659</v>
      </c>
      <c r="E82" s="11">
        <f>SUMIF(transformed!$N:$N,weekly!$H82,transformed!K:K)</f>
        <v>5954.9</v>
      </c>
      <c r="F82" s="11">
        <f>SUMIF(transformed!$N:$N,weekly!$H82,transformed!L:L)</f>
        <v>963.43333333333328</v>
      </c>
      <c r="G82" t="str">
        <f t="shared" si="2"/>
        <v>162022</v>
      </c>
      <c r="H82" t="str">
        <f t="shared" si="3"/>
        <v>16-4-2022</v>
      </c>
    </row>
    <row r="83" spans="1:8" x14ac:dyDescent="0.2">
      <c r="A83" s="11">
        <v>17</v>
      </c>
      <c r="B83" s="11">
        <v>4</v>
      </c>
      <c r="C83" s="11">
        <v>2022</v>
      </c>
      <c r="D83" s="11">
        <f>SUMIF(transformed!$N:$N,weekly!$H83,transformed!J:J)</f>
        <v>5077.5999999999995</v>
      </c>
      <c r="E83" s="11">
        <f>SUMIF(transformed!$N:$N,weekly!$H83,transformed!K:K)</f>
        <v>5104.2</v>
      </c>
      <c r="F83" s="11">
        <f>SUMIF(transformed!$N:$N,weekly!$H83,transformed!L:L)</f>
        <v>825.8</v>
      </c>
      <c r="G83" t="str">
        <f t="shared" si="2"/>
        <v>172022</v>
      </c>
      <c r="H83" t="str">
        <f t="shared" si="3"/>
        <v>17-4-2022</v>
      </c>
    </row>
    <row r="84" spans="1:8" x14ac:dyDescent="0.2">
      <c r="A84" s="11">
        <v>17</v>
      </c>
      <c r="B84" s="11">
        <v>5</v>
      </c>
      <c r="C84" s="11">
        <v>2022</v>
      </c>
      <c r="D84" s="11">
        <f>SUMIF(transformed!$N:$N,weekly!$H84,transformed!J:J)</f>
        <v>1175</v>
      </c>
      <c r="E84" s="11">
        <f>SUMIF(transformed!$N:$N,weekly!$H84,transformed!K:K)</f>
        <v>942.77419354838707</v>
      </c>
      <c r="F84" s="11">
        <f>SUMIF(transformed!$N:$N,weekly!$H84,transformed!L:L)</f>
        <v>630.19354838709683</v>
      </c>
      <c r="G84" t="str">
        <f t="shared" si="2"/>
        <v>172022</v>
      </c>
      <c r="H84" t="str">
        <f t="shared" si="3"/>
        <v>17-5-2022</v>
      </c>
    </row>
    <row r="85" spans="1:8" x14ac:dyDescent="0.2">
      <c r="A85" s="11">
        <v>18</v>
      </c>
      <c r="B85" s="11">
        <v>5</v>
      </c>
      <c r="C85" s="11">
        <v>2022</v>
      </c>
      <c r="D85" s="11">
        <f>SUMIF(transformed!$N:$N,weekly!$H85,transformed!J:J)</f>
        <v>8225</v>
      </c>
      <c r="E85" s="11">
        <f>SUMIF(transformed!$N:$N,weekly!$H85,transformed!K:K)</f>
        <v>6599.4193548387102</v>
      </c>
      <c r="F85" s="11">
        <f>SUMIF(transformed!$N:$N,weekly!$H85,transformed!L:L)</f>
        <v>4411.3548387096771</v>
      </c>
      <c r="G85" t="str">
        <f t="shared" si="2"/>
        <v>182022</v>
      </c>
      <c r="H85" t="str">
        <f t="shared" si="3"/>
        <v>18-5-2022</v>
      </c>
    </row>
    <row r="86" spans="1:8" x14ac:dyDescent="0.2">
      <c r="A86" s="11">
        <v>19</v>
      </c>
      <c r="B86" s="11">
        <v>5</v>
      </c>
      <c r="C86" s="11">
        <v>2022</v>
      </c>
      <c r="D86" s="11">
        <f>SUMIF(transformed!$N:$N,weekly!$H86,transformed!J:J)</f>
        <v>8225</v>
      </c>
      <c r="E86" s="11">
        <f>SUMIF(transformed!$N:$N,weekly!$H86,transformed!K:K)</f>
        <v>6599.4193548387102</v>
      </c>
      <c r="F86" s="11">
        <f>SUMIF(transformed!$N:$N,weekly!$H86,transformed!L:L)</f>
        <v>4411.3548387096771</v>
      </c>
      <c r="G86" t="str">
        <f t="shared" si="2"/>
        <v>192022</v>
      </c>
      <c r="H86" t="str">
        <f t="shared" si="3"/>
        <v>19-5-2022</v>
      </c>
    </row>
    <row r="87" spans="1:8" x14ac:dyDescent="0.2">
      <c r="A87" s="11">
        <v>20</v>
      </c>
      <c r="B87" s="11">
        <v>5</v>
      </c>
      <c r="C87" s="11">
        <v>2022</v>
      </c>
      <c r="D87" s="11">
        <f>SUMIF(transformed!$N:$N,weekly!$H87,transformed!J:J)</f>
        <v>8225</v>
      </c>
      <c r="E87" s="11">
        <f>SUMIF(transformed!$N:$N,weekly!$H87,transformed!K:K)</f>
        <v>6599.4193548387102</v>
      </c>
      <c r="F87" s="11">
        <f>SUMIF(transformed!$N:$N,weekly!$H87,transformed!L:L)</f>
        <v>4411.3548387096771</v>
      </c>
      <c r="G87" t="str">
        <f t="shared" si="2"/>
        <v>202022</v>
      </c>
      <c r="H87" t="str">
        <f t="shared" si="3"/>
        <v>20-5-2022</v>
      </c>
    </row>
    <row r="88" spans="1:8" x14ac:dyDescent="0.2">
      <c r="A88" s="11">
        <v>21</v>
      </c>
      <c r="B88" s="11">
        <v>5</v>
      </c>
      <c r="C88" s="11">
        <v>2022</v>
      </c>
      <c r="D88" s="11">
        <f>SUMIF(transformed!$N:$N,weekly!$H88,transformed!J:J)</f>
        <v>8225</v>
      </c>
      <c r="E88" s="11">
        <f>SUMIF(transformed!$N:$N,weekly!$H88,transformed!K:K)</f>
        <v>6599.4193548387102</v>
      </c>
      <c r="F88" s="11">
        <f>SUMIF(transformed!$N:$N,weekly!$H88,transformed!L:L)</f>
        <v>4411.3548387096771</v>
      </c>
      <c r="G88" t="str">
        <f t="shared" si="2"/>
        <v>212022</v>
      </c>
      <c r="H88" t="str">
        <f t="shared" si="3"/>
        <v>21-5-2022</v>
      </c>
    </row>
    <row r="89" spans="1:8" x14ac:dyDescent="0.2">
      <c r="A89" s="11">
        <v>22</v>
      </c>
      <c r="B89" s="11">
        <v>5</v>
      </c>
      <c r="C89" s="11">
        <v>2022</v>
      </c>
      <c r="D89" s="11">
        <f>SUMIF(transformed!$N:$N,weekly!$H89,transformed!J:J)</f>
        <v>2350</v>
      </c>
      <c r="E89" s="11">
        <f>SUMIF(transformed!$N:$N,weekly!$H89,transformed!K:K)</f>
        <v>1885.5483870967741</v>
      </c>
      <c r="F89" s="11">
        <f>SUMIF(transformed!$N:$N,weekly!$H89,transformed!L:L)</f>
        <v>1260.3870967741937</v>
      </c>
      <c r="G89" t="str">
        <f t="shared" si="2"/>
        <v>222022</v>
      </c>
      <c r="H89" t="str">
        <f t="shared" si="3"/>
        <v>22-5-2022</v>
      </c>
    </row>
    <row r="90" spans="1:8" x14ac:dyDescent="0.2">
      <c r="A90" s="11">
        <v>22</v>
      </c>
      <c r="B90" s="11">
        <v>6</v>
      </c>
      <c r="C90" s="11">
        <v>2022</v>
      </c>
      <c r="D90" s="11">
        <f>SUMIF(transformed!$N:$N,weekly!$H90,transformed!J:J)</f>
        <v>6718.3333333333339</v>
      </c>
      <c r="E90" s="11">
        <f>SUMIF(transformed!$N:$N,weekly!$H90,transformed!K:K)</f>
        <v>3442.0583333333334</v>
      </c>
      <c r="F90" s="11">
        <f>SUMIF(transformed!$N:$N,weekly!$H90,transformed!L:L)</f>
        <v>3743.6533333333327</v>
      </c>
      <c r="G90" t="str">
        <f t="shared" si="2"/>
        <v>222022</v>
      </c>
      <c r="H90" t="str">
        <f t="shared" si="3"/>
        <v>22-6-2022</v>
      </c>
    </row>
    <row r="91" spans="1:8" x14ac:dyDescent="0.2">
      <c r="A91" s="11">
        <v>23</v>
      </c>
      <c r="B91" s="11">
        <v>6</v>
      </c>
      <c r="C91" s="11">
        <v>2022</v>
      </c>
      <c r="D91" s="11">
        <f>SUMIF(transformed!$N:$N,weekly!$H91,transformed!J:J)</f>
        <v>9405.6666666666679</v>
      </c>
      <c r="E91" s="11">
        <f>SUMIF(transformed!$N:$N,weekly!$H91,transformed!K:K)</f>
        <v>4818.8816666666671</v>
      </c>
      <c r="F91" s="11">
        <f>SUMIF(transformed!$N:$N,weekly!$H91,transformed!L:L)</f>
        <v>5241.1146666666655</v>
      </c>
      <c r="G91" t="str">
        <f t="shared" si="2"/>
        <v>232022</v>
      </c>
      <c r="H91" t="str">
        <f t="shared" si="3"/>
        <v>23-6-2022</v>
      </c>
    </row>
    <row r="92" spans="1:8" x14ac:dyDescent="0.2">
      <c r="A92" s="11">
        <v>24</v>
      </c>
      <c r="B92" s="11">
        <v>6</v>
      </c>
      <c r="C92" s="11">
        <v>2022</v>
      </c>
      <c r="D92" s="11">
        <f>SUMIF(transformed!$N:$N,weekly!$H92,transformed!J:J)</f>
        <v>9405.6666666666679</v>
      </c>
      <c r="E92" s="11">
        <f>SUMIF(transformed!$N:$N,weekly!$H92,transformed!K:K)</f>
        <v>4818.8816666666671</v>
      </c>
      <c r="F92" s="11">
        <f>SUMIF(transformed!$N:$N,weekly!$H92,transformed!L:L)</f>
        <v>5241.1146666666655</v>
      </c>
      <c r="G92" t="str">
        <f t="shared" si="2"/>
        <v>242022</v>
      </c>
      <c r="H92" t="str">
        <f t="shared" si="3"/>
        <v>24-6-2022</v>
      </c>
    </row>
    <row r="93" spans="1:8" x14ac:dyDescent="0.2">
      <c r="A93" s="11">
        <v>25</v>
      </c>
      <c r="B93" s="11">
        <v>6</v>
      </c>
      <c r="C93" s="11">
        <v>2022</v>
      </c>
      <c r="D93" s="11">
        <f>SUMIF(transformed!$N:$N,weekly!$H93,transformed!J:J)</f>
        <v>9405.6666666666679</v>
      </c>
      <c r="E93" s="11">
        <f>SUMIF(transformed!$N:$N,weekly!$H93,transformed!K:K)</f>
        <v>4818.8816666666671</v>
      </c>
      <c r="F93" s="11">
        <f>SUMIF(transformed!$N:$N,weekly!$H93,transformed!L:L)</f>
        <v>5241.1146666666655</v>
      </c>
      <c r="G93" t="str">
        <f t="shared" si="2"/>
        <v>252022</v>
      </c>
      <c r="H93" t="str">
        <f t="shared" si="3"/>
        <v>25-6-2022</v>
      </c>
    </row>
    <row r="94" spans="1:8" x14ac:dyDescent="0.2">
      <c r="A94" s="11">
        <v>26</v>
      </c>
      <c r="B94" s="11">
        <v>6</v>
      </c>
      <c r="C94" s="11">
        <v>2022</v>
      </c>
      <c r="D94" s="11">
        <f>SUMIF(transformed!$N:$N,weekly!$H94,transformed!J:J)</f>
        <v>5374.666666666667</v>
      </c>
      <c r="E94" s="11">
        <f>SUMIF(transformed!$N:$N,weekly!$H94,transformed!K:K)</f>
        <v>2753.6466666666665</v>
      </c>
      <c r="F94" s="11">
        <f>SUMIF(transformed!$N:$N,weekly!$H94,transformed!L:L)</f>
        <v>2994.9226666666664</v>
      </c>
      <c r="G94" t="str">
        <f t="shared" si="2"/>
        <v>262022</v>
      </c>
      <c r="H94" t="str">
        <f t="shared" si="3"/>
        <v>26-6-2022</v>
      </c>
    </row>
    <row r="95" spans="1:8" x14ac:dyDescent="0.2">
      <c r="A95" s="11">
        <v>26</v>
      </c>
      <c r="B95" s="11">
        <v>7</v>
      </c>
      <c r="C95" s="11">
        <v>2022</v>
      </c>
      <c r="D95" s="11">
        <f>SUMIF(transformed!$N:$N,weekly!$H95,transformed!J:J)</f>
        <v>4538.2258064516127</v>
      </c>
      <c r="E95" s="11">
        <f>SUMIF(transformed!$N:$N,weekly!$H95,transformed!K:K)</f>
        <v>2332.4748387096774</v>
      </c>
      <c r="F95" s="11">
        <f>SUMIF(transformed!$N:$N,weekly!$H95,transformed!L:L)</f>
        <v>1714.6345161290321</v>
      </c>
      <c r="G95" t="str">
        <f t="shared" si="2"/>
        <v>262022</v>
      </c>
      <c r="H95" t="str">
        <f t="shared" si="3"/>
        <v>26-7-2022</v>
      </c>
    </row>
    <row r="96" spans="1:8" x14ac:dyDescent="0.2">
      <c r="A96" s="11">
        <v>27</v>
      </c>
      <c r="B96" s="11">
        <v>7</v>
      </c>
      <c r="C96" s="11">
        <v>2022</v>
      </c>
      <c r="D96" s="11">
        <f>SUMIF(transformed!$N:$N,weekly!$H96,transformed!J:J)</f>
        <v>10589.193548387097</v>
      </c>
      <c r="E96" s="11">
        <f>SUMIF(transformed!$N:$N,weekly!$H96,transformed!K:K)</f>
        <v>5442.4412903225802</v>
      </c>
      <c r="F96" s="11">
        <f>SUMIF(transformed!$N:$N,weekly!$H96,transformed!L:L)</f>
        <v>4000.8138709677423</v>
      </c>
      <c r="G96" t="str">
        <f t="shared" si="2"/>
        <v>272022</v>
      </c>
      <c r="H96" t="str">
        <f t="shared" si="3"/>
        <v>27-7-2022</v>
      </c>
    </row>
    <row r="97" spans="1:8" x14ac:dyDescent="0.2">
      <c r="A97" s="11">
        <v>28</v>
      </c>
      <c r="B97" s="11">
        <v>7</v>
      </c>
      <c r="C97" s="11">
        <v>2022</v>
      </c>
      <c r="D97" s="11">
        <f>SUMIF(transformed!$N:$N,weekly!$H97,transformed!J:J)</f>
        <v>10589.193548387097</v>
      </c>
      <c r="E97" s="11">
        <f>SUMIF(transformed!$N:$N,weekly!$H97,transformed!K:K)</f>
        <v>5442.4412903225802</v>
      </c>
      <c r="F97" s="11">
        <f>SUMIF(transformed!$N:$N,weekly!$H97,transformed!L:L)</f>
        <v>4000.8138709677423</v>
      </c>
      <c r="G97" t="str">
        <f t="shared" si="2"/>
        <v>282022</v>
      </c>
      <c r="H97" t="str">
        <f t="shared" si="3"/>
        <v>28-7-2022</v>
      </c>
    </row>
    <row r="98" spans="1:8" x14ac:dyDescent="0.2">
      <c r="A98" s="11">
        <v>29</v>
      </c>
      <c r="B98" s="11">
        <v>7</v>
      </c>
      <c r="C98" s="11">
        <v>2022</v>
      </c>
      <c r="D98" s="11">
        <f>SUMIF(transformed!$N:$N,weekly!$H98,transformed!J:J)</f>
        <v>10589.193548387097</v>
      </c>
      <c r="E98" s="11">
        <f>SUMIF(transformed!$N:$N,weekly!$H98,transformed!K:K)</f>
        <v>5442.4412903225802</v>
      </c>
      <c r="F98" s="11">
        <f>SUMIF(transformed!$N:$N,weekly!$H98,transformed!L:L)</f>
        <v>4000.8138709677423</v>
      </c>
      <c r="G98" t="str">
        <f t="shared" si="2"/>
        <v>292022</v>
      </c>
      <c r="H98" t="str">
        <f t="shared" si="3"/>
        <v>29-7-2022</v>
      </c>
    </row>
    <row r="99" spans="1:8" x14ac:dyDescent="0.2">
      <c r="A99" s="11">
        <v>30</v>
      </c>
      <c r="B99" s="11">
        <v>7</v>
      </c>
      <c r="C99" s="11">
        <v>2022</v>
      </c>
      <c r="D99" s="11">
        <f>SUMIF(transformed!$N:$N,weekly!$H99,transformed!J:J)</f>
        <v>10589.193548387097</v>
      </c>
      <c r="E99" s="11">
        <f>SUMIF(transformed!$N:$N,weekly!$H99,transformed!K:K)</f>
        <v>5442.4412903225802</v>
      </c>
      <c r="F99" s="11">
        <f>SUMIF(transformed!$N:$N,weekly!$H99,transformed!L:L)</f>
        <v>4000.8138709677423</v>
      </c>
      <c r="G99" t="str">
        <f t="shared" si="2"/>
        <v>302022</v>
      </c>
      <c r="H99" t="str">
        <f t="shared" si="3"/>
        <v>30-7-2022</v>
      </c>
    </row>
    <row r="100" spans="1:8" x14ac:dyDescent="0.2">
      <c r="A100" s="11">
        <v>31</v>
      </c>
      <c r="B100" s="11">
        <v>8</v>
      </c>
      <c r="C100" s="11">
        <v>2022</v>
      </c>
      <c r="D100" s="11">
        <f>SUMIF(transformed!$N:$N,weekly!$H100,transformed!J:J)</f>
        <v>10671.83870967742</v>
      </c>
      <c r="E100" s="11">
        <f>SUMIF(transformed!$N:$N,weekly!$H100,transformed!K:K)</f>
        <v>4986.8406451612909</v>
      </c>
      <c r="F100" s="11">
        <f>SUMIF(transformed!$N:$N,weekly!$H100,transformed!L:L)</f>
        <v>3646.7741935483873</v>
      </c>
      <c r="G100" t="str">
        <f t="shared" si="2"/>
        <v>312022</v>
      </c>
      <c r="H100" t="str">
        <f t="shared" si="3"/>
        <v>31-8-2022</v>
      </c>
    </row>
    <row r="101" spans="1:8" x14ac:dyDescent="0.2">
      <c r="A101" s="11">
        <v>32</v>
      </c>
      <c r="B101" s="11">
        <v>8</v>
      </c>
      <c r="C101" s="11">
        <v>2022</v>
      </c>
      <c r="D101" s="11">
        <f>SUMIF(transformed!$N:$N,weekly!$H101,transformed!J:J)</f>
        <v>10671.83870967742</v>
      </c>
      <c r="E101" s="11">
        <f>SUMIF(transformed!$N:$N,weekly!$H101,transformed!K:K)</f>
        <v>4986.8406451612909</v>
      </c>
      <c r="F101" s="11">
        <f>SUMIF(transformed!$N:$N,weekly!$H101,transformed!L:L)</f>
        <v>3646.7741935483873</v>
      </c>
      <c r="G101" t="str">
        <f t="shared" si="2"/>
        <v>322022</v>
      </c>
      <c r="H101" t="str">
        <f t="shared" si="3"/>
        <v>32-8-2022</v>
      </c>
    </row>
    <row r="102" spans="1:8" x14ac:dyDescent="0.2">
      <c r="A102" s="11">
        <v>33</v>
      </c>
      <c r="B102" s="11">
        <v>8</v>
      </c>
      <c r="C102" s="11">
        <v>2022</v>
      </c>
      <c r="D102" s="11">
        <f>SUMIF(transformed!$N:$N,weekly!$H102,transformed!J:J)</f>
        <v>10671.83870967742</v>
      </c>
      <c r="E102" s="11">
        <f>SUMIF(transformed!$N:$N,weekly!$H102,transformed!K:K)</f>
        <v>4986.8406451612909</v>
      </c>
      <c r="F102" s="11">
        <f>SUMIF(transformed!$N:$N,weekly!$H102,transformed!L:L)</f>
        <v>3646.7741935483873</v>
      </c>
      <c r="G102" t="str">
        <f t="shared" si="2"/>
        <v>332022</v>
      </c>
      <c r="H102" t="str">
        <f t="shared" si="3"/>
        <v>33-8-2022</v>
      </c>
    </row>
    <row r="103" spans="1:8" x14ac:dyDescent="0.2">
      <c r="A103" s="11">
        <v>34</v>
      </c>
      <c r="B103" s="11">
        <v>8</v>
      </c>
      <c r="C103" s="11">
        <v>2022</v>
      </c>
      <c r="D103" s="11">
        <f>SUMIF(transformed!$N:$N,weekly!$H103,transformed!J:J)</f>
        <v>10671.83870967742</v>
      </c>
      <c r="E103" s="11">
        <f>SUMIF(transformed!$N:$N,weekly!$H103,transformed!K:K)</f>
        <v>4986.8406451612909</v>
      </c>
      <c r="F103" s="11">
        <f>SUMIF(transformed!$N:$N,weekly!$H103,transformed!L:L)</f>
        <v>3646.7741935483873</v>
      </c>
      <c r="G103" t="str">
        <f t="shared" si="2"/>
        <v>342022</v>
      </c>
      <c r="H103" t="str">
        <f t="shared" si="3"/>
        <v>34-8-2022</v>
      </c>
    </row>
    <row r="104" spans="1:8" x14ac:dyDescent="0.2">
      <c r="A104" s="11">
        <v>35</v>
      </c>
      <c r="B104" s="11">
        <v>8</v>
      </c>
      <c r="C104" s="11">
        <v>2022</v>
      </c>
      <c r="D104" s="11">
        <f>SUMIF(transformed!$N:$N,weekly!$H104,transformed!J:J)</f>
        <v>4573.645161290322</v>
      </c>
      <c r="E104" s="11">
        <f>SUMIF(transformed!$N:$N,weekly!$H104,transformed!K:K)</f>
        <v>2137.217419354839</v>
      </c>
      <c r="F104" s="11">
        <f>SUMIF(transformed!$N:$N,weekly!$H104,transformed!L:L)</f>
        <v>1562.9032258064517</v>
      </c>
      <c r="G104" t="str">
        <f t="shared" si="2"/>
        <v>352022</v>
      </c>
      <c r="H104" t="str">
        <f t="shared" si="3"/>
        <v>35-8-2022</v>
      </c>
    </row>
    <row r="105" spans="1:8" x14ac:dyDescent="0.2">
      <c r="A105" s="11">
        <v>35</v>
      </c>
      <c r="B105" s="11">
        <v>9</v>
      </c>
      <c r="C105" s="11">
        <v>2022</v>
      </c>
      <c r="D105" s="11">
        <f>SUMIF(transformed!$N:$N,weekly!$H105,transformed!J:J)</f>
        <v>5541.8666666666668</v>
      </c>
      <c r="E105" s="11">
        <f>SUMIF(transformed!$N:$N,weekly!$H105,transformed!K:K)</f>
        <v>3552.5333333333333</v>
      </c>
      <c r="F105" s="11">
        <f>SUMIF(transformed!$N:$N,weekly!$H105,transformed!L:L)</f>
        <v>2086.6666666666665</v>
      </c>
      <c r="G105" t="str">
        <f t="shared" si="2"/>
        <v>352022</v>
      </c>
      <c r="H105" t="str">
        <f t="shared" si="3"/>
        <v>35-9-2022</v>
      </c>
    </row>
    <row r="106" spans="1:8" x14ac:dyDescent="0.2">
      <c r="A106" s="11">
        <v>36</v>
      </c>
      <c r="B106" s="11">
        <v>9</v>
      </c>
      <c r="C106" s="11">
        <v>2022</v>
      </c>
      <c r="D106" s="11">
        <f>SUMIF(transformed!$N:$N,weekly!$H106,transformed!J:J)</f>
        <v>9698.2666666666682</v>
      </c>
      <c r="E106" s="11">
        <f>SUMIF(transformed!$N:$N,weekly!$H106,transformed!K:K)</f>
        <v>6216.9333333333334</v>
      </c>
      <c r="F106" s="11">
        <f>SUMIF(transformed!$N:$N,weekly!$H106,transformed!L:L)</f>
        <v>3651.6666666666661</v>
      </c>
      <c r="G106" t="str">
        <f t="shared" si="2"/>
        <v>362022</v>
      </c>
      <c r="H106" t="str">
        <f t="shared" si="3"/>
        <v>36-9-2022</v>
      </c>
    </row>
    <row r="107" spans="1:8" x14ac:dyDescent="0.2">
      <c r="A107" s="11">
        <v>37</v>
      </c>
      <c r="B107" s="11">
        <v>9</v>
      </c>
      <c r="C107" s="11">
        <v>2022</v>
      </c>
      <c r="D107" s="11">
        <f>SUMIF(transformed!$N:$N,weekly!$H107,transformed!J:J)</f>
        <v>9698.2666666666682</v>
      </c>
      <c r="E107" s="11">
        <f>SUMIF(transformed!$N:$N,weekly!$H107,transformed!K:K)</f>
        <v>6216.9333333333334</v>
      </c>
      <c r="F107" s="11">
        <f>SUMIF(transformed!$N:$N,weekly!$H107,transformed!L:L)</f>
        <v>3651.6666666666661</v>
      </c>
      <c r="G107" t="str">
        <f t="shared" si="2"/>
        <v>372022</v>
      </c>
      <c r="H107" t="str">
        <f t="shared" si="3"/>
        <v>37-9-2022</v>
      </c>
    </row>
    <row r="108" spans="1:8" x14ac:dyDescent="0.2">
      <c r="A108" s="11">
        <v>38</v>
      </c>
      <c r="B108" s="11">
        <v>9</v>
      </c>
      <c r="C108" s="11">
        <v>2022</v>
      </c>
      <c r="D108" s="11">
        <f>SUMIF(transformed!$N:$N,weekly!$H108,transformed!J:J)</f>
        <v>9698.2666666666682</v>
      </c>
      <c r="E108" s="11">
        <f>SUMIF(transformed!$N:$N,weekly!$H108,transformed!K:K)</f>
        <v>6216.9333333333334</v>
      </c>
      <c r="F108" s="11">
        <f>SUMIF(transformed!$N:$N,weekly!$H108,transformed!L:L)</f>
        <v>3651.6666666666661</v>
      </c>
      <c r="G108" t="str">
        <f t="shared" si="2"/>
        <v>382022</v>
      </c>
      <c r="H108" t="str">
        <f t="shared" si="3"/>
        <v>38-9-2022</v>
      </c>
    </row>
    <row r="109" spans="1:8" x14ac:dyDescent="0.2">
      <c r="A109" s="11">
        <v>39</v>
      </c>
      <c r="B109" s="11">
        <v>9</v>
      </c>
      <c r="C109" s="11">
        <v>2022</v>
      </c>
      <c r="D109" s="11">
        <f>SUMIF(transformed!$N:$N,weekly!$H109,transformed!J:J)</f>
        <v>6927.3333333333339</v>
      </c>
      <c r="E109" s="11">
        <f>SUMIF(transformed!$N:$N,weekly!$H109,transformed!K:K)</f>
        <v>4440.666666666667</v>
      </c>
      <c r="F109" s="11">
        <f>SUMIF(transformed!$N:$N,weekly!$H109,transformed!L:L)</f>
        <v>2608.333333333333</v>
      </c>
      <c r="G109" t="str">
        <f t="shared" si="2"/>
        <v>392022</v>
      </c>
      <c r="H109" t="str">
        <f t="shared" si="3"/>
        <v>39-9-2022</v>
      </c>
    </row>
    <row r="110" spans="1:8" x14ac:dyDescent="0.2">
      <c r="A110" s="11">
        <v>39</v>
      </c>
      <c r="B110" s="11">
        <v>10</v>
      </c>
      <c r="C110" s="11">
        <v>2022</v>
      </c>
      <c r="D110" s="11">
        <f>SUMIF(transformed!$N:$N,weekly!$H110,transformed!J:J)</f>
        <v>2981.4193548387098</v>
      </c>
      <c r="E110" s="11">
        <f>SUMIF(transformed!$N:$N,weekly!$H110,transformed!K:K)</f>
        <v>2010.7096774193549</v>
      </c>
      <c r="F110" s="11">
        <f>SUMIF(transformed!$N:$N,weekly!$H110,transformed!L:L)</f>
        <v>474.58064516129031</v>
      </c>
      <c r="G110" t="str">
        <f t="shared" si="2"/>
        <v>392022</v>
      </c>
      <c r="H110" t="str">
        <f t="shared" si="3"/>
        <v>39-10-2022</v>
      </c>
    </row>
    <row r="111" spans="1:8" x14ac:dyDescent="0.2">
      <c r="A111" s="11">
        <v>40</v>
      </c>
      <c r="B111" s="11">
        <v>10</v>
      </c>
      <c r="C111" s="11">
        <v>2022</v>
      </c>
      <c r="D111" s="11">
        <f>SUMIF(transformed!$N:$N,weekly!$H111,transformed!J:J)</f>
        <v>10434.967741935483</v>
      </c>
      <c r="E111" s="11">
        <f>SUMIF(transformed!$N:$N,weekly!$H111,transformed!K:K)</f>
        <v>7037.4838709677415</v>
      </c>
      <c r="F111" s="11">
        <f>SUMIF(transformed!$N:$N,weekly!$H111,transformed!L:L)</f>
        <v>1661.0322580645161</v>
      </c>
      <c r="G111" t="str">
        <f t="shared" si="2"/>
        <v>402022</v>
      </c>
      <c r="H111" t="str">
        <f t="shared" si="3"/>
        <v>40-10-2022</v>
      </c>
    </row>
    <row r="112" spans="1:8" x14ac:dyDescent="0.2">
      <c r="A112" s="11">
        <v>41</v>
      </c>
      <c r="B112" s="11">
        <v>10</v>
      </c>
      <c r="C112" s="11">
        <v>2022</v>
      </c>
      <c r="D112" s="11">
        <f>SUMIF(transformed!$N:$N,weekly!$H112,transformed!J:J)</f>
        <v>10434.967741935483</v>
      </c>
      <c r="E112" s="11">
        <f>SUMIF(transformed!$N:$N,weekly!$H112,transformed!K:K)</f>
        <v>7037.4838709677415</v>
      </c>
      <c r="F112" s="11">
        <f>SUMIF(transformed!$N:$N,weekly!$H112,transformed!L:L)</f>
        <v>1661.0322580645161</v>
      </c>
      <c r="G112" t="str">
        <f t="shared" si="2"/>
        <v>412022</v>
      </c>
      <c r="H112" t="str">
        <f t="shared" si="3"/>
        <v>41-10-2022</v>
      </c>
    </row>
    <row r="113" spans="1:8" x14ac:dyDescent="0.2">
      <c r="A113" s="11">
        <v>42</v>
      </c>
      <c r="B113" s="11">
        <v>10</v>
      </c>
      <c r="C113" s="11">
        <v>2022</v>
      </c>
      <c r="D113" s="11">
        <f>SUMIF(transformed!$N:$N,weekly!$H113,transformed!J:J)</f>
        <v>10434.967741935483</v>
      </c>
      <c r="E113" s="11">
        <f>SUMIF(transformed!$N:$N,weekly!$H113,transformed!K:K)</f>
        <v>7037.4838709677415</v>
      </c>
      <c r="F113" s="11">
        <f>SUMIF(transformed!$N:$N,weekly!$H113,transformed!L:L)</f>
        <v>1661.0322580645161</v>
      </c>
      <c r="G113" t="str">
        <f t="shared" si="2"/>
        <v>422022</v>
      </c>
      <c r="H113" t="str">
        <f t="shared" si="3"/>
        <v>42-10-2022</v>
      </c>
    </row>
    <row r="114" spans="1:8" x14ac:dyDescent="0.2">
      <c r="A114" s="11">
        <v>43</v>
      </c>
      <c r="B114" s="11">
        <v>10</v>
      </c>
      <c r="C114" s="11">
        <v>2022</v>
      </c>
      <c r="D114" s="11">
        <f>SUMIF(transformed!$N:$N,weekly!$H114,transformed!J:J)</f>
        <v>10434.967741935483</v>
      </c>
      <c r="E114" s="11">
        <f>SUMIF(transformed!$N:$N,weekly!$H114,transformed!K:K)</f>
        <v>7037.4838709677415</v>
      </c>
      <c r="F114" s="11">
        <f>SUMIF(transformed!$N:$N,weekly!$H114,transformed!L:L)</f>
        <v>1661.0322580645161</v>
      </c>
      <c r="G114" t="str">
        <f t="shared" si="2"/>
        <v>432022</v>
      </c>
      <c r="H114" t="str">
        <f t="shared" si="3"/>
        <v>43-10-2022</v>
      </c>
    </row>
    <row r="115" spans="1:8" x14ac:dyDescent="0.2">
      <c r="A115" s="11">
        <v>44</v>
      </c>
      <c r="B115" s="11">
        <v>10</v>
      </c>
      <c r="C115" s="11">
        <v>2022</v>
      </c>
      <c r="D115" s="11">
        <f>SUMIF(transformed!$N:$N,weekly!$H115,transformed!J:J)</f>
        <v>1490.7096774193549</v>
      </c>
      <c r="E115" s="11">
        <f>SUMIF(transformed!$N:$N,weekly!$H115,transformed!K:K)</f>
        <v>1005.3548387096774</v>
      </c>
      <c r="F115" s="11">
        <f>SUMIF(transformed!$N:$N,weekly!$H115,transformed!L:L)</f>
        <v>237.29032258064515</v>
      </c>
      <c r="G115" t="str">
        <f t="shared" si="2"/>
        <v>442022</v>
      </c>
      <c r="H115" t="str">
        <f t="shared" si="3"/>
        <v>44-10-2022</v>
      </c>
    </row>
    <row r="116" spans="1:8" x14ac:dyDescent="0.2">
      <c r="A116" s="11">
        <v>44</v>
      </c>
      <c r="B116" s="11">
        <v>11</v>
      </c>
      <c r="C116" s="11">
        <v>2022</v>
      </c>
      <c r="D116" s="11">
        <f>SUMIF(transformed!$N:$N,weekly!$H116,transformed!J:J)</f>
        <v>8318</v>
      </c>
      <c r="E116" s="11">
        <f>SUMIF(transformed!$N:$N,weekly!$H116,transformed!K:K)</f>
        <v>3676.4000000000005</v>
      </c>
      <c r="F116" s="11">
        <f>SUMIF(transformed!$N:$N,weekly!$H116,transformed!L:L)</f>
        <v>1920</v>
      </c>
      <c r="G116" t="str">
        <f t="shared" si="2"/>
        <v>442022</v>
      </c>
      <c r="H116" t="str">
        <f t="shared" si="3"/>
        <v>44-11-2022</v>
      </c>
    </row>
    <row r="117" spans="1:8" x14ac:dyDescent="0.2">
      <c r="A117" s="11">
        <v>45</v>
      </c>
      <c r="B117" s="11">
        <v>11</v>
      </c>
      <c r="C117" s="11">
        <v>2022</v>
      </c>
      <c r="D117" s="11">
        <f>SUMIF(transformed!$N:$N,weekly!$H117,transformed!J:J)</f>
        <v>9704.3333333333339</v>
      </c>
      <c r="E117" s="11">
        <f>SUMIF(transformed!$N:$N,weekly!$H117,transformed!K:K)</f>
        <v>4289.1333333333341</v>
      </c>
      <c r="F117" s="11">
        <f>SUMIF(transformed!$N:$N,weekly!$H117,transformed!L:L)</f>
        <v>2240</v>
      </c>
      <c r="G117" t="str">
        <f t="shared" si="2"/>
        <v>452022</v>
      </c>
      <c r="H117" t="str">
        <f t="shared" si="3"/>
        <v>45-11-2022</v>
      </c>
    </row>
    <row r="118" spans="1:8" x14ac:dyDescent="0.2">
      <c r="A118" s="11">
        <v>46</v>
      </c>
      <c r="B118" s="11">
        <v>11</v>
      </c>
      <c r="C118" s="11">
        <v>2022</v>
      </c>
      <c r="D118" s="11">
        <f>SUMIF(transformed!$N:$N,weekly!$H118,transformed!J:J)</f>
        <v>9704.3333333333339</v>
      </c>
      <c r="E118" s="11">
        <f>SUMIF(transformed!$N:$N,weekly!$H118,transformed!K:K)</f>
        <v>4289.1333333333341</v>
      </c>
      <c r="F118" s="11">
        <f>SUMIF(transformed!$N:$N,weekly!$H118,transformed!L:L)</f>
        <v>2240</v>
      </c>
      <c r="G118" t="str">
        <f t="shared" si="2"/>
        <v>462022</v>
      </c>
      <c r="H118" t="str">
        <f t="shared" si="3"/>
        <v>46-11-2022</v>
      </c>
    </row>
    <row r="119" spans="1:8" x14ac:dyDescent="0.2">
      <c r="A119" s="11">
        <v>47</v>
      </c>
      <c r="B119" s="11">
        <v>11</v>
      </c>
      <c r="C119" s="11">
        <v>2022</v>
      </c>
      <c r="D119" s="11">
        <f>SUMIF(transformed!$N:$N,weekly!$H119,transformed!J:J)</f>
        <v>9704.3333333333339</v>
      </c>
      <c r="E119" s="11">
        <f>SUMIF(transformed!$N:$N,weekly!$H119,transformed!K:K)</f>
        <v>4289.1333333333341</v>
      </c>
      <c r="F119" s="11">
        <f>SUMIF(transformed!$N:$N,weekly!$H119,transformed!L:L)</f>
        <v>2240</v>
      </c>
      <c r="G119" t="str">
        <f t="shared" si="2"/>
        <v>472022</v>
      </c>
      <c r="H119" t="str">
        <f t="shared" si="3"/>
        <v>47-11-2022</v>
      </c>
    </row>
    <row r="120" spans="1:8" x14ac:dyDescent="0.2">
      <c r="A120" s="11">
        <v>48</v>
      </c>
      <c r="B120" s="11">
        <v>11</v>
      </c>
      <c r="C120" s="11">
        <v>2022</v>
      </c>
      <c r="D120" s="11">
        <f>SUMIF(transformed!$N:$N,weekly!$H120,transformed!J:J)</f>
        <v>4159</v>
      </c>
      <c r="E120" s="11">
        <f>SUMIF(transformed!$N:$N,weekly!$H120,transformed!K:K)</f>
        <v>1838.2</v>
      </c>
      <c r="F120" s="11">
        <f>SUMIF(transformed!$N:$N,weekly!$H120,transformed!L:L)</f>
        <v>960</v>
      </c>
      <c r="G120" t="str">
        <f t="shared" si="2"/>
        <v>482022</v>
      </c>
      <c r="H120" t="str">
        <f t="shared" si="3"/>
        <v>48-11-2022</v>
      </c>
    </row>
    <row r="121" spans="1:8" x14ac:dyDescent="0.2">
      <c r="A121" s="11">
        <v>48</v>
      </c>
      <c r="B121" s="11">
        <v>12</v>
      </c>
      <c r="C121" s="11">
        <v>2022</v>
      </c>
      <c r="D121" s="11">
        <f>SUMIF(transformed!$N:$N,weekly!$H121,transformed!J:J)</f>
        <v>5913.4167741935489</v>
      </c>
      <c r="E121" s="11">
        <f>SUMIF(transformed!$N:$N,weekly!$H121,transformed!K:K)</f>
        <v>2276.1290322580644</v>
      </c>
      <c r="F121" s="11">
        <f>SUMIF(transformed!$N:$N,weekly!$H121,transformed!L:L)</f>
        <v>1313.0322580645161</v>
      </c>
      <c r="G121" t="str">
        <f t="shared" si="2"/>
        <v>482022</v>
      </c>
      <c r="H121" t="str">
        <f t="shared" si="3"/>
        <v>48-12-2022</v>
      </c>
    </row>
    <row r="122" spans="1:8" x14ac:dyDescent="0.2">
      <c r="A122" s="11">
        <v>49</v>
      </c>
      <c r="B122" s="11">
        <v>12</v>
      </c>
      <c r="C122" s="11">
        <v>2022</v>
      </c>
      <c r="D122" s="11">
        <f>SUMIF(transformed!$N:$N,weekly!$H122,transformed!J:J)</f>
        <v>10348.47935483871</v>
      </c>
      <c r="E122" s="11">
        <f>SUMIF(transformed!$N:$N,weekly!$H122,transformed!K:K)</f>
        <v>3983.2258064516127</v>
      </c>
      <c r="F122" s="11">
        <f>SUMIF(transformed!$N:$N,weekly!$H122,transformed!L:L)</f>
        <v>2297.8064516129034</v>
      </c>
      <c r="G122" t="str">
        <f t="shared" si="2"/>
        <v>492022</v>
      </c>
      <c r="H122" t="str">
        <f t="shared" si="3"/>
        <v>49-12-2022</v>
      </c>
    </row>
    <row r="123" spans="1:8" x14ac:dyDescent="0.2">
      <c r="A123" s="11">
        <v>50</v>
      </c>
      <c r="B123" s="11">
        <v>12</v>
      </c>
      <c r="C123" s="11">
        <v>2022</v>
      </c>
      <c r="D123" s="11">
        <f>SUMIF(transformed!$N:$N,weekly!$H123,transformed!J:J)</f>
        <v>10348.47935483871</v>
      </c>
      <c r="E123" s="11">
        <f>SUMIF(transformed!$N:$N,weekly!$H123,transformed!K:K)</f>
        <v>3983.2258064516127</v>
      </c>
      <c r="F123" s="11">
        <f>SUMIF(transformed!$N:$N,weekly!$H123,transformed!L:L)</f>
        <v>2297.8064516129034</v>
      </c>
      <c r="G123" t="str">
        <f t="shared" si="2"/>
        <v>502022</v>
      </c>
      <c r="H123" t="str">
        <f t="shared" si="3"/>
        <v>50-12-2022</v>
      </c>
    </row>
    <row r="124" spans="1:8" x14ac:dyDescent="0.2">
      <c r="A124" s="11">
        <v>51</v>
      </c>
      <c r="B124" s="11">
        <v>12</v>
      </c>
      <c r="C124" s="11">
        <v>2022</v>
      </c>
      <c r="D124" s="11">
        <f>SUMIF(transformed!$N:$N,weekly!$H124,transformed!J:J)</f>
        <v>10348.47935483871</v>
      </c>
      <c r="E124" s="11">
        <f>SUMIF(transformed!$N:$N,weekly!$H124,transformed!K:K)</f>
        <v>3983.2258064516127</v>
      </c>
      <c r="F124" s="11">
        <f>SUMIF(transformed!$N:$N,weekly!$H124,transformed!L:L)</f>
        <v>2297.8064516129034</v>
      </c>
      <c r="G124" t="str">
        <f t="shared" si="2"/>
        <v>512022</v>
      </c>
      <c r="H124" t="str">
        <f t="shared" si="3"/>
        <v>51-12-2022</v>
      </c>
    </row>
    <row r="125" spans="1:8" x14ac:dyDescent="0.2">
      <c r="A125" s="11">
        <v>52</v>
      </c>
      <c r="B125" s="11">
        <v>12</v>
      </c>
      <c r="C125" s="11">
        <v>2022</v>
      </c>
      <c r="D125" s="11">
        <f>SUMIF(transformed!$N:$N,weekly!$H125,transformed!J:J)</f>
        <v>8870.1251612903234</v>
      </c>
      <c r="E125" s="11">
        <f>SUMIF(transformed!$N:$N,weekly!$H125,transformed!K:K)</f>
        <v>3414.1935483870966</v>
      </c>
      <c r="F125" s="11">
        <f>SUMIF(transformed!$N:$N,weekly!$H125,transformed!L:L)</f>
        <v>1969.5483870967741</v>
      </c>
      <c r="G125" t="str">
        <f t="shared" si="2"/>
        <v>522022</v>
      </c>
      <c r="H125" t="str">
        <f t="shared" si="3"/>
        <v>52-12-2022</v>
      </c>
    </row>
    <row r="126" spans="1:8" x14ac:dyDescent="0.2">
      <c r="A126" s="11">
        <v>52</v>
      </c>
      <c r="B126" s="11">
        <v>1</v>
      </c>
      <c r="C126" s="11">
        <v>2023</v>
      </c>
      <c r="D126" s="11">
        <f>SUMIF(transformed!$N:$N,weekly!$H126,transformed!J:J)</f>
        <v>1719.3070967741935</v>
      </c>
      <c r="E126" s="11">
        <f>SUMIF(transformed!$N:$N,weekly!$H126,transformed!K:K)</f>
        <v>799.84709677419346</v>
      </c>
      <c r="F126" s="11">
        <f>SUMIF(transformed!$N:$N,weekly!$H126,transformed!L:L)</f>
        <v>950.51612903225805</v>
      </c>
      <c r="G126" t="str">
        <f t="shared" si="2"/>
        <v>522023</v>
      </c>
      <c r="H126" t="str">
        <f t="shared" si="3"/>
        <v>52-1-2023</v>
      </c>
    </row>
    <row r="127" spans="1:8" x14ac:dyDescent="0.2">
      <c r="A127" s="11">
        <v>1</v>
      </c>
      <c r="B127" s="11">
        <v>1</v>
      </c>
      <c r="C127" s="11">
        <v>2023</v>
      </c>
      <c r="D127" s="11">
        <f>SUMIF(transformed!$N:$N,weekly!$H127,transformed!J:J)</f>
        <v>12035.149677419355</v>
      </c>
      <c r="E127" s="11">
        <f>SUMIF(transformed!$N:$N,weekly!$H127,transformed!K:K)</f>
        <v>5598.9296774193535</v>
      </c>
      <c r="F127" s="11">
        <f>SUMIF(transformed!$N:$N,weekly!$H127,transformed!L:L)</f>
        <v>6653.612903225805</v>
      </c>
      <c r="G127" t="str">
        <f t="shared" si="2"/>
        <v>12023</v>
      </c>
      <c r="H127" t="str">
        <f t="shared" si="3"/>
        <v>1-1-2023</v>
      </c>
    </row>
    <row r="128" spans="1:8" x14ac:dyDescent="0.2">
      <c r="A128" s="11">
        <v>2</v>
      </c>
      <c r="B128" s="11">
        <v>1</v>
      </c>
      <c r="C128" s="11">
        <v>2023</v>
      </c>
      <c r="D128" s="11">
        <f>SUMIF(transformed!$N:$N,weekly!$H128,transformed!J:J)</f>
        <v>12035.149677419355</v>
      </c>
      <c r="E128" s="11">
        <f>SUMIF(transformed!$N:$N,weekly!$H128,transformed!K:K)</f>
        <v>5598.9296774193535</v>
      </c>
      <c r="F128" s="11">
        <f>SUMIF(transformed!$N:$N,weekly!$H128,transformed!L:L)</f>
        <v>6653.612903225805</v>
      </c>
      <c r="G128" t="str">
        <f t="shared" si="2"/>
        <v>22023</v>
      </c>
      <c r="H128" t="str">
        <f t="shared" si="3"/>
        <v>2-1-2023</v>
      </c>
    </row>
    <row r="129" spans="1:8" x14ac:dyDescent="0.2">
      <c r="A129" s="11">
        <v>3</v>
      </c>
      <c r="B129" s="11">
        <v>1</v>
      </c>
      <c r="C129" s="11">
        <v>2023</v>
      </c>
      <c r="D129" s="11">
        <f>SUMIF(transformed!$N:$N,weekly!$H129,transformed!J:J)</f>
        <v>12035.149677419355</v>
      </c>
      <c r="E129" s="11">
        <f>SUMIF(transformed!$N:$N,weekly!$H129,transformed!K:K)</f>
        <v>5598.9296774193535</v>
      </c>
      <c r="F129" s="11">
        <f>SUMIF(transformed!$N:$N,weekly!$H129,transformed!L:L)</f>
        <v>6653.612903225805</v>
      </c>
      <c r="G129" t="str">
        <f t="shared" si="2"/>
        <v>32023</v>
      </c>
      <c r="H129" t="str">
        <f t="shared" si="3"/>
        <v>3-1-2023</v>
      </c>
    </row>
    <row r="130" spans="1:8" x14ac:dyDescent="0.2">
      <c r="A130" s="11">
        <v>4</v>
      </c>
      <c r="B130" s="11">
        <v>1</v>
      </c>
      <c r="C130" s="11">
        <v>2023</v>
      </c>
      <c r="D130" s="11">
        <f>SUMIF(transformed!$N:$N,weekly!$H130,transformed!J:J)</f>
        <v>12035.149677419355</v>
      </c>
      <c r="E130" s="11">
        <f>SUMIF(transformed!$N:$N,weekly!$H130,transformed!K:K)</f>
        <v>5598.9296774193535</v>
      </c>
      <c r="F130" s="11">
        <f>SUMIF(transformed!$N:$N,weekly!$H130,transformed!L:L)</f>
        <v>6653.612903225805</v>
      </c>
      <c r="G130" t="str">
        <f t="shared" si="2"/>
        <v>42023</v>
      </c>
      <c r="H130" t="str">
        <f t="shared" si="3"/>
        <v>4-1-2023</v>
      </c>
    </row>
    <row r="131" spans="1:8" x14ac:dyDescent="0.2">
      <c r="A131" s="11">
        <v>5</v>
      </c>
      <c r="B131" s="11">
        <v>1</v>
      </c>
      <c r="C131" s="11">
        <v>2023</v>
      </c>
      <c r="D131" s="11">
        <f>SUMIF(transformed!$N:$N,weekly!$H131,transformed!J:J)</f>
        <v>3438.614193548387</v>
      </c>
      <c r="E131" s="11">
        <f>SUMIF(transformed!$N:$N,weekly!$H131,transformed!K:K)</f>
        <v>1599.6941935483869</v>
      </c>
      <c r="F131" s="11">
        <f>SUMIF(transformed!$N:$N,weekly!$H131,transformed!L:L)</f>
        <v>1901.0322580645161</v>
      </c>
      <c r="G131" t="str">
        <f t="shared" ref="G131:G188" si="4">A131&amp;C131</f>
        <v>52023</v>
      </c>
      <c r="H131" t="str">
        <f t="shared" ref="H131:H188" si="5">A131&amp;"-"&amp;B131&amp;"-"&amp;C131</f>
        <v>5-1-2023</v>
      </c>
    </row>
    <row r="132" spans="1:8" x14ac:dyDescent="0.2">
      <c r="A132" s="11">
        <v>5</v>
      </c>
      <c r="B132" s="11">
        <v>2</v>
      </c>
      <c r="C132" s="11">
        <v>2023</v>
      </c>
      <c r="D132" s="11">
        <f>SUMIF(transformed!$N:$N,weekly!$H132,transformed!J:J)</f>
        <v>9531.25</v>
      </c>
      <c r="E132" s="11">
        <f>SUMIF(transformed!$N:$N,weekly!$H132,transformed!K:K)</f>
        <v>4325.6321428571428</v>
      </c>
      <c r="F132" s="11">
        <f>SUMIF(transformed!$N:$N,weekly!$H132,transformed!L:L)</f>
        <v>4741.625</v>
      </c>
      <c r="G132" t="str">
        <f t="shared" si="4"/>
        <v>52023</v>
      </c>
      <c r="H132" t="str">
        <f t="shared" si="5"/>
        <v>5-2-2023</v>
      </c>
    </row>
    <row r="133" spans="1:8" x14ac:dyDescent="0.2">
      <c r="A133" s="11">
        <v>6</v>
      </c>
      <c r="B133" s="11">
        <v>2</v>
      </c>
      <c r="C133" s="11">
        <v>2023</v>
      </c>
      <c r="D133" s="11">
        <f>SUMIF(transformed!$N:$N,weekly!$H133,transformed!J:J)</f>
        <v>13343.75</v>
      </c>
      <c r="E133" s="11">
        <f>SUMIF(transformed!$N:$N,weekly!$H133,transformed!K:K)</f>
        <v>6055.8850000000002</v>
      </c>
      <c r="F133" s="11">
        <f>SUMIF(transformed!$N:$N,weekly!$H133,transformed!L:L)</f>
        <v>6638.2749999999996</v>
      </c>
      <c r="G133" t="str">
        <f t="shared" si="4"/>
        <v>62023</v>
      </c>
      <c r="H133" t="str">
        <f t="shared" si="5"/>
        <v>6-2-2023</v>
      </c>
    </row>
    <row r="134" spans="1:8" x14ac:dyDescent="0.2">
      <c r="A134" s="11">
        <v>7</v>
      </c>
      <c r="B134" s="11">
        <v>2</v>
      </c>
      <c r="C134" s="11">
        <v>2023</v>
      </c>
      <c r="D134" s="11">
        <f>SUMIF(transformed!$N:$N,weekly!$H134,transformed!J:J)</f>
        <v>13343.75</v>
      </c>
      <c r="E134" s="11">
        <f>SUMIF(transformed!$N:$N,weekly!$H134,transformed!K:K)</f>
        <v>6055.8850000000002</v>
      </c>
      <c r="F134" s="11">
        <f>SUMIF(transformed!$N:$N,weekly!$H134,transformed!L:L)</f>
        <v>6638.2749999999996</v>
      </c>
      <c r="G134" t="str">
        <f t="shared" si="4"/>
        <v>72023</v>
      </c>
      <c r="H134" t="str">
        <f t="shared" si="5"/>
        <v>7-2-2023</v>
      </c>
    </row>
    <row r="135" spans="1:8" x14ac:dyDescent="0.2">
      <c r="A135" s="11">
        <v>8</v>
      </c>
      <c r="B135" s="11">
        <v>2</v>
      </c>
      <c r="C135" s="11">
        <v>2023</v>
      </c>
      <c r="D135" s="11">
        <f>SUMIF(transformed!$N:$N,weekly!$H135,transformed!J:J)</f>
        <v>13343.75</v>
      </c>
      <c r="E135" s="11">
        <f>SUMIF(transformed!$N:$N,weekly!$H135,transformed!K:K)</f>
        <v>6055.8850000000002</v>
      </c>
      <c r="F135" s="11">
        <f>SUMIF(transformed!$N:$N,weekly!$H135,transformed!L:L)</f>
        <v>6638.2749999999996</v>
      </c>
      <c r="G135" t="str">
        <f t="shared" si="4"/>
        <v>82023</v>
      </c>
      <c r="H135" t="str">
        <f t="shared" si="5"/>
        <v>8-2-2023</v>
      </c>
    </row>
    <row r="136" spans="1:8" x14ac:dyDescent="0.2">
      <c r="A136" s="11">
        <v>9</v>
      </c>
      <c r="B136" s="11">
        <v>2</v>
      </c>
      <c r="C136" s="11">
        <v>2023</v>
      </c>
      <c r="D136" s="11">
        <f>SUMIF(transformed!$N:$N,weekly!$H136,transformed!J:J)</f>
        <v>3812.5</v>
      </c>
      <c r="E136" s="11">
        <f>SUMIF(transformed!$N:$N,weekly!$H136,transformed!K:K)</f>
        <v>1730.2528571428572</v>
      </c>
      <c r="F136" s="11">
        <f>SUMIF(transformed!$N:$N,weekly!$H136,transformed!L:L)</f>
        <v>1896.6499999999999</v>
      </c>
      <c r="G136" t="str">
        <f t="shared" si="4"/>
        <v>92023</v>
      </c>
      <c r="H136" t="str">
        <f t="shared" si="5"/>
        <v>9-2-2023</v>
      </c>
    </row>
    <row r="137" spans="1:8" x14ac:dyDescent="0.2">
      <c r="A137" s="11">
        <v>9</v>
      </c>
      <c r="B137" s="11">
        <v>3</v>
      </c>
      <c r="C137" s="11">
        <v>2023</v>
      </c>
      <c r="D137" s="11">
        <f>SUMIF(transformed!$N:$N,weekly!$H137,transformed!J:J)</f>
        <v>7345.3354838709683</v>
      </c>
      <c r="E137" s="11">
        <f>SUMIF(transformed!$N:$N,weekly!$H137,transformed!K:K)</f>
        <v>4176.2903225806449</v>
      </c>
      <c r="F137" s="11">
        <f>SUMIF(transformed!$N:$N,weekly!$H137,transformed!L:L)</f>
        <v>2304.1241935483872</v>
      </c>
      <c r="G137" t="str">
        <f t="shared" si="4"/>
        <v>92023</v>
      </c>
      <c r="H137" t="str">
        <f t="shared" si="5"/>
        <v>9-3-2023</v>
      </c>
    </row>
    <row r="138" spans="1:8" x14ac:dyDescent="0.2">
      <c r="A138" s="11">
        <v>10</v>
      </c>
      <c r="B138" s="11">
        <v>3</v>
      </c>
      <c r="C138" s="11">
        <v>2023</v>
      </c>
      <c r="D138" s="11">
        <f>SUMIF(transformed!$N:$N,weekly!$H138,transformed!J:J)</f>
        <v>10283.469677419356</v>
      </c>
      <c r="E138" s="11">
        <f>SUMIF(transformed!$N:$N,weekly!$H138,transformed!K:K)</f>
        <v>5846.8064516129025</v>
      </c>
      <c r="F138" s="11">
        <f>SUMIF(transformed!$N:$N,weekly!$H138,transformed!L:L)</f>
        <v>3225.7738709677419</v>
      </c>
      <c r="G138" t="str">
        <f t="shared" si="4"/>
        <v>102023</v>
      </c>
      <c r="H138" t="str">
        <f t="shared" si="5"/>
        <v>10-3-2023</v>
      </c>
    </row>
    <row r="139" spans="1:8" x14ac:dyDescent="0.2">
      <c r="A139" s="11">
        <v>11</v>
      </c>
      <c r="B139" s="11">
        <v>3</v>
      </c>
      <c r="C139" s="11">
        <v>2023</v>
      </c>
      <c r="D139" s="11">
        <f>SUMIF(transformed!$N:$N,weekly!$H139,transformed!J:J)</f>
        <v>10283.469677419356</v>
      </c>
      <c r="E139" s="11">
        <f>SUMIF(transformed!$N:$N,weekly!$H139,transformed!K:K)</f>
        <v>5846.8064516129025</v>
      </c>
      <c r="F139" s="11">
        <f>SUMIF(transformed!$N:$N,weekly!$H139,transformed!L:L)</f>
        <v>3225.7738709677419</v>
      </c>
      <c r="G139" t="str">
        <f t="shared" si="4"/>
        <v>112023</v>
      </c>
      <c r="H139" t="str">
        <f t="shared" si="5"/>
        <v>11-3-2023</v>
      </c>
    </row>
    <row r="140" spans="1:8" x14ac:dyDescent="0.2">
      <c r="A140" s="11">
        <v>12</v>
      </c>
      <c r="B140" s="11">
        <v>3</v>
      </c>
      <c r="C140" s="11">
        <v>2023</v>
      </c>
      <c r="D140" s="11">
        <f>SUMIF(transformed!$N:$N,weekly!$H140,transformed!J:J)</f>
        <v>10283.469677419356</v>
      </c>
      <c r="E140" s="11">
        <f>SUMIF(transformed!$N:$N,weekly!$H140,transformed!K:K)</f>
        <v>5846.8064516129025</v>
      </c>
      <c r="F140" s="11">
        <f>SUMIF(transformed!$N:$N,weekly!$H140,transformed!L:L)</f>
        <v>3225.7738709677419</v>
      </c>
      <c r="G140" t="str">
        <f t="shared" si="4"/>
        <v>122023</v>
      </c>
      <c r="H140" t="str">
        <f t="shared" si="5"/>
        <v>12-3-2023</v>
      </c>
    </row>
    <row r="141" spans="1:8" x14ac:dyDescent="0.2">
      <c r="A141" s="11">
        <v>13</v>
      </c>
      <c r="B141" s="11">
        <v>3</v>
      </c>
      <c r="C141" s="11">
        <v>2023</v>
      </c>
      <c r="D141" s="11">
        <f>SUMIF(transformed!$N:$N,weekly!$H141,transformed!J:J)</f>
        <v>7345.3354838709683</v>
      </c>
      <c r="E141" s="11">
        <f>SUMIF(transformed!$N:$N,weekly!$H141,transformed!K:K)</f>
        <v>4176.2903225806449</v>
      </c>
      <c r="F141" s="11">
        <f>SUMIF(transformed!$N:$N,weekly!$H141,transformed!L:L)</f>
        <v>2304.1241935483872</v>
      </c>
      <c r="G141" t="str">
        <f t="shared" si="4"/>
        <v>132023</v>
      </c>
      <c r="H141" t="str">
        <f t="shared" si="5"/>
        <v>13-3-2023</v>
      </c>
    </row>
    <row r="142" spans="1:8" x14ac:dyDescent="0.2">
      <c r="A142" s="11">
        <v>13</v>
      </c>
      <c r="B142" s="11">
        <v>4</v>
      </c>
      <c r="C142" s="11">
        <v>2023</v>
      </c>
      <c r="D142" s="11">
        <f>SUMIF(transformed!$N:$N,weekly!$H142,transformed!J:J)</f>
        <v>4000</v>
      </c>
      <c r="E142" s="11">
        <f>SUMIF(transformed!$N:$N,weekly!$H142,transformed!K:K)</f>
        <v>2000</v>
      </c>
      <c r="F142" s="11">
        <f>SUMIF(transformed!$N:$N,weekly!$H142,transformed!L:L)</f>
        <v>753.33333333333337</v>
      </c>
      <c r="G142" t="str">
        <f t="shared" si="4"/>
        <v>132023</v>
      </c>
      <c r="H142" t="str">
        <f t="shared" si="5"/>
        <v>13-4-2023</v>
      </c>
    </row>
    <row r="143" spans="1:8" x14ac:dyDescent="0.2">
      <c r="A143" s="11">
        <v>14</v>
      </c>
      <c r="B143" s="11">
        <v>4</v>
      </c>
      <c r="C143" s="11">
        <v>2023</v>
      </c>
      <c r="D143" s="11">
        <f>SUMIF(transformed!$N:$N,weekly!$H143,transformed!J:J)</f>
        <v>14000</v>
      </c>
      <c r="E143" s="11">
        <f>SUMIF(transformed!$N:$N,weekly!$H143,transformed!K:K)</f>
        <v>7000</v>
      </c>
      <c r="F143" s="11">
        <f>SUMIF(transformed!$N:$N,weekly!$H143,transformed!L:L)</f>
        <v>2636.6666666666665</v>
      </c>
      <c r="G143" t="str">
        <f t="shared" si="4"/>
        <v>142023</v>
      </c>
      <c r="H143" t="str">
        <f t="shared" si="5"/>
        <v>14-4-2023</v>
      </c>
    </row>
    <row r="144" spans="1:8" x14ac:dyDescent="0.2">
      <c r="A144" s="11">
        <v>15</v>
      </c>
      <c r="B144" s="11">
        <v>4</v>
      </c>
      <c r="C144" s="11">
        <v>2023</v>
      </c>
      <c r="D144" s="11">
        <f>SUMIF(transformed!$N:$N,weekly!$H144,transformed!J:J)</f>
        <v>14000</v>
      </c>
      <c r="E144" s="11">
        <f>SUMIF(transformed!$N:$N,weekly!$H144,transformed!K:K)</f>
        <v>7000</v>
      </c>
      <c r="F144" s="11">
        <f>SUMIF(transformed!$N:$N,weekly!$H144,transformed!L:L)</f>
        <v>2636.6666666666665</v>
      </c>
      <c r="G144" t="str">
        <f t="shared" si="4"/>
        <v>152023</v>
      </c>
      <c r="H144" t="str">
        <f t="shared" si="5"/>
        <v>15-4-2023</v>
      </c>
    </row>
    <row r="145" spans="1:8" x14ac:dyDescent="0.2">
      <c r="A145" s="11">
        <v>16</v>
      </c>
      <c r="B145" s="11">
        <v>4</v>
      </c>
      <c r="C145" s="11">
        <v>2023</v>
      </c>
      <c r="D145" s="11">
        <f>SUMIF(transformed!$N:$N,weekly!$H145,transformed!J:J)</f>
        <v>14000</v>
      </c>
      <c r="E145" s="11">
        <f>SUMIF(transformed!$N:$N,weekly!$H145,transformed!K:K)</f>
        <v>7000</v>
      </c>
      <c r="F145" s="11">
        <f>SUMIF(transformed!$N:$N,weekly!$H145,transformed!L:L)</f>
        <v>2636.6666666666665</v>
      </c>
      <c r="G145" t="str">
        <f t="shared" si="4"/>
        <v>162023</v>
      </c>
      <c r="H145" t="str">
        <f t="shared" si="5"/>
        <v>16-4-2023</v>
      </c>
    </row>
    <row r="146" spans="1:8" x14ac:dyDescent="0.2">
      <c r="A146" s="11">
        <v>17</v>
      </c>
      <c r="B146" s="11">
        <v>4</v>
      </c>
      <c r="C146" s="11">
        <v>2023</v>
      </c>
      <c r="D146" s="11">
        <f>SUMIF(transformed!$N:$N,weekly!$H146,transformed!J:J)</f>
        <v>14000</v>
      </c>
      <c r="E146" s="11">
        <f>SUMIF(transformed!$N:$N,weekly!$H146,transformed!K:K)</f>
        <v>7000</v>
      </c>
      <c r="F146" s="11">
        <f>SUMIF(transformed!$N:$N,weekly!$H146,transformed!L:L)</f>
        <v>2636.6666666666665</v>
      </c>
      <c r="G146" t="str">
        <f t="shared" si="4"/>
        <v>172023</v>
      </c>
      <c r="H146" t="str">
        <f t="shared" si="5"/>
        <v>17-4-2023</v>
      </c>
    </row>
    <row r="147" spans="1:8" x14ac:dyDescent="0.2">
      <c r="A147" s="11">
        <v>18</v>
      </c>
      <c r="B147" s="11">
        <v>5</v>
      </c>
      <c r="C147" s="11">
        <v>2023</v>
      </c>
      <c r="D147" s="11">
        <f>SUMIF(transformed!$N:$N,weekly!$H147,transformed!J:J)</f>
        <v>13548.387096774195</v>
      </c>
      <c r="E147" s="11">
        <f>SUMIF(transformed!$N:$N,weekly!$H147,transformed!K:K)</f>
        <v>6774.1935483870975</v>
      </c>
      <c r="F147" s="11">
        <f>SUMIF(transformed!$N:$N,weekly!$H147,transformed!L:L)</f>
        <v>3387.0967741935488</v>
      </c>
      <c r="G147" t="str">
        <f t="shared" si="4"/>
        <v>182023</v>
      </c>
      <c r="H147" t="str">
        <f t="shared" si="5"/>
        <v>18-5-2023</v>
      </c>
    </row>
    <row r="148" spans="1:8" x14ac:dyDescent="0.2">
      <c r="A148" s="11">
        <v>19</v>
      </c>
      <c r="B148" s="11">
        <v>5</v>
      </c>
      <c r="C148" s="11">
        <v>2023</v>
      </c>
      <c r="D148" s="11">
        <f>SUMIF(transformed!$N:$N,weekly!$H148,transformed!J:J)</f>
        <v>13548.387096774195</v>
      </c>
      <c r="E148" s="11">
        <f>SUMIF(transformed!$N:$N,weekly!$H148,transformed!K:K)</f>
        <v>6774.1935483870975</v>
      </c>
      <c r="F148" s="11">
        <f>SUMIF(transformed!$N:$N,weekly!$H148,transformed!L:L)</f>
        <v>3387.0967741935488</v>
      </c>
      <c r="G148" t="str">
        <f t="shared" si="4"/>
        <v>192023</v>
      </c>
      <c r="H148" t="str">
        <f t="shared" si="5"/>
        <v>19-5-2023</v>
      </c>
    </row>
    <row r="149" spans="1:8" x14ac:dyDescent="0.2">
      <c r="A149" s="11">
        <v>20</v>
      </c>
      <c r="B149" s="11">
        <v>5</v>
      </c>
      <c r="C149" s="11">
        <v>2023</v>
      </c>
      <c r="D149" s="11">
        <f>SUMIF(transformed!$N:$N,weekly!$H149,transformed!J:J)</f>
        <v>13548.387096774195</v>
      </c>
      <c r="E149" s="11">
        <f>SUMIF(transformed!$N:$N,weekly!$H149,transformed!K:K)</f>
        <v>6774.1935483870975</v>
      </c>
      <c r="F149" s="11">
        <f>SUMIF(transformed!$N:$N,weekly!$H149,transformed!L:L)</f>
        <v>3387.0967741935488</v>
      </c>
      <c r="G149" t="str">
        <f t="shared" si="4"/>
        <v>202023</v>
      </c>
      <c r="H149" t="str">
        <f t="shared" si="5"/>
        <v>20-5-2023</v>
      </c>
    </row>
    <row r="150" spans="1:8" x14ac:dyDescent="0.2">
      <c r="A150" s="11">
        <v>21</v>
      </c>
      <c r="B150" s="11">
        <v>5</v>
      </c>
      <c r="C150" s="11">
        <v>2023</v>
      </c>
      <c r="D150" s="11">
        <f>SUMIF(transformed!$N:$N,weekly!$H150,transformed!J:J)</f>
        <v>13548.387096774195</v>
      </c>
      <c r="E150" s="11">
        <f>SUMIF(transformed!$N:$N,weekly!$H150,transformed!K:K)</f>
        <v>6774.1935483870975</v>
      </c>
      <c r="F150" s="11">
        <f>SUMIF(transformed!$N:$N,weekly!$H150,transformed!L:L)</f>
        <v>3387.0967741935488</v>
      </c>
      <c r="G150" t="str">
        <f t="shared" si="4"/>
        <v>212023</v>
      </c>
      <c r="H150" t="str">
        <f t="shared" si="5"/>
        <v>21-5-2023</v>
      </c>
    </row>
    <row r="151" spans="1:8" x14ac:dyDescent="0.2">
      <c r="A151" s="11">
        <v>22</v>
      </c>
      <c r="B151" s="11">
        <v>5</v>
      </c>
      <c r="C151" s="11">
        <v>2023</v>
      </c>
      <c r="D151" s="11">
        <f>SUMIF(transformed!$N:$N,weekly!$H151,transformed!J:J)</f>
        <v>5806.4516129032254</v>
      </c>
      <c r="E151" s="11">
        <f>SUMIF(transformed!$N:$N,weekly!$H151,transformed!K:K)</f>
        <v>2903.2258064516127</v>
      </c>
      <c r="F151" s="11">
        <f>SUMIF(transformed!$N:$N,weekly!$H151,transformed!L:L)</f>
        <v>1451.6129032258063</v>
      </c>
      <c r="G151" t="str">
        <f t="shared" si="4"/>
        <v>222023</v>
      </c>
      <c r="H151" t="str">
        <f t="shared" si="5"/>
        <v>22-5-2023</v>
      </c>
    </row>
    <row r="152" spans="1:8" x14ac:dyDescent="0.2">
      <c r="A152" s="11">
        <v>22</v>
      </c>
      <c r="B152" s="11">
        <v>6</v>
      </c>
      <c r="C152" s="11">
        <v>2023</v>
      </c>
      <c r="D152" s="11">
        <f>SUMIF(transformed!$N:$N,weekly!$H152,transformed!J:J)</f>
        <v>9476.4491404297805</v>
      </c>
      <c r="E152" s="11">
        <f>SUMIF(transformed!$N:$N,weekly!$H152,transformed!K:K)</f>
        <v>3087.792463413532</v>
      </c>
      <c r="F152" s="11">
        <f>SUMIF(transformed!$N:$N,weekly!$H152,transformed!L:L)</f>
        <v>4394.6448814512978</v>
      </c>
      <c r="G152" t="str">
        <f t="shared" si="4"/>
        <v>222023</v>
      </c>
      <c r="H152" t="str">
        <f t="shared" si="5"/>
        <v>22-6-2023</v>
      </c>
    </row>
    <row r="153" spans="1:8" x14ac:dyDescent="0.2">
      <c r="A153" s="11">
        <v>23</v>
      </c>
      <c r="B153" s="11">
        <v>6</v>
      </c>
      <c r="C153" s="11">
        <v>2023</v>
      </c>
      <c r="D153" s="11">
        <f>SUMIF(transformed!$N:$N,weekly!$H153,transformed!J:J)</f>
        <v>16583.785995752114</v>
      </c>
      <c r="E153" s="11">
        <f>SUMIF(transformed!$N:$N,weekly!$H153,transformed!K:K)</f>
        <v>5403.6368109736804</v>
      </c>
      <c r="F153" s="11">
        <f>SUMIF(transformed!$N:$N,weekly!$H153,transformed!L:L)</f>
        <v>7690.6285425397718</v>
      </c>
      <c r="G153" t="str">
        <f t="shared" si="4"/>
        <v>232023</v>
      </c>
      <c r="H153" t="str">
        <f t="shared" si="5"/>
        <v>23-6-2023</v>
      </c>
    </row>
    <row r="154" spans="1:8" x14ac:dyDescent="0.2">
      <c r="A154" s="11">
        <v>24</v>
      </c>
      <c r="B154" s="11">
        <v>6</v>
      </c>
      <c r="C154" s="11">
        <v>2023</v>
      </c>
      <c r="D154" s="11">
        <f>SUMIF(transformed!$N:$N,weekly!$H154,transformed!J:J)</f>
        <v>16583.785995752114</v>
      </c>
      <c r="E154" s="11">
        <f>SUMIF(transformed!$N:$N,weekly!$H154,transformed!K:K)</f>
        <v>5403.6368109736804</v>
      </c>
      <c r="F154" s="11">
        <f>SUMIF(transformed!$N:$N,weekly!$H154,transformed!L:L)</f>
        <v>7690.6285425397718</v>
      </c>
      <c r="G154" t="str">
        <f t="shared" si="4"/>
        <v>242023</v>
      </c>
      <c r="H154" t="str">
        <f t="shared" si="5"/>
        <v>24-6-2023</v>
      </c>
    </row>
    <row r="155" spans="1:8" x14ac:dyDescent="0.2">
      <c r="A155" s="11">
        <v>25</v>
      </c>
      <c r="B155" s="11">
        <v>6</v>
      </c>
      <c r="C155" s="11">
        <v>2023</v>
      </c>
      <c r="D155" s="11">
        <f>SUMIF(transformed!$N:$N,weekly!$H155,transformed!J:J)</f>
        <v>16583.785995752114</v>
      </c>
      <c r="E155" s="11">
        <f>SUMIF(transformed!$N:$N,weekly!$H155,transformed!K:K)</f>
        <v>5403.6368109736804</v>
      </c>
      <c r="F155" s="11">
        <f>SUMIF(transformed!$N:$N,weekly!$H155,transformed!L:L)</f>
        <v>7690.6285425397718</v>
      </c>
      <c r="G155" t="str">
        <f t="shared" si="4"/>
        <v>252023</v>
      </c>
      <c r="H155" t="str">
        <f t="shared" si="5"/>
        <v>25-6-2023</v>
      </c>
    </row>
    <row r="156" spans="1:8" x14ac:dyDescent="0.2">
      <c r="A156" s="11">
        <v>26</v>
      </c>
      <c r="B156" s="11">
        <v>6</v>
      </c>
      <c r="C156" s="11">
        <v>2023</v>
      </c>
      <c r="D156" s="11">
        <f>SUMIF(transformed!$N:$N,weekly!$H156,transformed!J:J)</f>
        <v>11845.561425537226</v>
      </c>
      <c r="E156" s="11">
        <f>SUMIF(transformed!$N:$N,weekly!$H156,transformed!K:K)</f>
        <v>3859.7405792669151</v>
      </c>
      <c r="F156" s="11">
        <f>SUMIF(transformed!$N:$N,weekly!$H156,transformed!L:L)</f>
        <v>5493.3061018141225</v>
      </c>
      <c r="G156" t="str">
        <f t="shared" si="4"/>
        <v>262023</v>
      </c>
      <c r="H156" t="str">
        <f t="shared" si="5"/>
        <v>26-6-2023</v>
      </c>
    </row>
    <row r="157" spans="1:8" x14ac:dyDescent="0.2">
      <c r="A157" s="11">
        <v>26</v>
      </c>
      <c r="B157" s="11">
        <v>7</v>
      </c>
      <c r="C157" s="11">
        <v>2023</v>
      </c>
      <c r="D157" s="11">
        <f>SUMIF(transformed!$N:$N,weekly!$H157,transformed!J:J)</f>
        <v>4945.6296017057948</v>
      </c>
      <c r="E157" s="11">
        <f>SUMIF(transformed!$N:$N,weekly!$H157,transformed!K:K)</f>
        <v>1696.324570572112</v>
      </c>
      <c r="F157" s="11">
        <f>SUMIF(transformed!$N:$N,weekly!$H157,transformed!L:L)</f>
        <v>1815.2039762073302</v>
      </c>
      <c r="G157" t="str">
        <f t="shared" si="4"/>
        <v>262023</v>
      </c>
      <c r="H157" t="str">
        <f t="shared" si="5"/>
        <v>26-7-2023</v>
      </c>
    </row>
    <row r="158" spans="1:8" x14ac:dyDescent="0.2">
      <c r="A158" s="11">
        <v>27</v>
      </c>
      <c r="B158" s="11">
        <v>7</v>
      </c>
      <c r="C158" s="11">
        <v>2023</v>
      </c>
      <c r="D158" s="11">
        <f>SUMIF(transformed!$N:$N,weekly!$H158,transformed!J:J)</f>
        <v>17309.70360597028</v>
      </c>
      <c r="E158" s="11">
        <f>SUMIF(transformed!$N:$N,weekly!$H158,transformed!K:K)</f>
        <v>5937.1359970023932</v>
      </c>
      <c r="F158" s="11">
        <f>SUMIF(transformed!$N:$N,weekly!$H158,transformed!L:L)</f>
        <v>6353.2139167256564</v>
      </c>
      <c r="G158" t="str">
        <f t="shared" si="4"/>
        <v>272023</v>
      </c>
      <c r="H158" t="str">
        <f t="shared" si="5"/>
        <v>27-7-2023</v>
      </c>
    </row>
    <row r="159" spans="1:8" x14ac:dyDescent="0.2">
      <c r="A159" s="11">
        <v>28</v>
      </c>
      <c r="B159" s="11">
        <v>7</v>
      </c>
      <c r="C159" s="11">
        <v>2023</v>
      </c>
      <c r="D159" s="11">
        <f>SUMIF(transformed!$N:$N,weekly!$H159,transformed!J:J)</f>
        <v>17309.70360597028</v>
      </c>
      <c r="E159" s="11">
        <f>SUMIF(transformed!$N:$N,weekly!$H159,transformed!K:K)</f>
        <v>5937.1359970023932</v>
      </c>
      <c r="F159" s="11">
        <f>SUMIF(transformed!$N:$N,weekly!$H159,transformed!L:L)</f>
        <v>6353.2139167256564</v>
      </c>
      <c r="G159" t="str">
        <f t="shared" si="4"/>
        <v>282023</v>
      </c>
      <c r="H159" t="str">
        <f t="shared" si="5"/>
        <v>28-7-2023</v>
      </c>
    </row>
    <row r="160" spans="1:8" x14ac:dyDescent="0.2">
      <c r="A160" s="11">
        <v>29</v>
      </c>
      <c r="B160" s="11">
        <v>7</v>
      </c>
      <c r="C160" s="11">
        <v>2023</v>
      </c>
      <c r="D160" s="11">
        <f>SUMIF(transformed!$N:$N,weekly!$H160,transformed!J:J)</f>
        <v>17309.70360597028</v>
      </c>
      <c r="E160" s="11">
        <f>SUMIF(transformed!$N:$N,weekly!$H160,transformed!K:K)</f>
        <v>5937.1359970023932</v>
      </c>
      <c r="F160" s="11">
        <f>SUMIF(transformed!$N:$N,weekly!$H160,transformed!L:L)</f>
        <v>6353.2139167256564</v>
      </c>
      <c r="G160" t="str">
        <f t="shared" si="4"/>
        <v>292023</v>
      </c>
      <c r="H160" t="str">
        <f t="shared" si="5"/>
        <v>29-7-2023</v>
      </c>
    </row>
    <row r="161" spans="1:8" x14ac:dyDescent="0.2">
      <c r="A161" s="11">
        <v>30</v>
      </c>
      <c r="B161" s="11">
        <v>7</v>
      </c>
      <c r="C161" s="11">
        <v>2023</v>
      </c>
      <c r="D161" s="11">
        <f>SUMIF(transformed!$N:$N,weekly!$H161,transformed!J:J)</f>
        <v>17309.70360597028</v>
      </c>
      <c r="E161" s="11">
        <f>SUMIF(transformed!$N:$N,weekly!$H161,transformed!K:K)</f>
        <v>5937.1359970023932</v>
      </c>
      <c r="F161" s="11">
        <f>SUMIF(transformed!$N:$N,weekly!$H161,transformed!L:L)</f>
        <v>6353.2139167256564</v>
      </c>
      <c r="G161" t="str">
        <f t="shared" si="4"/>
        <v>302023</v>
      </c>
      <c r="H161" t="str">
        <f t="shared" si="5"/>
        <v>30-7-2023</v>
      </c>
    </row>
    <row r="162" spans="1:8" x14ac:dyDescent="0.2">
      <c r="A162" s="11">
        <v>31</v>
      </c>
      <c r="B162" s="11">
        <v>7</v>
      </c>
      <c r="C162" s="11">
        <v>2023</v>
      </c>
      <c r="D162" s="11">
        <f>SUMIF(transformed!$N:$N,weekly!$H162,transformed!J:J)</f>
        <v>2472.8148008528974</v>
      </c>
      <c r="E162" s="11">
        <f>SUMIF(transformed!$N:$N,weekly!$H162,transformed!K:K)</f>
        <v>848.16228528605598</v>
      </c>
      <c r="F162" s="11">
        <f>SUMIF(transformed!$N:$N,weekly!$H162,transformed!L:L)</f>
        <v>907.60198810366512</v>
      </c>
      <c r="G162" t="str">
        <f t="shared" si="4"/>
        <v>312023</v>
      </c>
      <c r="H162" t="str">
        <f t="shared" si="5"/>
        <v>31-7-2023</v>
      </c>
    </row>
    <row r="163" spans="1:8" x14ac:dyDescent="0.2">
      <c r="A163" s="11">
        <v>31</v>
      </c>
      <c r="B163" s="11">
        <v>8</v>
      </c>
      <c r="C163" s="11">
        <v>2023</v>
      </c>
      <c r="D163" s="11">
        <f>SUMIF(transformed!$N:$N,weekly!$H163,transformed!J:J)</f>
        <v>14901.65515795512</v>
      </c>
      <c r="E163" s="11">
        <f>SUMIF(transformed!$N:$N,weekly!$H163,transformed!K:K)</f>
        <v>4703.2894207120826</v>
      </c>
      <c r="F163" s="11">
        <f>SUMIF(transformed!$N:$N,weekly!$H163,transformed!L:L)</f>
        <v>5142.6851759200208</v>
      </c>
      <c r="G163" t="str">
        <f t="shared" si="4"/>
        <v>312023</v>
      </c>
      <c r="H163" t="str">
        <f t="shared" si="5"/>
        <v>31-8-2023</v>
      </c>
    </row>
    <row r="164" spans="1:8" x14ac:dyDescent="0.2">
      <c r="A164" s="11">
        <v>32</v>
      </c>
      <c r="B164" s="11">
        <v>8</v>
      </c>
      <c r="C164" s="11">
        <v>2023</v>
      </c>
      <c r="D164" s="11">
        <f>SUMIF(transformed!$N:$N,weekly!$H164,transformed!J:J)</f>
        <v>17385.26435094764</v>
      </c>
      <c r="E164" s="11">
        <f>SUMIF(transformed!$N:$N,weekly!$H164,transformed!K:K)</f>
        <v>5487.170990830763</v>
      </c>
      <c r="F164" s="11">
        <f>SUMIF(transformed!$N:$N,weekly!$H164,transformed!L:L)</f>
        <v>5999.7993719066908</v>
      </c>
      <c r="G164" t="str">
        <f t="shared" si="4"/>
        <v>322023</v>
      </c>
      <c r="H164" t="str">
        <f t="shared" si="5"/>
        <v>32-8-2023</v>
      </c>
    </row>
    <row r="165" spans="1:8" x14ac:dyDescent="0.2">
      <c r="A165" s="11">
        <v>33</v>
      </c>
      <c r="B165" s="11">
        <v>8</v>
      </c>
      <c r="C165" s="11">
        <v>2023</v>
      </c>
      <c r="D165" s="11">
        <f>SUMIF(transformed!$N:$N,weekly!$H165,transformed!J:J)</f>
        <v>17385.26435094764</v>
      </c>
      <c r="E165" s="11">
        <f>SUMIF(transformed!$N:$N,weekly!$H165,transformed!K:K)</f>
        <v>5487.170990830763</v>
      </c>
      <c r="F165" s="11">
        <f>SUMIF(transformed!$N:$N,weekly!$H165,transformed!L:L)</f>
        <v>5999.7993719066908</v>
      </c>
      <c r="G165" t="str">
        <f t="shared" si="4"/>
        <v>332023</v>
      </c>
      <c r="H165" t="str">
        <f t="shared" si="5"/>
        <v>33-8-2023</v>
      </c>
    </row>
    <row r="166" spans="1:8" x14ac:dyDescent="0.2">
      <c r="A166" s="11">
        <v>34</v>
      </c>
      <c r="B166" s="11">
        <v>8</v>
      </c>
      <c r="C166" s="11">
        <v>2023</v>
      </c>
      <c r="D166" s="11">
        <f>SUMIF(transformed!$N:$N,weekly!$H166,transformed!J:J)</f>
        <v>17385.26435094764</v>
      </c>
      <c r="E166" s="11">
        <f>SUMIF(transformed!$N:$N,weekly!$H166,transformed!K:K)</f>
        <v>5487.170990830763</v>
      </c>
      <c r="F166" s="11">
        <f>SUMIF(transformed!$N:$N,weekly!$H166,transformed!L:L)</f>
        <v>5999.7993719066908</v>
      </c>
      <c r="G166" t="str">
        <f t="shared" si="4"/>
        <v>342023</v>
      </c>
      <c r="H166" t="str">
        <f t="shared" si="5"/>
        <v>34-8-2023</v>
      </c>
    </row>
    <row r="167" spans="1:8" x14ac:dyDescent="0.2">
      <c r="A167" s="11">
        <v>35</v>
      </c>
      <c r="B167" s="11">
        <v>8</v>
      </c>
      <c r="C167" s="11">
        <v>2023</v>
      </c>
      <c r="D167" s="11">
        <f>SUMIF(transformed!$N:$N,weekly!$H167,transformed!J:J)</f>
        <v>9934.4367719700786</v>
      </c>
      <c r="E167" s="11">
        <f>SUMIF(transformed!$N:$N,weekly!$H167,transformed!K:K)</f>
        <v>3135.5262804747217</v>
      </c>
      <c r="F167" s="11">
        <f>SUMIF(transformed!$N:$N,weekly!$H167,transformed!L:L)</f>
        <v>3428.4567839466804</v>
      </c>
      <c r="G167" t="str">
        <f t="shared" si="4"/>
        <v>352023</v>
      </c>
      <c r="H167" t="str">
        <f t="shared" si="5"/>
        <v>35-8-2023</v>
      </c>
    </row>
    <row r="168" spans="1:8" x14ac:dyDescent="0.2">
      <c r="A168" s="11">
        <v>35</v>
      </c>
      <c r="B168" s="11">
        <v>9</v>
      </c>
      <c r="C168" s="11">
        <v>2023</v>
      </c>
      <c r="D168" s="11">
        <f>SUMIF(transformed!$N:$N,weekly!$H168,transformed!J:J)</f>
        <v>7127.2577009805336</v>
      </c>
      <c r="E168" s="11">
        <f>SUMIF(transformed!$N:$N,weekly!$H168,transformed!K:K)</f>
        <v>2848.6720979707979</v>
      </c>
      <c r="F168" s="11">
        <f>SUMIF(transformed!$N:$N,weekly!$H168,transformed!L:L)</f>
        <v>2607.3818573355552</v>
      </c>
      <c r="G168" t="str">
        <f t="shared" si="4"/>
        <v>352023</v>
      </c>
      <c r="H168" t="str">
        <f t="shared" si="5"/>
        <v>35-9-2023</v>
      </c>
    </row>
    <row r="169" spans="1:8" x14ac:dyDescent="0.2">
      <c r="A169" s="11">
        <v>36</v>
      </c>
      <c r="B169" s="11">
        <v>9</v>
      </c>
      <c r="C169" s="11">
        <v>2023</v>
      </c>
      <c r="D169" s="11">
        <f>SUMIF(transformed!$N:$N,weekly!$H169,transformed!J:J)</f>
        <v>16630.267968954577</v>
      </c>
      <c r="E169" s="11">
        <f>SUMIF(transformed!$N:$N,weekly!$H169,transformed!K:K)</f>
        <v>6646.9015619318616</v>
      </c>
      <c r="F169" s="11">
        <f>SUMIF(transformed!$N:$N,weekly!$H169,transformed!L:L)</f>
        <v>6083.8910004496302</v>
      </c>
      <c r="G169" t="str">
        <f t="shared" si="4"/>
        <v>362023</v>
      </c>
      <c r="H169" t="str">
        <f t="shared" si="5"/>
        <v>36-9-2023</v>
      </c>
    </row>
    <row r="170" spans="1:8" x14ac:dyDescent="0.2">
      <c r="A170" s="11">
        <v>37</v>
      </c>
      <c r="B170" s="11">
        <v>9</v>
      </c>
      <c r="C170" s="11">
        <v>2023</v>
      </c>
      <c r="D170" s="11">
        <f>SUMIF(transformed!$N:$N,weekly!$H170,transformed!J:J)</f>
        <v>16630.267968954577</v>
      </c>
      <c r="E170" s="11">
        <f>SUMIF(transformed!$N:$N,weekly!$H170,transformed!K:K)</f>
        <v>6646.9015619318616</v>
      </c>
      <c r="F170" s="11">
        <f>SUMIF(transformed!$N:$N,weekly!$H170,transformed!L:L)</f>
        <v>6083.8910004496302</v>
      </c>
      <c r="G170" t="str">
        <f t="shared" si="4"/>
        <v>372023</v>
      </c>
      <c r="H170" t="str">
        <f t="shared" si="5"/>
        <v>37-9-2023</v>
      </c>
    </row>
    <row r="171" spans="1:8" x14ac:dyDescent="0.2">
      <c r="A171" s="11">
        <v>38</v>
      </c>
      <c r="B171" s="11">
        <v>9</v>
      </c>
      <c r="C171" s="11">
        <v>2023</v>
      </c>
      <c r="D171" s="11">
        <f>SUMIF(transformed!$N:$N,weekly!$H171,transformed!J:J)</f>
        <v>16630.267968954577</v>
      </c>
      <c r="E171" s="11">
        <f>SUMIF(transformed!$N:$N,weekly!$H171,transformed!K:K)</f>
        <v>6646.9015619318616</v>
      </c>
      <c r="F171" s="11">
        <f>SUMIF(transformed!$N:$N,weekly!$H171,transformed!L:L)</f>
        <v>6083.8910004496302</v>
      </c>
      <c r="G171" t="str">
        <f t="shared" si="4"/>
        <v>382023</v>
      </c>
      <c r="H171" t="str">
        <f t="shared" si="5"/>
        <v>38-9-2023</v>
      </c>
    </row>
    <row r="172" spans="1:8" x14ac:dyDescent="0.2">
      <c r="A172" s="11">
        <v>39</v>
      </c>
      <c r="B172" s="11">
        <v>9</v>
      </c>
      <c r="C172" s="11">
        <v>2023</v>
      </c>
      <c r="D172" s="11">
        <f>SUMIF(transformed!$N:$N,weekly!$H172,transformed!J:J)</f>
        <v>14254.515401961067</v>
      </c>
      <c r="E172" s="11">
        <f>SUMIF(transformed!$N:$N,weekly!$H172,transformed!K:K)</f>
        <v>5697.3441959415959</v>
      </c>
      <c r="F172" s="11">
        <f>SUMIF(transformed!$N:$N,weekly!$H172,transformed!L:L)</f>
        <v>5214.7637146711113</v>
      </c>
      <c r="G172" t="str">
        <f t="shared" si="4"/>
        <v>392023</v>
      </c>
      <c r="H172" t="str">
        <f t="shared" si="5"/>
        <v>39-9-2023</v>
      </c>
    </row>
    <row r="173" spans="1:8" x14ac:dyDescent="0.2">
      <c r="A173" s="11">
        <v>39</v>
      </c>
      <c r="B173" s="11">
        <v>10</v>
      </c>
      <c r="C173" s="11">
        <v>2023</v>
      </c>
      <c r="D173" s="11">
        <f>SUMIF(transformed!$N:$N,weekly!$H173,transformed!J:J)</f>
        <v>2447.6974586925739</v>
      </c>
      <c r="E173" s="11">
        <f>SUMIF(transformed!$N:$N,weekly!$H173,transformed!K:K)</f>
        <v>1112.5637430437457</v>
      </c>
      <c r="F173" s="11">
        <f>SUMIF(transformed!$N:$N,weekly!$H173,transformed!L:L)</f>
        <v>573.89516351252269</v>
      </c>
      <c r="G173" t="str">
        <f t="shared" si="4"/>
        <v>392023</v>
      </c>
      <c r="H173" t="str">
        <f t="shared" si="5"/>
        <v>39-10-2023</v>
      </c>
    </row>
    <row r="174" spans="1:8" x14ac:dyDescent="0.2">
      <c r="A174" s="11">
        <v>40</v>
      </c>
      <c r="B174" s="11">
        <v>10</v>
      </c>
      <c r="C174" s="11">
        <v>2023</v>
      </c>
      <c r="D174" s="11">
        <f>SUMIF(transformed!$N:$N,weekly!$H174,transformed!J:J)</f>
        <v>17133.882210848016</v>
      </c>
      <c r="E174" s="11">
        <f>SUMIF(transformed!$N:$N,weekly!$H174,transformed!K:K)</f>
        <v>7787.9462013062193</v>
      </c>
      <c r="F174" s="11">
        <f>SUMIF(transformed!$N:$N,weekly!$H174,transformed!L:L)</f>
        <v>4017.2661445876588</v>
      </c>
      <c r="G174" t="str">
        <f t="shared" si="4"/>
        <v>402023</v>
      </c>
      <c r="H174" t="str">
        <f t="shared" si="5"/>
        <v>40-10-2023</v>
      </c>
    </row>
    <row r="175" spans="1:8" x14ac:dyDescent="0.2">
      <c r="A175" s="11">
        <v>41</v>
      </c>
      <c r="B175" s="11">
        <v>10</v>
      </c>
      <c r="C175" s="11">
        <v>2023</v>
      </c>
      <c r="D175" s="11">
        <f>SUMIF(transformed!$N:$N,weekly!$H175,transformed!J:J)</f>
        <v>17133.882210848016</v>
      </c>
      <c r="E175" s="11">
        <f>SUMIF(transformed!$N:$N,weekly!$H175,transformed!K:K)</f>
        <v>7787.9462013062193</v>
      </c>
      <c r="F175" s="11">
        <f>SUMIF(transformed!$N:$N,weekly!$H175,transformed!L:L)</f>
        <v>4017.2661445876588</v>
      </c>
      <c r="G175" t="str">
        <f t="shared" si="4"/>
        <v>412023</v>
      </c>
      <c r="H175" t="str">
        <f t="shared" si="5"/>
        <v>41-10-2023</v>
      </c>
    </row>
    <row r="176" spans="1:8" x14ac:dyDescent="0.2">
      <c r="A176" s="11">
        <v>42</v>
      </c>
      <c r="B176" s="11">
        <v>10</v>
      </c>
      <c r="C176" s="11">
        <v>2023</v>
      </c>
      <c r="D176" s="11">
        <f>SUMIF(transformed!$N:$N,weekly!$H176,transformed!J:J)</f>
        <v>17133.882210848016</v>
      </c>
      <c r="E176" s="11">
        <f>SUMIF(transformed!$N:$N,weekly!$H176,transformed!K:K)</f>
        <v>7787.9462013062193</v>
      </c>
      <c r="F176" s="11">
        <f>SUMIF(transformed!$N:$N,weekly!$H176,transformed!L:L)</f>
        <v>4017.2661445876588</v>
      </c>
      <c r="G176" t="str">
        <f t="shared" si="4"/>
        <v>422023</v>
      </c>
      <c r="H176" t="str">
        <f t="shared" si="5"/>
        <v>42-10-2023</v>
      </c>
    </row>
    <row r="177" spans="1:8" x14ac:dyDescent="0.2">
      <c r="A177" s="11">
        <v>43</v>
      </c>
      <c r="B177" s="11">
        <v>10</v>
      </c>
      <c r="C177" s="11">
        <v>2023</v>
      </c>
      <c r="D177" s="11">
        <f>SUMIF(transformed!$N:$N,weekly!$H177,transformed!J:J)</f>
        <v>17133.882210848016</v>
      </c>
      <c r="E177" s="11">
        <f>SUMIF(transformed!$N:$N,weekly!$H177,transformed!K:K)</f>
        <v>7787.9462013062193</v>
      </c>
      <c r="F177" s="11">
        <f>SUMIF(transformed!$N:$N,weekly!$H177,transformed!L:L)</f>
        <v>4017.2661445876588</v>
      </c>
      <c r="G177" t="str">
        <f t="shared" si="4"/>
        <v>432023</v>
      </c>
      <c r="H177" t="str">
        <f t="shared" si="5"/>
        <v>43-10-2023</v>
      </c>
    </row>
    <row r="178" spans="1:8" x14ac:dyDescent="0.2">
      <c r="A178" s="11">
        <v>44</v>
      </c>
      <c r="B178" s="11">
        <v>10</v>
      </c>
      <c r="C178" s="11">
        <v>2023</v>
      </c>
      <c r="D178" s="11">
        <f>SUMIF(transformed!$N:$N,weekly!$H178,transformed!J:J)</f>
        <v>4895.3949173851479</v>
      </c>
      <c r="E178" s="11">
        <f>SUMIF(transformed!$N:$N,weekly!$H178,transformed!K:K)</f>
        <v>2225.1274860874914</v>
      </c>
      <c r="F178" s="11">
        <f>SUMIF(transformed!$N:$N,weekly!$H178,transformed!L:L)</f>
        <v>1147.7903270250454</v>
      </c>
      <c r="G178" t="str">
        <f t="shared" si="4"/>
        <v>442023</v>
      </c>
      <c r="H178" t="str">
        <f t="shared" si="5"/>
        <v>44-10-2023</v>
      </c>
    </row>
    <row r="179" spans="1:8" x14ac:dyDescent="0.2">
      <c r="A179" s="11">
        <v>44</v>
      </c>
      <c r="B179" s="11">
        <v>11</v>
      </c>
      <c r="C179" s="11">
        <v>2023</v>
      </c>
      <c r="D179" s="11">
        <f>SUMIF(transformed!$N:$N,weekly!$H179,transformed!J:J)</f>
        <v>11871.658641707494</v>
      </c>
      <c r="E179" s="11">
        <f>SUMIF(transformed!$N:$N,weekly!$H179,transformed!K:K)</f>
        <v>4197.8680564949391</v>
      </c>
      <c r="F179" s="11">
        <f>SUMIF(transformed!$N:$N,weekly!$H179,transformed!L:L)</f>
        <v>3338.8489568641344</v>
      </c>
      <c r="G179" t="str">
        <f t="shared" si="4"/>
        <v>442023</v>
      </c>
      <c r="H179" t="str">
        <f t="shared" si="5"/>
        <v>44-11-2023</v>
      </c>
    </row>
    <row r="180" spans="1:8" x14ac:dyDescent="0.2">
      <c r="A180" s="11">
        <v>45</v>
      </c>
      <c r="B180" s="11">
        <v>11</v>
      </c>
      <c r="C180" s="11">
        <v>2023</v>
      </c>
      <c r="D180" s="11">
        <f>SUMIF(transformed!$N:$N,weekly!$H180,transformed!J:J)</f>
        <v>16620.32209839049</v>
      </c>
      <c r="E180" s="11">
        <f>SUMIF(transformed!$N:$N,weekly!$H180,transformed!K:K)</f>
        <v>5877.0152790929151</v>
      </c>
      <c r="F180" s="11">
        <f>SUMIF(transformed!$N:$N,weekly!$H180,transformed!L:L)</f>
        <v>4674.3885396097885</v>
      </c>
      <c r="G180" t="str">
        <f t="shared" si="4"/>
        <v>452023</v>
      </c>
      <c r="H180" t="str">
        <f t="shared" si="5"/>
        <v>45-11-2023</v>
      </c>
    </row>
    <row r="181" spans="1:8" x14ac:dyDescent="0.2">
      <c r="A181" s="11">
        <v>46</v>
      </c>
      <c r="B181" s="11">
        <v>11</v>
      </c>
      <c r="C181" s="11">
        <v>2023</v>
      </c>
      <c r="D181" s="11">
        <f>SUMIF(transformed!$N:$N,weekly!$H181,transformed!J:J)</f>
        <v>16620.32209839049</v>
      </c>
      <c r="E181" s="11">
        <f>SUMIF(transformed!$N:$N,weekly!$H181,transformed!K:K)</f>
        <v>5877.0152790929151</v>
      </c>
      <c r="F181" s="11">
        <f>SUMIF(transformed!$N:$N,weekly!$H181,transformed!L:L)</f>
        <v>4674.3885396097885</v>
      </c>
      <c r="G181" t="str">
        <f t="shared" si="4"/>
        <v>462023</v>
      </c>
      <c r="H181" t="str">
        <f t="shared" si="5"/>
        <v>46-11-2023</v>
      </c>
    </row>
    <row r="182" spans="1:8" x14ac:dyDescent="0.2">
      <c r="A182" s="11">
        <v>47</v>
      </c>
      <c r="B182" s="11">
        <v>11</v>
      </c>
      <c r="C182" s="11">
        <v>2023</v>
      </c>
      <c r="D182" s="11">
        <f>SUMIF(transformed!$N:$N,weekly!$H182,transformed!J:J)</f>
        <v>16620.32209839049</v>
      </c>
      <c r="E182" s="11">
        <f>SUMIF(transformed!$N:$N,weekly!$H182,transformed!K:K)</f>
        <v>5877.0152790929151</v>
      </c>
      <c r="F182" s="11">
        <f>SUMIF(transformed!$N:$N,weekly!$H182,transformed!L:L)</f>
        <v>4674.3885396097885</v>
      </c>
      <c r="G182" t="str">
        <f t="shared" si="4"/>
        <v>472023</v>
      </c>
      <c r="H182" t="str">
        <f t="shared" si="5"/>
        <v>47-11-2023</v>
      </c>
    </row>
    <row r="183" spans="1:8" x14ac:dyDescent="0.2">
      <c r="A183" s="11">
        <v>48</v>
      </c>
      <c r="B183" s="11">
        <v>11</v>
      </c>
      <c r="C183" s="11">
        <v>2023</v>
      </c>
      <c r="D183" s="11">
        <f>SUMIF(transformed!$N:$N,weekly!$H183,transformed!J:J)</f>
        <v>9497.326913365996</v>
      </c>
      <c r="E183" s="11">
        <f>SUMIF(transformed!$N:$N,weekly!$H183,transformed!K:K)</f>
        <v>3358.2944451959511</v>
      </c>
      <c r="F183" s="11">
        <f>SUMIF(transformed!$N:$N,weekly!$H183,transformed!L:L)</f>
        <v>2671.0791654913073</v>
      </c>
      <c r="G183" t="str">
        <f t="shared" si="4"/>
        <v>482023</v>
      </c>
      <c r="H183" t="str">
        <f t="shared" si="5"/>
        <v>48-11-2023</v>
      </c>
    </row>
    <row r="184" spans="1:8" x14ac:dyDescent="0.2">
      <c r="A184" s="11">
        <v>48</v>
      </c>
      <c r="B184" s="11">
        <v>12</v>
      </c>
      <c r="C184" s="11">
        <v>2023</v>
      </c>
      <c r="D184" s="11">
        <f>SUMIF(transformed!$N:$N,weekly!$H184,transformed!J:J)</f>
        <v>7299.8970120468184</v>
      </c>
      <c r="E184" s="11">
        <f>SUMIF(transformed!$N:$N,weekly!$H184,transformed!K:K)</f>
        <v>2107.2863207171358</v>
      </c>
      <c r="F184" s="11">
        <f>SUMIF(transformed!$N:$N,weekly!$H184,transformed!L:L)</f>
        <v>1994.5358870619634</v>
      </c>
      <c r="G184" t="str">
        <f t="shared" si="4"/>
        <v>482023</v>
      </c>
      <c r="H184" t="str">
        <f t="shared" si="5"/>
        <v>48-12-2023</v>
      </c>
    </row>
    <row r="185" spans="1:8" x14ac:dyDescent="0.2">
      <c r="A185" s="11">
        <v>49</v>
      </c>
      <c r="B185" s="11">
        <v>12</v>
      </c>
      <c r="C185" s="11">
        <v>2023</v>
      </c>
      <c r="D185" s="11">
        <f>SUMIF(transformed!$N:$N,weekly!$H185,transformed!J:J)</f>
        <v>17033.093028109241</v>
      </c>
      <c r="E185" s="11">
        <f>SUMIF(transformed!$N:$N,weekly!$H185,transformed!K:K)</f>
        <v>4917.001415006649</v>
      </c>
      <c r="F185" s="11">
        <f>SUMIF(transformed!$N:$N,weekly!$H185,transformed!L:L)</f>
        <v>4653.9170698112484</v>
      </c>
      <c r="G185" t="str">
        <f t="shared" si="4"/>
        <v>492023</v>
      </c>
      <c r="H185" t="str">
        <f t="shared" si="5"/>
        <v>49-12-2023</v>
      </c>
    </row>
    <row r="186" spans="1:8" x14ac:dyDescent="0.2">
      <c r="A186" s="11">
        <v>50</v>
      </c>
      <c r="B186" s="11">
        <v>12</v>
      </c>
      <c r="C186" s="11">
        <v>2023</v>
      </c>
      <c r="D186" s="11">
        <f>SUMIF(transformed!$N:$N,weekly!$H186,transformed!J:J)</f>
        <v>17033.093028109241</v>
      </c>
      <c r="E186" s="11">
        <f>SUMIF(transformed!$N:$N,weekly!$H186,transformed!K:K)</f>
        <v>4917.001415006649</v>
      </c>
      <c r="F186" s="11">
        <f>SUMIF(transformed!$N:$N,weekly!$H186,transformed!L:L)</f>
        <v>4653.9170698112484</v>
      </c>
      <c r="G186" t="str">
        <f t="shared" si="4"/>
        <v>502023</v>
      </c>
      <c r="H186" t="str">
        <f t="shared" si="5"/>
        <v>50-12-2023</v>
      </c>
    </row>
    <row r="187" spans="1:8" x14ac:dyDescent="0.2">
      <c r="A187" s="11">
        <v>51</v>
      </c>
      <c r="B187" s="11">
        <v>12</v>
      </c>
      <c r="C187" s="11">
        <v>2023</v>
      </c>
      <c r="D187" s="11">
        <f>SUMIF(transformed!$N:$N,weekly!$H187,transformed!J:J)</f>
        <v>17033.093028109241</v>
      </c>
      <c r="E187" s="11">
        <f>SUMIF(transformed!$N:$N,weekly!$H187,transformed!K:K)</f>
        <v>4917.001415006649</v>
      </c>
      <c r="F187" s="11">
        <f>SUMIF(transformed!$N:$N,weekly!$H187,transformed!L:L)</f>
        <v>4653.9170698112484</v>
      </c>
      <c r="G187" t="str">
        <f t="shared" si="4"/>
        <v>512023</v>
      </c>
      <c r="H187" t="str">
        <f t="shared" si="5"/>
        <v>51-12-2023</v>
      </c>
    </row>
    <row r="188" spans="1:8" x14ac:dyDescent="0.2">
      <c r="A188" s="11">
        <v>52</v>
      </c>
      <c r="B188" s="11">
        <v>12</v>
      </c>
      <c r="C188" s="11">
        <v>2023</v>
      </c>
      <c r="D188" s="11">
        <f>SUMIF(transformed!$N:$N,weekly!$H188,transformed!J:J)</f>
        <v>17033.093028109241</v>
      </c>
      <c r="E188" s="11">
        <f>SUMIF(transformed!$N:$N,weekly!$H188,transformed!K:K)</f>
        <v>4917.001415006649</v>
      </c>
      <c r="F188" s="11">
        <f>SUMIF(transformed!$N:$N,weekly!$H188,transformed!L:L)</f>
        <v>4653.9170698112484</v>
      </c>
      <c r="G188" t="str">
        <f t="shared" si="4"/>
        <v>522023</v>
      </c>
      <c r="H188" t="str">
        <f t="shared" si="5"/>
        <v>52-12-2023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77987-3A80-8043-A0ED-18D9093E23F2}">
  <dimension ref="A1:A14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38</v>
      </c>
    </row>
    <row r="2" spans="1:1" x14ac:dyDescent="0.2">
      <c r="A2" t="s">
        <v>39</v>
      </c>
    </row>
    <row r="3" spans="1:1" x14ac:dyDescent="0.2">
      <c r="A3" t="s">
        <v>24</v>
      </c>
    </row>
    <row r="4" spans="1:1" x14ac:dyDescent="0.2">
      <c r="A4" t="s">
        <v>40</v>
      </c>
    </row>
    <row r="5" spans="1:1" x14ac:dyDescent="0.2">
      <c r="A5" t="s">
        <v>41</v>
      </c>
    </row>
    <row r="6" spans="1:1" x14ac:dyDescent="0.2">
      <c r="A6" t="s">
        <v>42</v>
      </c>
    </row>
    <row r="7" spans="1:1" x14ac:dyDescent="0.2">
      <c r="A7" t="s">
        <v>43</v>
      </c>
    </row>
    <row r="8" spans="1:1" x14ac:dyDescent="0.2">
      <c r="A8" t="s">
        <v>44</v>
      </c>
    </row>
    <row r="9" spans="1:1" x14ac:dyDescent="0.2">
      <c r="A9" t="s">
        <v>45</v>
      </c>
    </row>
    <row r="10" spans="1:1" x14ac:dyDescent="0.2">
      <c r="A10" t="s">
        <v>46</v>
      </c>
    </row>
    <row r="11" spans="1:1" x14ac:dyDescent="0.2">
      <c r="A11" t="s">
        <v>47</v>
      </c>
    </row>
    <row r="12" spans="1:1" x14ac:dyDescent="0.2">
      <c r="A12" t="s">
        <v>48</v>
      </c>
    </row>
    <row r="13" spans="1:1" x14ac:dyDescent="0.2">
      <c r="A13" t="s">
        <v>49</v>
      </c>
    </row>
    <row r="14" spans="1:1" x14ac:dyDescent="0.2">
      <c r="A14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BFA85-2CF9-ED48-9EBF-AA488408D8AC}">
  <dimension ref="A1:K4"/>
  <sheetViews>
    <sheetView workbookViewId="0">
      <selection activeCell="K11" sqref="K11"/>
    </sheetView>
  </sheetViews>
  <sheetFormatPr baseColWidth="10" defaultColWidth="11" defaultRowHeight="16" x14ac:dyDescent="0.2"/>
  <cols>
    <col min="8" max="8" width="23.5" bestFit="1" customWidth="1"/>
    <col min="9" max="9" width="21" bestFit="1" customWidth="1"/>
    <col min="10" max="10" width="29.1640625" bestFit="1" customWidth="1"/>
    <col min="11" max="11" width="42.83203125" bestFit="1" customWidth="1"/>
  </cols>
  <sheetData>
    <row r="1" spans="1:11" x14ac:dyDescent="0.2">
      <c r="A1" s="17" t="s">
        <v>0</v>
      </c>
      <c r="B1" s="17"/>
      <c r="C1" s="17"/>
      <c r="D1" s="17"/>
      <c r="E1" s="17"/>
      <c r="F1" s="17"/>
      <c r="G1" s="17"/>
      <c r="H1" s="19" t="s">
        <v>16</v>
      </c>
      <c r="I1" s="19"/>
      <c r="J1" s="19"/>
      <c r="K1" s="19"/>
    </row>
    <row r="2" spans="1:11" x14ac:dyDescent="0.2">
      <c r="A2" t="s">
        <v>17</v>
      </c>
      <c r="B2" t="s">
        <v>6</v>
      </c>
      <c r="C2" t="s">
        <v>7</v>
      </c>
      <c r="D2" t="s">
        <v>8</v>
      </c>
      <c r="E2" t="s">
        <v>18</v>
      </c>
      <c r="F2" t="s">
        <v>19</v>
      </c>
      <c r="G2" t="s">
        <v>10</v>
      </c>
      <c r="H2" t="s">
        <v>20</v>
      </c>
      <c r="I2" t="s">
        <v>21</v>
      </c>
      <c r="J2" t="s">
        <v>22</v>
      </c>
      <c r="K2" t="s">
        <v>23</v>
      </c>
    </row>
    <row r="3" spans="1:11" x14ac:dyDescent="0.2">
      <c r="A3" s="1">
        <v>44562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 s="4">
        <v>20</v>
      </c>
      <c r="I3">
        <v>1</v>
      </c>
      <c r="J3" s="5">
        <v>0.2</v>
      </c>
      <c r="K3">
        <v>1</v>
      </c>
    </row>
    <row r="4" spans="1:11" x14ac:dyDescent="0.2">
      <c r="A4" s="1">
        <v>44562</v>
      </c>
      <c r="B4">
        <v>1</v>
      </c>
      <c r="C4">
        <v>1</v>
      </c>
      <c r="D4">
        <v>1</v>
      </c>
      <c r="E4">
        <v>2</v>
      </c>
      <c r="F4">
        <v>2</v>
      </c>
      <c r="G4">
        <v>1</v>
      </c>
      <c r="H4" s="4">
        <v>25</v>
      </c>
      <c r="I4">
        <v>0</v>
      </c>
      <c r="J4" s="5">
        <v>0.3</v>
      </c>
      <c r="K4">
        <v>0</v>
      </c>
    </row>
  </sheetData>
  <mergeCells count="2">
    <mergeCell ref="A1:G1"/>
    <mergeCell ref="H1:K1"/>
  </mergeCells>
  <pageMargins left="0.7" right="0.7" top="0.78740157499999996" bottom="0.78740157499999996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7A4D0BFA21CB42A9DC5A0122262327" ma:contentTypeVersion="13" ma:contentTypeDescription="Create a new document." ma:contentTypeScope="" ma:versionID="552c2c59a4a91ecb80f06fcec5bdc564">
  <xsd:schema xmlns:xsd="http://www.w3.org/2001/XMLSchema" xmlns:xs="http://www.w3.org/2001/XMLSchema" xmlns:p="http://schemas.microsoft.com/office/2006/metadata/properties" xmlns:ns2="42dc6bcb-8fc5-42f1-b4b1-9e9caff9b5ed" xmlns:ns3="07ebc4f7-1a51-4ccd-98c2-1c962b1017b6" targetNamespace="http://schemas.microsoft.com/office/2006/metadata/properties" ma:root="true" ma:fieldsID="f91e063ada4fa2046d7f8ab0e8a47643" ns2:_="" ns3:_="">
    <xsd:import namespace="42dc6bcb-8fc5-42f1-b4b1-9e9caff9b5ed"/>
    <xsd:import namespace="07ebc4f7-1a51-4ccd-98c2-1c962b1017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c6bcb-8fc5-42f1-b4b1-9e9caff9b5e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3252fd2-b95b-41b3-a326-1fab020eed76}" ma:internalName="TaxCatchAll" ma:showField="CatchAllData" ma:web="42dc6bcb-8fc5-42f1-b4b1-9e9caff9b5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ebc4f7-1a51-4ccd-98c2-1c962b1017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5a1d4f-bd13-4c63-b2d2-983ca8460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6F33C7-0905-4FD9-B756-43AC37C067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32A438-A741-4BAE-BC8A-2EB4E77AFF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dc6bcb-8fc5-42f1-b4b1-9e9caff9b5ed"/>
    <ds:schemaRef ds:uri="07ebc4f7-1a51-4ccd-98c2-1c962b1017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Marketing Campaigns 22.11.22</vt:lpstr>
      <vt:lpstr>planning dogs-n-tiger</vt:lpstr>
      <vt:lpstr>transformed</vt:lpstr>
      <vt:lpstr>weekly</vt:lpstr>
      <vt:lpstr>Sheet1</vt:lpstr>
      <vt:lpstr>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Jannik Semmelhaack</dc:creator>
  <cp:keywords/>
  <dc:description/>
  <cp:lastModifiedBy>Tobias Wandersleb</cp:lastModifiedBy>
  <cp:revision/>
  <dcterms:created xsi:type="dcterms:W3CDTF">2022-08-31T08:25:55Z</dcterms:created>
  <dcterms:modified xsi:type="dcterms:W3CDTF">2023-05-18T08:52:56Z</dcterms:modified>
  <cp:category/>
  <cp:contentStatus/>
</cp:coreProperties>
</file>